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15.xml" ContentType="application/vnd.ms-office.chartcolorstyle+xml"/>
  <Override PartName="/xl/charts/colors16.xml" ContentType="application/vnd.ms-office.chartcolorstyle+xml"/>
  <Override PartName="/xl/charts/colors17.xml" ContentType="application/vnd.ms-office.chartcolorstyle+xml"/>
  <Override PartName="/xl/charts/colors18.xml" ContentType="application/vnd.ms-office.chartcolorstyle+xml"/>
  <Override PartName="/xl/charts/colors19.xml" ContentType="application/vnd.ms-office.chartcolorstyle+xml"/>
  <Override PartName="/xl/charts/colors2.xml" ContentType="application/vnd.ms-office.chartcolorstyle+xml"/>
  <Override PartName="/xl/charts/colors20.xml" ContentType="application/vnd.ms-office.chartcolorstyle+xml"/>
  <Override PartName="/xl/charts/colors21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15.xml" ContentType="application/vnd.ms-office.chartstyle+xml"/>
  <Override PartName="/xl/charts/style16.xml" ContentType="application/vnd.ms-office.chartstyle+xml"/>
  <Override PartName="/xl/charts/style17.xml" ContentType="application/vnd.ms-office.chartstyle+xml"/>
  <Override PartName="/xl/charts/style18.xml" ContentType="application/vnd.ms-office.chartstyle+xml"/>
  <Override PartName="/xl/charts/style19.xml" ContentType="application/vnd.ms-office.chartstyle+xml"/>
  <Override PartName="/xl/charts/style2.xml" ContentType="application/vnd.ms-office.chartstyle+xml"/>
  <Override PartName="/xl/charts/style20.xml" ContentType="application/vnd.ms-office.chartstyle+xml"/>
  <Override PartName="/xl/charts/style21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pivotCache/pivotCacheDefinition17.xml" ContentType="application/vnd.openxmlformats-officedocument.spreadsheetml.pivotCacheDefinition+xml"/>
  <Override PartName="/xl/pivotCache/pivotCacheDefinition18.xml" ContentType="application/vnd.openxmlformats-officedocument.spreadsheetml.pivotCacheDefinition+xml"/>
  <Override PartName="/xl/pivotCache/pivotCacheDefinition19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10.xml" ContentType="application/vnd.openxmlformats-officedocument.spreadsheetml.pivotCacheRecords+xml"/>
  <Override PartName="/xl/pivotCache/pivotCacheRecords11.xml" ContentType="application/vnd.openxmlformats-officedocument.spreadsheetml.pivotCacheRecords+xml"/>
  <Override PartName="/xl/pivotCache/pivotCacheRecords12.xml" ContentType="application/vnd.openxmlformats-officedocument.spreadsheetml.pivotCacheRecords+xml"/>
  <Override PartName="/xl/pivotCache/pivotCacheRecords13.xml" ContentType="application/vnd.openxmlformats-officedocument.spreadsheetml.pivotCacheRecords+xml"/>
  <Override PartName="/xl/pivotCache/pivotCacheRecords14.xml" ContentType="application/vnd.openxmlformats-officedocument.spreadsheetml.pivotCacheRecords+xml"/>
  <Override PartName="/xl/pivotCache/pivotCacheRecords15.xml" ContentType="application/vnd.openxmlformats-officedocument.spreadsheetml.pivotCacheRecords+xml"/>
  <Override PartName="/xl/pivotCache/pivotCacheRecords16.xml" ContentType="application/vnd.openxmlformats-officedocument.spreadsheetml.pivotCacheRecords+xml"/>
  <Override PartName="/xl/pivotCache/pivotCacheRecords17.xml" ContentType="application/vnd.openxmlformats-officedocument.spreadsheetml.pivotCacheRecords+xml"/>
  <Override PartName="/xl/pivotCache/pivotCacheRecords18.xml" ContentType="application/vnd.openxmlformats-officedocument.spreadsheetml.pivotCacheRecords+xml"/>
  <Override PartName="/xl/pivotCache/pivotCacheRecords19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Cache/pivotCacheRecords3.xml" ContentType="application/vnd.openxmlformats-officedocument.spreadsheetml.pivotCacheRecords+xml"/>
  <Override PartName="/xl/pivotCache/pivotCacheRecords4.xml" ContentType="application/vnd.openxmlformats-officedocument.spreadsheetml.pivotCacheRecords+xml"/>
  <Override PartName="/xl/pivotCache/pivotCacheRecords5.xml" ContentType="application/vnd.openxmlformats-officedocument.spreadsheetml.pivotCacheRecords+xml"/>
  <Override PartName="/xl/pivotCache/pivotCacheRecords6.xml" ContentType="application/vnd.openxmlformats-officedocument.spreadsheetml.pivotCacheRecords+xml"/>
  <Override PartName="/xl/pivotCache/pivotCacheRecords7.xml" ContentType="application/vnd.openxmlformats-officedocument.spreadsheetml.pivotCacheRecords+xml"/>
  <Override PartName="/xl/pivotCache/pivotCacheRecords8.xml" ContentType="application/vnd.openxmlformats-officedocument.spreadsheetml.pivotCacheRecords+xml"/>
  <Override PartName="/xl/pivotCache/pivotCacheRecords9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25200" windowHeight="12880"/>
  </bookViews>
  <sheets>
    <sheet name="全球债券ETF资产规模" sheetId="8" r:id="rId1"/>
    <sheet name="美日新港债券ETF资产规模" sheetId="6" r:id="rId2"/>
    <sheet name="美国" sheetId="2" r:id="rId3"/>
    <sheet name="日本" sheetId="3" r:id="rId4"/>
    <sheet name="新加坡" sheetId="4" r:id="rId5"/>
    <sheet name="香港" sheetId="5" r:id="rId6"/>
  </sheets>
  <definedNames>
    <definedName name="_xlnm._FilterDatabase" localSheetId="2" hidden="1">美国!$T$14:$T$123</definedName>
  </definedNames>
  <calcPr calcId="191029"/>
  <pivotCaches>
    <pivotCache cacheId="0" r:id="rId7"/>
    <pivotCache cacheId="1" r:id="rId8"/>
    <pivotCache cacheId="2" r:id="rId9"/>
    <pivotCache cacheId="3" r:id="rId10"/>
    <pivotCache cacheId="4" r:id="rId11"/>
    <pivotCache cacheId="5" r:id="rId12"/>
    <pivotCache cacheId="6" r:id="rId13"/>
    <pivotCache cacheId="7" r:id="rId14"/>
    <pivotCache cacheId="8" r:id="rId15"/>
    <pivotCache cacheId="9" r:id="rId16"/>
    <pivotCache cacheId="10" r:id="rId17"/>
    <pivotCache cacheId="11" r:id="rId18"/>
    <pivotCache cacheId="12" r:id="rId19"/>
    <pivotCache cacheId="13" r:id="rId20"/>
    <pivotCache cacheId="14" r:id="rId21"/>
    <pivotCache cacheId="15" r:id="rId22"/>
    <pivotCache cacheId="16" r:id="rId23"/>
    <pivotCache cacheId="17" r:id="rId24"/>
    <pivotCache cacheId="18" r:id="rId2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<sst xmlns="http://schemas.openxmlformats.org/spreadsheetml/2006/main" count="27723" uniqueCount="8151">
  <si>
    <t xml:space="preserve">代码
</t>
  </si>
  <si>
    <t xml:space="preserve">名称 - 简体中文
</t>
  </si>
  <si>
    <t xml:space="preserve">名称
</t>
  </si>
  <si>
    <t xml:space="preserve">基金资产级别侧重
</t>
  </si>
  <si>
    <t xml:space="preserve">所在国
</t>
  </si>
  <si>
    <t xml:space="preserve">总资产(百万)
</t>
  </si>
  <si>
    <t>VSPBOND NL Equity</t>
  </si>
  <si>
    <t>Vetiva S&amp;P Nigerian Sovereig</t>
  </si>
  <si>
    <t>VETIVA S&amp;P NIGERIAN SOV BOND</t>
  </si>
  <si>
    <t>固定收益</t>
  </si>
  <si>
    <t>尼日利亚</t>
  </si>
  <si>
    <t>261140 KS Equity</t>
  </si>
  <si>
    <t>Mirae Asset TIGER Preferred</t>
  </si>
  <si>
    <t>MA TIGER PREFERRED STOCK ETF</t>
  </si>
  <si>
    <t>韩国</t>
  </si>
  <si>
    <t>行标签</t>
  </si>
  <si>
    <t xml:space="preserve">求和项:总资产(百万)
</t>
  </si>
  <si>
    <t>所在国</t>
  </si>
  <si>
    <t>总资产规模（百万美元）</t>
  </si>
  <si>
    <t>占比</t>
  </si>
  <si>
    <t>0138Y0 KS Equity</t>
  </si>
  <si>
    <t>Hanwha PLUS Gold &amp; Treasury</t>
  </si>
  <si>
    <t>HANWHA PLUS GOLD &amp; TREASURY</t>
  </si>
  <si>
    <t>美国</t>
  </si>
  <si>
    <t>CVRT US Equity</t>
  </si>
  <si>
    <t>Calamos Convertible Equity A</t>
  </si>
  <si>
    <t>CALAMOS CONV EQTY ALT ETF</t>
  </si>
  <si>
    <t>爱尔兰</t>
  </si>
  <si>
    <t>RSBT US Equity</t>
  </si>
  <si>
    <t>Return Stacked Bonds &amp; Manag</t>
  </si>
  <si>
    <t>RTRN STCK BNDS &amp; MNG FUTURES</t>
  </si>
  <si>
    <t>卢森堡</t>
  </si>
  <si>
    <t>FCVT US Equity</t>
  </si>
  <si>
    <t>First Trust SSI Strategic Co</t>
  </si>
  <si>
    <t>FIRST TRUST SSI STRATEGI ETF</t>
  </si>
  <si>
    <t>加拿大</t>
  </si>
  <si>
    <t>511380 CH Equity</t>
  </si>
  <si>
    <t>博时中证可转债及可交换债券交</t>
  </si>
  <si>
    <t>BS CONVTB BD EXCHNGB BD ETF</t>
  </si>
  <si>
    <t>中国</t>
  </si>
  <si>
    <t>Taiwan (China)</t>
  </si>
  <si>
    <t>BLTN NA Equity</t>
  </si>
  <si>
    <t>iShares Brazil LTN BRL Govt</t>
  </si>
  <si>
    <t>ISHRS BRZL LB GB UCITS ETF</t>
  </si>
  <si>
    <t>德国</t>
  </si>
  <si>
    <t>Others</t>
  </si>
  <si>
    <t>XISB IJ Equity</t>
  </si>
  <si>
    <t>Premier ETF Indonesia Sovere</t>
  </si>
  <si>
    <t>PREMIER ETF INDO SOV BONDS</t>
  </si>
  <si>
    <t>印度尼西亚</t>
  </si>
  <si>
    <t>澳大利亚</t>
  </si>
  <si>
    <t>GCVB LN Equity</t>
  </si>
  <si>
    <t>SPDR富时全球可转换债券UCITS</t>
  </si>
  <si>
    <t>SPDR FTSE G ETF USD UHD DIST</t>
  </si>
  <si>
    <t>ICVT US Equity</t>
  </si>
  <si>
    <t>iShares Convertible Bond ETF</t>
  </si>
  <si>
    <t>ISHARES CONVERTIBLE BOND ETF</t>
  </si>
  <si>
    <t>以色列</t>
  </si>
  <si>
    <t>3001 HK Equity</t>
  </si>
  <si>
    <t>Premia China USD Property Bo</t>
  </si>
  <si>
    <t>PREMIA CHINA USD PRO BON-HKD</t>
  </si>
  <si>
    <t>Hong Kong (China)</t>
  </si>
  <si>
    <t>日本</t>
  </si>
  <si>
    <t>DADS US Equity</t>
  </si>
  <si>
    <t>Digital Asset Debt Strategy</t>
  </si>
  <si>
    <t>DIGITAL ASSET DEBT STRAT ETF</t>
  </si>
  <si>
    <t>印度</t>
  </si>
  <si>
    <t>511180 CH Equity</t>
  </si>
  <si>
    <t>海富通上证投资级可转债及可交</t>
  </si>
  <si>
    <t>HFT SSE INV-GD CVB EXG ETF</t>
  </si>
  <si>
    <t>新加坡</t>
  </si>
  <si>
    <t>CWB US Equity</t>
  </si>
  <si>
    <t>道富SPDR彭博可转债ETF</t>
  </si>
  <si>
    <t>SS SPDR BB CONV SEC ETF</t>
  </si>
  <si>
    <t>ADBF MP Equity</t>
  </si>
  <si>
    <t>African Domestic Bond Fund</t>
  </si>
  <si>
    <t>AFRICAN DOMESTIC BOND FUND</t>
  </si>
  <si>
    <t>毛里求斯</t>
  </si>
  <si>
    <t>瑞士</t>
  </si>
  <si>
    <t>WTIP US Equity</t>
  </si>
  <si>
    <t>WisdomTree Inflation Plus Fu</t>
  </si>
  <si>
    <t>WISDOMTREE INFLATION PLUS</t>
  </si>
  <si>
    <t>巴西</t>
  </si>
  <si>
    <t>WIP US Equity</t>
  </si>
  <si>
    <t>SPDR富时国际政府抗通胀债券ET</t>
  </si>
  <si>
    <t>SPDR FTSE INTERNATIONAL GOVE</t>
  </si>
  <si>
    <t>CVD CN Equity</t>
  </si>
  <si>
    <t>iShares安硕优势可转债指数基</t>
  </si>
  <si>
    <t>ISHARES CONVERTIBLE BOND IND</t>
  </si>
  <si>
    <t>法国</t>
  </si>
  <si>
    <t>FEMB US Equity</t>
  </si>
  <si>
    <t>First Trust Emerging Markets</t>
  </si>
  <si>
    <t>FIRST TRUST EMERGING MARKETS</t>
  </si>
  <si>
    <t>南非</t>
  </si>
  <si>
    <t>PFXF US Equity</t>
  </si>
  <si>
    <t>范达优先证券除金融ETF</t>
  </si>
  <si>
    <t>VANECK PREF SEC X-FINANCIALS</t>
  </si>
  <si>
    <t>瑞典</t>
  </si>
  <si>
    <t>GBPG LN Equity</t>
  </si>
  <si>
    <t>Goldman Sachs Access UK Gilt</t>
  </si>
  <si>
    <t>GS ACCESS UK GILTS GBP DIST</t>
  </si>
  <si>
    <t>智利</t>
  </si>
  <si>
    <t>2844 JP Equity</t>
  </si>
  <si>
    <t>Listed Index Fund Australian</t>
  </si>
  <si>
    <t>LISTED INDEX AU GOVT BOND NH</t>
  </si>
  <si>
    <t>马来西亚</t>
  </si>
  <si>
    <t>EMLOC SW Equity</t>
  </si>
  <si>
    <t>UBS J.P. Morgan EM Multi-Fac</t>
  </si>
  <si>
    <t>UBS ETF EM MF ENH L CCY BOND</t>
  </si>
  <si>
    <t>沙特阿拉伯</t>
  </si>
  <si>
    <t>MAMB US Equity</t>
  </si>
  <si>
    <t>Monarch Ambassador Income In</t>
  </si>
  <si>
    <t>MONARCH AMBASS INC INDX ETF</t>
  </si>
  <si>
    <t>泰国</t>
  </si>
  <si>
    <t>ELD US Equity</t>
  </si>
  <si>
    <t>智慧树新兴市场地方债务基金</t>
  </si>
  <si>
    <t>WISDOMTREE EMRG MKTS DEBT</t>
  </si>
  <si>
    <t>新西兰</t>
  </si>
  <si>
    <t>CSYSB SJ Equity</t>
  </si>
  <si>
    <t>10倍收益精选债券ETF</t>
  </si>
  <si>
    <t>10X YIELD SELECTED BOND ETF</t>
  </si>
  <si>
    <t>荷兰</t>
  </si>
  <si>
    <t>JLOC LN Equity</t>
  </si>
  <si>
    <t>JPMorgan Emerging Markets Lo</t>
  </si>
  <si>
    <t>JPM EM LOCAL BOND UCITS ETF</t>
  </si>
  <si>
    <t>波兰</t>
  </si>
  <si>
    <t>IGOV US Equity</t>
  </si>
  <si>
    <t>iShares安硕全球国债ETF</t>
  </si>
  <si>
    <t>ISHARES INTERNATIONAL TREASU</t>
  </si>
  <si>
    <t>BWZ US Equity</t>
  </si>
  <si>
    <t>SPDR彭博短期国际国债ETF</t>
  </si>
  <si>
    <t>SPDR BLOOMBERG SHORT TERM IN</t>
  </si>
  <si>
    <t>土耳其</t>
  </si>
  <si>
    <t>PFFD US Equity</t>
  </si>
  <si>
    <t>Global X US Preferred ETF</t>
  </si>
  <si>
    <t>GLOBAL X US PREFERRED ETF</t>
  </si>
  <si>
    <t>哥伦比亚</t>
  </si>
  <si>
    <t>GXTESCOL CB Equity</t>
  </si>
  <si>
    <t>Global X TES COLOMBIA GBI EM</t>
  </si>
  <si>
    <t>GLOBAL X TES COLOMBIA COP</t>
  </si>
  <si>
    <t>EMBX US Equity</t>
  </si>
  <si>
    <t>VanEck Emerging Markets Bond</t>
  </si>
  <si>
    <t>VANECK EM BOND ETF</t>
  </si>
  <si>
    <t>阿拉伯联合酋长国</t>
  </si>
  <si>
    <t>IBND US Equity</t>
  </si>
  <si>
    <t>SPDR彭博国际公司债ETF</t>
  </si>
  <si>
    <t>SPDR BLOOMBERG INT CORP</t>
  </si>
  <si>
    <t>秘鲁</t>
  </si>
  <si>
    <t>EMLB LN Equity</t>
  </si>
  <si>
    <t>品浩优势新兴市场本币债券UCIT</t>
  </si>
  <si>
    <t>PIMCO ADV EMG MRK LO BN E-UA</t>
  </si>
  <si>
    <t>EMLC US Equity</t>
  </si>
  <si>
    <t>范达摩根大通新兴市场本币债券</t>
  </si>
  <si>
    <t>VANECK JPM EM LOCAL CURR BND</t>
  </si>
  <si>
    <t>巴基斯坦</t>
  </si>
  <si>
    <t>ISHG US Equity</t>
  </si>
  <si>
    <t>iShares安硕1-3年国际国债ETF</t>
  </si>
  <si>
    <t>ISHARES -3 YEAR INTERNATIONA</t>
  </si>
  <si>
    <t>克罗地亚</t>
  </si>
  <si>
    <t>ETFBND SJ Equity</t>
  </si>
  <si>
    <t>1nvest SA Bond ETF</t>
  </si>
  <si>
    <t>1NVEST SA BOND ETF</t>
  </si>
  <si>
    <t>总计</t>
  </si>
  <si>
    <t>PICB US Equity</t>
  </si>
  <si>
    <t>景顺国际公司债券ETF</t>
  </si>
  <si>
    <t>INVESCO INTERNATIONAL CORPOR</t>
  </si>
  <si>
    <t>LEMB US Equity</t>
  </si>
  <si>
    <t>iShares安硕摩根大通新兴市场</t>
  </si>
  <si>
    <t>ISHARES JP MORGAN EM LOCAL C</t>
  </si>
  <si>
    <t>EMLC LN Equity</t>
  </si>
  <si>
    <t>VanEck J.P. Morgan EM Local</t>
  </si>
  <si>
    <t>VANECK JPM EM LOC CUR BD ETF</t>
  </si>
  <si>
    <t>XCS2 GR Equity</t>
  </si>
  <si>
    <t>Xtrackers II澳大利亚国债UCIT</t>
  </si>
  <si>
    <t>X AUSTRALIA GOV BND 1C</t>
  </si>
  <si>
    <t>BNDS US Equity</t>
  </si>
  <si>
    <t>Infrastructure Capital Bond</t>
  </si>
  <si>
    <t>INFRASTR CAP BOND INCOME ETF</t>
  </si>
  <si>
    <t>CLSA CN Equity</t>
  </si>
  <si>
    <t>Brompton Split Corp Enhanced</t>
  </si>
  <si>
    <t>BROMPTON SPLIT CORP ENHANCED</t>
  </si>
  <si>
    <t>CSGOVI SJ Equity</t>
  </si>
  <si>
    <t>10X Wealth Govi Bond ETF</t>
  </si>
  <si>
    <t>10X WEALTH GOVI BOND ETF</t>
  </si>
  <si>
    <t>BMAX US Equity</t>
  </si>
  <si>
    <t>REX Bitcoin Corporate Treasu</t>
  </si>
  <si>
    <t>REX BITCOIN COR TRE CO B ETF</t>
  </si>
  <si>
    <t>IEML LN Equity</t>
  </si>
  <si>
    <t>ISHARES JPM EM LCL GOV BND</t>
  </si>
  <si>
    <t>VEMY US Equity</t>
  </si>
  <si>
    <t>Virtus Stone Harbor Emerging</t>
  </si>
  <si>
    <t>VIR S/H EMRG MKT HY BND ETF</t>
  </si>
  <si>
    <t>IAAA LN Equity</t>
  </si>
  <si>
    <t>iShares安硕全球AAA-AA国债UCI</t>
  </si>
  <si>
    <t>ISHARES GLBL AAA-AA GOVT BND</t>
  </si>
  <si>
    <t>PFF US Equity</t>
  </si>
  <si>
    <t>iShares安硕优先股和收益证券E</t>
  </si>
  <si>
    <t>ISHARES PREFERRED &amp; INCOME S</t>
  </si>
  <si>
    <t>FEIG LN Equity</t>
  </si>
  <si>
    <t>Fidelity EUR Corp Bond Resea</t>
  </si>
  <si>
    <t>FI EU CO BD RE EN PA UC E-IN</t>
  </si>
  <si>
    <t>STXGOV SJ Equity</t>
  </si>
  <si>
    <t>Satrix SA Bond Portfolio</t>
  </si>
  <si>
    <t>SATRIX SA BOND PORTFOLIO</t>
  </si>
  <si>
    <t>7GROM CZ Equity</t>
  </si>
  <si>
    <t>InterCapital EUR Romania Gov</t>
  </si>
  <si>
    <t>IC EUR ROMANIA GOVT BOND ETF</t>
  </si>
  <si>
    <t>IB25 GR Equity</t>
  </si>
  <si>
    <t>iShares iBonds Dec 2025 Term</t>
  </si>
  <si>
    <t>ISHRS D25 EUR CORP UCITS ETF</t>
  </si>
  <si>
    <t>EBND US Equity</t>
  </si>
  <si>
    <t>SPDR彭博新兴市场本币债券ETF</t>
  </si>
  <si>
    <t>SPDR BLOOMBERG EM BOND</t>
  </si>
  <si>
    <t>PSK US Equity</t>
  </si>
  <si>
    <t>道富SPDR ICE优先证券ETF</t>
  </si>
  <si>
    <t>SS SPDR ICE PREF SEC ETF</t>
  </si>
  <si>
    <t>3041 HK Equity</t>
  </si>
  <si>
    <t>Global X FTSE China Policy B</t>
  </si>
  <si>
    <t>GLB X FTSE CN PLCY BK BD ETF</t>
  </si>
  <si>
    <t>RTAI US Equity</t>
  </si>
  <si>
    <t>Rareview Tax Advantaged Inco</t>
  </si>
  <si>
    <t>RAREVIEW TAX ADVANTAGED INCO</t>
  </si>
  <si>
    <t>FRC4 GR Equity</t>
  </si>
  <si>
    <t>UBS BBG Euro Inflation Linke</t>
  </si>
  <si>
    <t>UBS ETF EURO INFL LINK 10+</t>
  </si>
  <si>
    <t>00717 TT Equity</t>
  </si>
  <si>
    <t>Fubon S&amp;P US Preferred Stock</t>
  </si>
  <si>
    <t>FUBON S&amp;P US PREF STOCK ETF</t>
  </si>
  <si>
    <t>CFIT US Equity</t>
  </si>
  <si>
    <t>Cambria Fixed Income Trend E</t>
  </si>
  <si>
    <t>CAMBRIA FIXED INCOME TREND</t>
  </si>
  <si>
    <t>COCB LN Equity</t>
  </si>
  <si>
    <t>WisdomTree AT1 CoCo Bond UCI</t>
  </si>
  <si>
    <t>WT AT1 COCO UCITS ETF USD AC</t>
  </si>
  <si>
    <t>BWX US Equity</t>
  </si>
  <si>
    <t>SPDR彭博国际国债指数ETF</t>
  </si>
  <si>
    <t>SPDR BLOOMBERG INT TREASURY</t>
  </si>
  <si>
    <t>STXGVI SJ Equity</t>
  </si>
  <si>
    <t>NEWFUNDS GOVI ETF</t>
  </si>
  <si>
    <t>SATRIX GOVI ETF</t>
  </si>
  <si>
    <t>KSMF91 IT Equity</t>
  </si>
  <si>
    <t>KSM ETF 2A Composite Gen Bon</t>
  </si>
  <si>
    <t>KSM ETF CMP BND GE+EQ</t>
  </si>
  <si>
    <t>PGF US Equity</t>
  </si>
  <si>
    <t>景顺金融优先股ETF</t>
  </si>
  <si>
    <t>INVESCO FINANCIAL PREFERRED</t>
  </si>
  <si>
    <t>CFIETFB CI Equity</t>
  </si>
  <si>
    <t>ETF Singular Fixed Income BR</t>
  </si>
  <si>
    <t>ETF SINGULAR FIXED INCOME BR</t>
  </si>
  <si>
    <t>JGRN LN Equity</t>
  </si>
  <si>
    <t>JPMorgan Green Social Sustai</t>
  </si>
  <si>
    <t>JPM GREEN SOC SUS BD ACT ETF</t>
  </si>
  <si>
    <t>CRDT US Equity</t>
  </si>
  <si>
    <t>Simplify Opportunistic Incom</t>
  </si>
  <si>
    <t>SIMPLIFY OPPORTUNISTIC INC</t>
  </si>
  <si>
    <t>PFFA US Equity</t>
  </si>
  <si>
    <t>Virtus InfraCap US Preferred</t>
  </si>
  <si>
    <t>VIRTUS INFRACAP US PREF STCK</t>
  </si>
  <si>
    <t>ZHP CN Equity</t>
  </si>
  <si>
    <t>BMO US Preferred Share Hedge</t>
  </si>
  <si>
    <t>BMO US PFD SHR CAD HEDGED</t>
  </si>
  <si>
    <t>FGGB LN Equity</t>
  </si>
  <si>
    <t>Fidelity Global Government B</t>
  </si>
  <si>
    <t>FIL GL GOV CLI AWARE - INC</t>
  </si>
  <si>
    <t>IRFM11 BZ Equity</t>
  </si>
  <si>
    <t>It Now IRF-M P2 Fundo de Ind</t>
  </si>
  <si>
    <t>IT NOW IRF-M</t>
  </si>
  <si>
    <t>PFFV US Equity</t>
  </si>
  <si>
    <t>Global X Variable Rate Prefe</t>
  </si>
  <si>
    <t>GLOBAL X VARIABLE RATE PREF</t>
  </si>
  <si>
    <t>PGX US Equity</t>
  </si>
  <si>
    <t>景顺优先股ETF</t>
  </si>
  <si>
    <t>INVESCO PREFERRED ETF</t>
  </si>
  <si>
    <t>FTFX LN Equity</t>
  </si>
  <si>
    <t>First Trust FactorFX UCITS E</t>
  </si>
  <si>
    <t>FIRST TRUST FACTORFX ETF</t>
  </si>
  <si>
    <t>176950 KS Equity</t>
  </si>
  <si>
    <t>Samsung KODEX 10Y F-LKTB Inv</t>
  </si>
  <si>
    <t>SAMSUNG KODEX 10Y F-LKTB ETF</t>
  </si>
  <si>
    <t>GREENE SW Equity</t>
  </si>
  <si>
    <t>UBS Global Green Bond ESG 1-</t>
  </si>
  <si>
    <t>UBS ETF GREEN BOND EUR</t>
  </si>
  <si>
    <t>2817 HK Equity</t>
  </si>
  <si>
    <t>Premia China Treasury and Po</t>
  </si>
  <si>
    <t>PREMIA CH TRE PO BANK BL-HKD</t>
  </si>
  <si>
    <t>EMDD LN Equity</t>
  </si>
  <si>
    <t>SPDR彭博新兴市场本地债券UCIT</t>
  </si>
  <si>
    <t>SPDR BBG EM LOCAL BND</t>
  </si>
  <si>
    <t>CUSD US Equity</t>
  </si>
  <si>
    <t>CrossingBridge Ultra-Short D</t>
  </si>
  <si>
    <t>CROSSINGBRIDGE ULTRA-SHORT D</t>
  </si>
  <si>
    <t>2251 JP Equity</t>
  </si>
  <si>
    <t>NEXT FUNDS JPX JGB Futures D</t>
  </si>
  <si>
    <t>NF JGB FUT DBL INVERSE ETF</t>
  </si>
  <si>
    <t>BBFD AU Equity</t>
  </si>
  <si>
    <t>Betashares Geared Short US T</t>
  </si>
  <si>
    <t>BE GE SH US TR BO CU HE CO E</t>
  </si>
  <si>
    <t>3199 HK Equity</t>
  </si>
  <si>
    <t>南方东英中国5年期国债基金</t>
  </si>
  <si>
    <t>ICBC CSOP FTSE CHN GVT&amp;PL BI</t>
  </si>
  <si>
    <t>STXNAM SJ Equity</t>
  </si>
  <si>
    <t>Satrix S&amp;P Namibia Bond ETF</t>
  </si>
  <si>
    <t>SATRIX S&amp;P NAMIBIA BOND ETF</t>
  </si>
  <si>
    <t>RNTA LN Equity</t>
  </si>
  <si>
    <t>Amerant Latin American Debt</t>
  </si>
  <si>
    <t>AMERANT LATAM DEBT UCITS ETF</t>
  </si>
  <si>
    <t>IHY US Equity</t>
  </si>
  <si>
    <t>范达国际高收益债券ETF</t>
  </si>
  <si>
    <t>VANECK INT HIGH YIELD BOND</t>
  </si>
  <si>
    <t>ATRB CN Equity</t>
  </si>
  <si>
    <t>AGF Total Return Bond Fund E</t>
  </si>
  <si>
    <t>AGF TOT RET BOND FUND ETF</t>
  </si>
  <si>
    <t>PRFD LN Equity</t>
  </si>
  <si>
    <t>Invesco Preferred Shares UCI</t>
  </si>
  <si>
    <t>INVESCO PREF SHARES DIST</t>
  </si>
  <si>
    <t>TIPZ US Equity</t>
  </si>
  <si>
    <t>PIMCO Broad U.S. TIPS Index</t>
  </si>
  <si>
    <t>PIMCO BROAD US TIPS INDEX</t>
  </si>
  <si>
    <t>NEMD US Equity</t>
  </si>
  <si>
    <t>Neuberger Berman Emerging Ma</t>
  </si>
  <si>
    <t>NB EMRG MRK DBT HRD CURR ETF</t>
  </si>
  <si>
    <t>CSPF US Equity</t>
  </si>
  <si>
    <t>Cohen &amp; Steers Preferred and</t>
  </si>
  <si>
    <t>C&amp;S PREF &amp; INCOME ACTIVE ETF</t>
  </si>
  <si>
    <t>XAGG US Equity</t>
  </si>
  <si>
    <t>Eaton Vance Income Opportuni</t>
  </si>
  <si>
    <t>EV INCOME OPPORTUNITIES ETF</t>
  </si>
  <si>
    <t>GPRF US Equity</t>
  </si>
  <si>
    <t>Goldman Sachs Access U.S. Pr</t>
  </si>
  <si>
    <t>ACCESS PREFERRED AND HYBRID</t>
  </si>
  <si>
    <t>KHYB US Equity</t>
  </si>
  <si>
    <t>KraneShares Asia Pacific Hig</t>
  </si>
  <si>
    <t>KRANESHARES ASIA PACIFIC HIG</t>
  </si>
  <si>
    <t>XB5011 BZ Equity</t>
  </si>
  <si>
    <t>Trend ETF Idex B50 Classe de</t>
  </si>
  <si>
    <t>TREND ETF IDEX NTN-B 2050</t>
  </si>
  <si>
    <t>488A JP Equity</t>
  </si>
  <si>
    <t>iShares Yen Appreciation Foc</t>
  </si>
  <si>
    <t>ISHARES YEN AF ETF</t>
  </si>
  <si>
    <t>GIST LN Equity</t>
  </si>
  <si>
    <t>Amundi Global Government Inf</t>
  </si>
  <si>
    <t>AM GL GOV ILB 1-10Y-ETF DIST</t>
  </si>
  <si>
    <t>AHYG SP Equity</t>
  </si>
  <si>
    <t>iShares安硕美元亚洲高收益债</t>
  </si>
  <si>
    <t>ISHARES USD ASIA HYLD BD-ETF</t>
  </si>
  <si>
    <t>ZLC CN Equity</t>
  </si>
  <si>
    <t>BMO长期公司债指数ETF</t>
  </si>
  <si>
    <t>BMO LONG CORPORATE BOND INDX</t>
  </si>
  <si>
    <t>RDFI US Equity</t>
  </si>
  <si>
    <t>Rareview Dynamic Fixed Incom</t>
  </si>
  <si>
    <t>RAREVIEW DYNAMIC FIXED INCOM</t>
  </si>
  <si>
    <t>HYBX US Equity</t>
  </si>
  <si>
    <t>TCW High Yield Bond ETF</t>
  </si>
  <si>
    <t>TCW HIGH YIELD BOND ETF</t>
  </si>
  <si>
    <t>TYO US Equity</t>
  </si>
  <si>
    <t>Direxion每日7-10年国债做空三</t>
  </si>
  <si>
    <t>DRX DLY 7-10 Y TREAS BEAR 3X</t>
  </si>
  <si>
    <t>TAHY LN Equity</t>
  </si>
  <si>
    <t>Janus Hend Haitong Asia exJa</t>
  </si>
  <si>
    <t>JHH ASIA HY BND SCR USD A</t>
  </si>
  <si>
    <t>MTI FP Equity</t>
  </si>
  <si>
    <t>东方汇理欧元政府通胀挂钩债券</t>
  </si>
  <si>
    <t>AM EU GOV INF LNK BD-ETF ACC</t>
  </si>
  <si>
    <t>HYEM US Equity</t>
  </si>
  <si>
    <t>VanEck新兴市场高收益债券ETF</t>
  </si>
  <si>
    <t>VANECK EMRG MKTS HI YLD</t>
  </si>
  <si>
    <t>FXED US Equity</t>
  </si>
  <si>
    <t>Sound Enhanced Fixed Income</t>
  </si>
  <si>
    <t>SOUND ENHANCED FIXED INCOME</t>
  </si>
  <si>
    <t>ETB01F AU Equity</t>
  </si>
  <si>
    <t>IAM WBC 7.199% 15/11/2038 Fi</t>
  </si>
  <si>
    <t>IAM WBC 7.199% 15112038 ETF</t>
  </si>
  <si>
    <t>GOVT LN Equity</t>
  </si>
  <si>
    <t>Goldman Sachs Global Governm</t>
  </si>
  <si>
    <t>GOLDMAN GLOBAL GOV ACT ETF</t>
  </si>
  <si>
    <t>KSMF88 IT Equity</t>
  </si>
  <si>
    <t>KSM ETF CMP BND GEN+EQ IS</t>
  </si>
  <si>
    <t>DEBB11 BZ Equity</t>
  </si>
  <si>
    <t>BTG Pactual Teva Debentures</t>
  </si>
  <si>
    <t>BTG PACTUAL TEVA DEB ETF</t>
  </si>
  <si>
    <t>BBAB AU Equity</t>
  </si>
  <si>
    <t>Betashares Geared Short Aust</t>
  </si>
  <si>
    <t>BET GEA SH AU GOV BON CO ETF</t>
  </si>
  <si>
    <t>2829 HK Equity</t>
  </si>
  <si>
    <t>iShares安硕中国政府债券ETF</t>
  </si>
  <si>
    <t>ISHARES CN GOVT BOND ETF-HKD</t>
  </si>
  <si>
    <t>SPFF US Equity</t>
  </si>
  <si>
    <t>Global X优选超级收入ETF</t>
  </si>
  <si>
    <t>GLOBAL X SUPERINCOME PREFER</t>
  </si>
  <si>
    <t>JHPI US Equity</t>
  </si>
  <si>
    <t>John Hancock Preferred Incom</t>
  </si>
  <si>
    <t>JOHN HANCOCK PREFERRED INCOM</t>
  </si>
  <si>
    <t>BLUI US Equity</t>
  </si>
  <si>
    <t>Bluemonte Diversified Income</t>
  </si>
  <si>
    <t>BLUEMONTE DIVRSIFIED INC ETF</t>
  </si>
  <si>
    <t>XEIN GR Equity</t>
  </si>
  <si>
    <t>Xtrackers II欧元区通胀挂钩债</t>
  </si>
  <si>
    <t>X EUROZONE INFL-LINKED 1C</t>
  </si>
  <si>
    <t>295020 KS Equity</t>
  </si>
  <si>
    <t>KB KBSTAR KTB 10Y Futures In</t>
  </si>
  <si>
    <t>KB KBSTAR 10Y FTRS INVS ETF</t>
  </si>
  <si>
    <t>JAGG LN Equity</t>
  </si>
  <si>
    <t>JPMorgan Global Aggregate Bo</t>
  </si>
  <si>
    <t>JPM GBL AGG BD A UCITS ETF</t>
  </si>
  <si>
    <t>MTFF8 IT Equity</t>
  </si>
  <si>
    <t>MTF SAL 00 Non-Linked Fixed</t>
  </si>
  <si>
    <t>MTF NON-LNKED FX INT GOV 5+</t>
  </si>
  <si>
    <t>BONDAE UH Equity</t>
  </si>
  <si>
    <t>Chimera JP Morgan UAE Bond U</t>
  </si>
  <si>
    <t>CHIMERA JPM UAE BD UCIT ETF</t>
  </si>
  <si>
    <t>HYLD LN Equity</t>
  </si>
  <si>
    <t>iShares安硕全球高收益公司债U</t>
  </si>
  <si>
    <t>ISHARES GLOBAL HY CORP-DISTR</t>
  </si>
  <si>
    <t>XHYE US Equity</t>
  </si>
  <si>
    <t>BondBloxx USD High Yield Bon</t>
  </si>
  <si>
    <t>BONDBLOXX USD HY BOND ENERGY</t>
  </si>
  <si>
    <t>UEFZ GR Equity</t>
  </si>
  <si>
    <t>瑞银卢森堡基金解决方案-SBI国</t>
  </si>
  <si>
    <t>UBS ETF SBI FO. AAA-BBB 5-10</t>
  </si>
  <si>
    <t>EPRF US Equity</t>
  </si>
  <si>
    <t>Innovator S&amp;P Investment Gra</t>
  </si>
  <si>
    <t>INNOVAT S&amp;P INVEST GRD PREF</t>
  </si>
  <si>
    <t>MARG11 BZ Equity</t>
  </si>
  <si>
    <t>BTG Pactual Margem Debenture</t>
  </si>
  <si>
    <t>BTGP MARG DEB ULTRA QUALI DI</t>
  </si>
  <si>
    <t>ECRD AU Equity</t>
  </si>
  <si>
    <t>Betashares Australian Enhanc</t>
  </si>
  <si>
    <t>BS AU EH CREDIT IN CPL ETF</t>
  </si>
  <si>
    <t>ZPL CN Equity</t>
  </si>
  <si>
    <t>BMO长期省级债券指数ETF</t>
  </si>
  <si>
    <t>BMO LONG PROVINCIAL BOND IND</t>
  </si>
  <si>
    <t>RJVI US Equity</t>
  </si>
  <si>
    <t>RJ Eagle Vertical Income ETF</t>
  </si>
  <si>
    <t>RJ EAGLE VERTICAL INCOME ETF</t>
  </si>
  <si>
    <t>HYEM LN Equity</t>
  </si>
  <si>
    <t>VanEck Emerging Markets High</t>
  </si>
  <si>
    <t>VANECK EMERG MARKETS HY ETF</t>
  </si>
  <si>
    <t>TINF LN Equity</t>
  </si>
  <si>
    <t>Janus Henderson US Enhanced</t>
  </si>
  <si>
    <t>JH US INFLATION USD A</t>
  </si>
  <si>
    <t>KV4 SP Equity</t>
  </si>
  <si>
    <t>Xtrackers II新加坡国债UCITS</t>
  </si>
  <si>
    <t>X SINGAPORE GOV BOND 1C</t>
  </si>
  <si>
    <t>BFIX US Equity</t>
  </si>
  <si>
    <t>Build Bond Innovation ETF</t>
  </si>
  <si>
    <t>BUILD BOND INNOVATION ETF</t>
  </si>
  <si>
    <t>KSMF38 IT Equity</t>
  </si>
  <si>
    <t>KSM ETF 00 Tel Gov-Shekel 5+</t>
  </si>
  <si>
    <t>KSMETF TEL GOV SHEK 5+</t>
  </si>
  <si>
    <t>MTH FP Equity</t>
  </si>
  <si>
    <t>Amundi Euro Government Bond</t>
  </si>
  <si>
    <t>AMUNDI EUR GOV BOND 25+Y ACC</t>
  </si>
  <si>
    <t>KSMF198 IT Equity</t>
  </si>
  <si>
    <t>KSM ETF 00 Tel Bond-Yields S</t>
  </si>
  <si>
    <t>KSM TEL BOND-YIELD SHEKEL</t>
  </si>
  <si>
    <t>H10E IM Equity</t>
  </si>
  <si>
    <t>HSBC Global Funds ICAV - Eur</t>
  </si>
  <si>
    <t>HSBC ICAV EUR LOW GOV BD ETF</t>
  </si>
  <si>
    <t>MTFF13 IT Equity</t>
  </si>
  <si>
    <t>MTF SAL 00 Tel Bond - Gobal</t>
  </si>
  <si>
    <t>MTF SAL TEL BOND - GLOBAL</t>
  </si>
  <si>
    <t>MTFF114 IT Equity</t>
  </si>
  <si>
    <t>MTF Sal 00 Tel Bond-Shekel 5</t>
  </si>
  <si>
    <t>MTF SAL TEL BND-SH5-15 IL</t>
  </si>
  <si>
    <t>304670 KS Equity</t>
  </si>
  <si>
    <t>Samsung KODEX Ultra T-bond F</t>
  </si>
  <si>
    <t>KODEX ULTRA T-BOND FTRS INVH</t>
  </si>
  <si>
    <t>GFA LN Equity</t>
  </si>
  <si>
    <t>VanEck Global Fallen Angel H</t>
  </si>
  <si>
    <t>VANECK GL FALLEN ANGL HY ETF</t>
  </si>
  <si>
    <t>THTA US Equity</t>
  </si>
  <si>
    <t>SoFi Enhanced Yield ETF</t>
  </si>
  <si>
    <t>SOFI ENHANCED YIELD ETF</t>
  </si>
  <si>
    <t>DUKZ US Equity</t>
  </si>
  <si>
    <t>Ocean Park Diversified Incom</t>
  </si>
  <si>
    <t>OCEAN PA DIVERSIFIED IN ETF</t>
  </si>
  <si>
    <t>KSMF207 IT Equity</t>
  </si>
  <si>
    <t>KSM ETF Tel Bond-Shekel 5-15</t>
  </si>
  <si>
    <t>KSM ETF TEL-SH51</t>
  </si>
  <si>
    <t>HRLF109 IT Equity</t>
  </si>
  <si>
    <t>Harel Sal 00 Tel Bond Yields</t>
  </si>
  <si>
    <t>HAREL TEL BOND YIELD SHEKEL</t>
  </si>
  <si>
    <t>ISCB CN Equity</t>
  </si>
  <si>
    <t>IA Clarington Strategic Corp</t>
  </si>
  <si>
    <t>IA CLRNGTN STRTGC CRPRTE BND</t>
  </si>
  <si>
    <t>MTFF1 IT Equity</t>
  </si>
  <si>
    <t>MTF NON LINK FIXED INT GOV B</t>
  </si>
  <si>
    <t>MTF FP Equity</t>
  </si>
  <si>
    <t>东方汇理15年期以上欧元政府债</t>
  </si>
  <si>
    <t>AM EURO GOV BD 15+Y-ETF A</t>
  </si>
  <si>
    <t>MQYM AU Equity</t>
  </si>
  <si>
    <t>Macquarie Global Yield Maxim</t>
  </si>
  <si>
    <t>MACQ GBL YIELD MAX ACT ETF</t>
  </si>
  <si>
    <t>NLFA11 BZ Equity</t>
  </si>
  <si>
    <t>Nu Letras Financeiras Anbima</t>
  </si>
  <si>
    <t>NU LETRAS FINANCEIRAS ANBIMA</t>
  </si>
  <si>
    <t>NTNS11 BZ Equity</t>
  </si>
  <si>
    <t>Investo Teva Tesouro IPCA 0</t>
  </si>
  <si>
    <t>INVESTO TEVA TESOURO IPCA</t>
  </si>
  <si>
    <t>XV US Equity</t>
  </si>
  <si>
    <t>Simplify Target 15 Distribut</t>
  </si>
  <si>
    <t>SIMPLIFY TARGET 15 DISTR ETF</t>
  </si>
  <si>
    <t>TCHF32 IT Equity</t>
  </si>
  <si>
    <t>Tachlit SAL 00 Non-Linked Fi</t>
  </si>
  <si>
    <t>TACHLIT NON LNK FIX INT GOV5</t>
  </si>
  <si>
    <t>OVM US Equity</t>
  </si>
  <si>
    <t>Overlay Shares Municipal Bon</t>
  </si>
  <si>
    <t>OVERLAY SHARES MUNICIPAL BON</t>
  </si>
  <si>
    <t>GOV10 FP Equity</t>
  </si>
  <si>
    <t>BNP Paribas Easy JPM Tilted</t>
  </si>
  <si>
    <t>BNP PARI EASY JPM TIL EMU-UC</t>
  </si>
  <si>
    <t>ZTAX US Equity</t>
  </si>
  <si>
    <t>X-Square Municipal Income ET</t>
  </si>
  <si>
    <t>X-SQUARE MUNICIPAL INCOME ET</t>
  </si>
  <si>
    <t>EMCB US Equity</t>
  </si>
  <si>
    <t>智慧树新兴市场公司债券基金</t>
  </si>
  <si>
    <t>WISDOMTREE EM CORP BOND</t>
  </si>
  <si>
    <t>PHIP11 BZ Equity</t>
  </si>
  <si>
    <t>Phronesis Teva IPCA Dynamic</t>
  </si>
  <si>
    <t>PHRONESIS TEVA IPCA DYNAMIC</t>
  </si>
  <si>
    <t>WING LN Equity</t>
  </si>
  <si>
    <t>iShares Fallen Angels High Y</t>
  </si>
  <si>
    <t>ISHARES FALLEN ANGEL HY CORP</t>
  </si>
  <si>
    <t>BDAP11 BZ Equity</t>
  </si>
  <si>
    <t>Bb Etf Indice Dap5 B3 Fundo</t>
  </si>
  <si>
    <t>BB ETF INDICE DAP5 ETF</t>
  </si>
  <si>
    <t>ESGGB SW Equity</t>
  </si>
  <si>
    <t>UBS J.P. Morgan Global Gov E</t>
  </si>
  <si>
    <t>UBS ETF GL GOV ESG LIQ ACC</t>
  </si>
  <si>
    <t>IMBB11 BZ Equity</t>
  </si>
  <si>
    <t>ETF Bradesco IMA-B Fundo de</t>
  </si>
  <si>
    <t>ETF BRADESCO IMA-B FUNDO DE</t>
  </si>
  <si>
    <t>MMMA US Equity</t>
  </si>
  <si>
    <t>NYLI MacKay Muni Allocation</t>
  </si>
  <si>
    <t>NYLI MACKAY MUNI ALLOC ETF</t>
  </si>
  <si>
    <t>B5P211 BZ Equity</t>
  </si>
  <si>
    <t>It Now IMA-B5 P2 Fundo de In</t>
  </si>
  <si>
    <t>IT NOW ETF IMA-B5 P2</t>
  </si>
  <si>
    <t>LFTS11 BZ Equity</t>
  </si>
  <si>
    <t>Investo Teva Tesouro Selic E</t>
  </si>
  <si>
    <t>INVESTO TEVA TESOURO SLC ETF</t>
  </si>
  <si>
    <t>34GI GR Equity</t>
  </si>
  <si>
    <t>iShares iBonds Dec 2034 Term</t>
  </si>
  <si>
    <t>ISHARES IBONDS D 2034 TC ETF</t>
  </si>
  <si>
    <t>IFRB NA Equity</t>
  </si>
  <si>
    <t>iShares安硕法国国债UCITS ETF</t>
  </si>
  <si>
    <t>ISHARES FRANCE GOVT BND</t>
  </si>
  <si>
    <t>HAGG LN Equity</t>
  </si>
  <si>
    <t>HSBC Bloomberg Global ESG Ag</t>
  </si>
  <si>
    <t>HSBC BBG G ESG AG 1-3 BD ETF</t>
  </si>
  <si>
    <t>BTP10 IM Equity</t>
  </si>
  <si>
    <t>Amundi Italy BTP Government</t>
  </si>
  <si>
    <t>AMUNDI ITL BTP GV BND 10Y AC</t>
  </si>
  <si>
    <t>IGBG NA Equity</t>
  </si>
  <si>
    <t>iShares Broad Global Govt Bo</t>
  </si>
  <si>
    <t>ISHARES BROAD GLOBAL GOVT BO</t>
  </si>
  <si>
    <t>PFLD US Equity</t>
  </si>
  <si>
    <t>AAM Low Duration Preferred a</t>
  </si>
  <si>
    <t>AAM LOW DUR PREF &amp; INC SEC</t>
  </si>
  <si>
    <t>FPFD US Equity</t>
  </si>
  <si>
    <t>Fidelity Preferred Securitie</t>
  </si>
  <si>
    <t>FIDELITY PREFERRED SEC INC</t>
  </si>
  <si>
    <t>X25E GR Equity</t>
  </si>
  <si>
    <t>Xtrackers II欧元区国债25年以</t>
  </si>
  <si>
    <t>X EURZ GOVT BOND 25+ 1C</t>
  </si>
  <si>
    <t>HRLF237 IT Equity</t>
  </si>
  <si>
    <t>Harel Sal 00 Tel Gov-Non Lin</t>
  </si>
  <si>
    <t>HAREL SAL TELGOV-NO LINIL</t>
  </si>
  <si>
    <t>TCHF64 IT Equity</t>
  </si>
  <si>
    <t>Tachlit SAL 00 Tel Bond Yiel</t>
  </si>
  <si>
    <t>TACHLIT SAL TEL BND YLD NIS</t>
  </si>
  <si>
    <t>GEMS LN Equity</t>
  </si>
  <si>
    <t>Goldman Sachs Emerging Marke</t>
  </si>
  <si>
    <t>GS EM GREEN SOCIAL ACTV ETF</t>
  </si>
  <si>
    <t>YII5P IM Equity</t>
  </si>
  <si>
    <t>YIS 5+ Year Italian Governme</t>
  </si>
  <si>
    <t>YIS 5+YEAR ITALIAN GOVT BOND</t>
  </si>
  <si>
    <t>MHY US Equity</t>
  </si>
  <si>
    <t>Man Active High Yield ETF</t>
  </si>
  <si>
    <t>MAN ACTIVE HIGH YIELD ETF</t>
  </si>
  <si>
    <t>OVB US Equity</t>
  </si>
  <si>
    <t>Overlay Shares Core Bond ETF</t>
  </si>
  <si>
    <t>OVERLAY SHARES CORE BOND ETF</t>
  </si>
  <si>
    <t>SBAR US Equity</t>
  </si>
  <si>
    <t>Simplify Barrier Income ETF</t>
  </si>
  <si>
    <t>SIMPLIFY BARRIER INCOME ETF</t>
  </si>
  <si>
    <t>DCBC CN Equity</t>
  </si>
  <si>
    <t>Desjardins Canadian Corporat</t>
  </si>
  <si>
    <t>DESJARDINS CNDIN CP BN I ETF</t>
  </si>
  <si>
    <t>KSMF219 IT Equity</t>
  </si>
  <si>
    <t>KSM ETF 00 Tel Bond-Shekel A</t>
  </si>
  <si>
    <t>KSM ETF TEL-SHA IL</t>
  </si>
  <si>
    <t>GE710 FP Equity</t>
  </si>
  <si>
    <t>BNP PAR EASY JPM TIL EMU-EUR</t>
  </si>
  <si>
    <t>BREM US Equity</t>
  </si>
  <si>
    <t>iShares Emerging Markets Bon</t>
  </si>
  <si>
    <t>ISHARES EME MAR BOND ACT ETF</t>
  </si>
  <si>
    <t>LLFT11 BZ Equity</t>
  </si>
  <si>
    <t>BTG Pactual Teva Tesouro Sel</t>
  </si>
  <si>
    <t>BTG PAC TEVA TESOURO SELIC</t>
  </si>
  <si>
    <t>ICCB CN Equity</t>
  </si>
  <si>
    <t>Invesco Canadian Core Plus B</t>
  </si>
  <si>
    <t>INVESCO CND CORE PLUS BO ETF</t>
  </si>
  <si>
    <t>RYSE US Equity</t>
  </si>
  <si>
    <t>Vest 10 Year Interest Rate H</t>
  </si>
  <si>
    <t>VEST 10 YEAR INTEREST RATE H</t>
  </si>
  <si>
    <t>IMAB11 BZ Equity</t>
  </si>
  <si>
    <t>It Now ID ETF IMA-B Fundo de</t>
  </si>
  <si>
    <t>IT NOW ID ETF IMA-B</t>
  </si>
  <si>
    <t>HIGH AU Equity</t>
  </si>
  <si>
    <t>Schroder Australia High Yiel</t>
  </si>
  <si>
    <t>SCHRODER AUSTRALIA HIGH YD</t>
  </si>
  <si>
    <t>JGOV LN Equity</t>
  </si>
  <si>
    <t>JPMorgan Global Government B</t>
  </si>
  <si>
    <t>JPM GLOBAL GOV BND UCITS ETF</t>
  </si>
  <si>
    <t>ZCB CN Equity</t>
  </si>
  <si>
    <t>BMO Corporate Bond Index ETF</t>
  </si>
  <si>
    <t>BMO CORPORATE BOND INDEX ETF</t>
  </si>
  <si>
    <t>HRLF301 IT Equity</t>
  </si>
  <si>
    <t>Harel Sal 00 Tel Bond - Glob</t>
  </si>
  <si>
    <t>HAREL SAL TEL BOND-GLOBAL</t>
  </si>
  <si>
    <t>MTFF80 IT Equity</t>
  </si>
  <si>
    <t>Migdal MTF Sal 00 Tel Bond -</t>
  </si>
  <si>
    <t>MIGDAL MTF TEL BOND - SHEK A</t>
  </si>
  <si>
    <t>HRLFK42 IT Equity</t>
  </si>
  <si>
    <t>Harel Sal 00 Kosher Tel Bond</t>
  </si>
  <si>
    <t>HAREL KOSHER TEL BOND-SHEKEL</t>
  </si>
  <si>
    <t>INMU US Equity</t>
  </si>
  <si>
    <t>iShares Intermediate Muni In</t>
  </si>
  <si>
    <t>ISHARES INTERMEDIATE MUNI IN</t>
  </si>
  <si>
    <t>TCHF75 IT Equity</t>
  </si>
  <si>
    <t>Tachlit SAL 00 Tel Bond Glob</t>
  </si>
  <si>
    <t>TACHLIT SAL 00 TEL BOND GL</t>
  </si>
  <si>
    <t>ETFBCASH PW Equity</t>
  </si>
  <si>
    <t>BETA ETF OBLIGACJI 6M PORTFE</t>
  </si>
  <si>
    <t>GHYU LN Equity</t>
  </si>
  <si>
    <t>Amundi Global High Yield Cor</t>
  </si>
  <si>
    <t>AMUNDI GLBHGYLD CRPTBND ESG</t>
  </si>
  <si>
    <t>CSCP CN Equity</t>
  </si>
  <si>
    <t>CIBC Sustainable Canadian Co</t>
  </si>
  <si>
    <t>CIBC SUSTAINABLE CANADIAN CO</t>
  </si>
  <si>
    <t>VCIP CN Equity</t>
  </si>
  <si>
    <t>Vanguard Conservative Income</t>
  </si>
  <si>
    <t>VANGUARD CONSERV INCOME ETF</t>
  </si>
  <si>
    <t>TCHF34 IT Equity</t>
  </si>
  <si>
    <t>Tachlit SAL 00 Tel Bond Shek</t>
  </si>
  <si>
    <t>TACHLIT SAL TEL BOND SHEKEL</t>
  </si>
  <si>
    <t>FSYD US Equity</t>
  </si>
  <si>
    <t>Fidelity Sustainable High Yi</t>
  </si>
  <si>
    <t>FIDELITY SUSTAIN HI YLD</t>
  </si>
  <si>
    <t>UEFY GR Equity</t>
  </si>
  <si>
    <t>瑞银-ETF SBI外国AAA-BBB 1-5</t>
  </si>
  <si>
    <t>UBS ETF SBI FO. AAA-BBB 1-5</t>
  </si>
  <si>
    <t>PCHI US Equity</t>
  </si>
  <si>
    <t>Polen High Income ETF</t>
  </si>
  <si>
    <t>POLEN HIGH INCOME ETF</t>
  </si>
  <si>
    <t>MUKL LN Equity</t>
  </si>
  <si>
    <t>M&amp;G UK Index-Linked Gilts Ac</t>
  </si>
  <si>
    <t>M&amp;G UK IL GILTS ACTV ETF</t>
  </si>
  <si>
    <t>ACVT US Equity</t>
  </si>
  <si>
    <t>Advent Convertible Bond ETF</t>
  </si>
  <si>
    <t>ADVENT CONVERTIBLE BOND ETF</t>
  </si>
  <si>
    <t>FALN US Equity</t>
  </si>
  <si>
    <t>iShares Fallen Angels USD Bo</t>
  </si>
  <si>
    <t>ISHARES FALLEN ANGELS ETF</t>
  </si>
  <si>
    <t>2861 JP Equity</t>
  </si>
  <si>
    <t>Listed Index Fund France Gov</t>
  </si>
  <si>
    <t>LISTED INDEX FD FRANCE GB HD</t>
  </si>
  <si>
    <t>PGHY US Equity</t>
  </si>
  <si>
    <t>景顺环球（除美国）高收益公司</t>
  </si>
  <si>
    <t>INVESCO GLOBAL EX US HIGH YI</t>
  </si>
  <si>
    <t>AUPO11 BZ Equity</t>
  </si>
  <si>
    <t>BTG Pactual Teva AUVP ITPR L</t>
  </si>
  <si>
    <t>BTG PACTUAL TEVA AUVP ITPR L</t>
  </si>
  <si>
    <t>CLOZ US Equity</t>
  </si>
  <si>
    <t>Eldridge BBB-B CLO ETF</t>
  </si>
  <si>
    <t>ELDRIDGE BBB-B CLO ETF</t>
  </si>
  <si>
    <t>MUST US Equity</t>
  </si>
  <si>
    <t>Columbia Multi-Sector Munici</t>
  </si>
  <si>
    <t>COLUMBIA MULTI-SECT MUNI INC</t>
  </si>
  <si>
    <t>MYMK US Equity</t>
  </si>
  <si>
    <t>State Street My2031 Municipa</t>
  </si>
  <si>
    <t>STATE STREET MY2031 MUNICIPA</t>
  </si>
  <si>
    <t>MUNC US Equity</t>
  </si>
  <si>
    <t>Northern Trust 2045 Tax-Exem</t>
  </si>
  <si>
    <t>NT 2045 TAX-EXM DIST LDR ETF</t>
  </si>
  <si>
    <t>IGBH US Equity</t>
  </si>
  <si>
    <t>iShares Interest Rate Hedged</t>
  </si>
  <si>
    <t>ISHARES INTEREST RATE HEDGED</t>
  </si>
  <si>
    <t>EUHY US Equity</t>
  </si>
  <si>
    <t>iShares安硕欧元高收益公司债</t>
  </si>
  <si>
    <t>ISHARES EURO HIGH YIELD CORP</t>
  </si>
  <si>
    <t>WMSB US Equity</t>
  </si>
  <si>
    <t>Weitz Multisector Bond ETF</t>
  </si>
  <si>
    <t>WEITZ MULTISECTOR BOND ETF</t>
  </si>
  <si>
    <t>ETFBTBSP PW Equity</t>
  </si>
  <si>
    <t>Beta ETF TBSP Portfolio Clos</t>
  </si>
  <si>
    <t>BETA ETF TBSP</t>
  </si>
  <si>
    <t>PFIN CN Equity</t>
  </si>
  <si>
    <t>Picton Income Fund</t>
  </si>
  <si>
    <t>PICTON INCOME FUND</t>
  </si>
  <si>
    <t>HRLF300 IT Equity</t>
  </si>
  <si>
    <t>Harel Sal 00 Tel Bond Shekel</t>
  </si>
  <si>
    <t>HAREL SAL TEL BOND SHEKEL-50</t>
  </si>
  <si>
    <t>SBIF SP Equity</t>
  </si>
  <si>
    <t>ABF新加坡债券指数基金</t>
  </si>
  <si>
    <t>ABF SINGAPORE BOND FUND</t>
  </si>
  <si>
    <t>JPIB US Equity</t>
  </si>
  <si>
    <t>JPMorgan International Bond</t>
  </si>
  <si>
    <t>JPMORGAN INTL BND ETF</t>
  </si>
  <si>
    <t>XMPT US Equity</t>
  </si>
  <si>
    <t>范达封闭式基金地方债收益ETF</t>
  </si>
  <si>
    <t>VANECK CEF MUNI INCOME ETF</t>
  </si>
  <si>
    <t>X15E GR Equity</t>
  </si>
  <si>
    <t>Xtrackers II欧元区国债15-30</t>
  </si>
  <si>
    <t>X EURZ GOVT BOND 15-30 1C</t>
  </si>
  <si>
    <t>BSMW US Equity</t>
  </si>
  <si>
    <t>Invesco BulletShares 2032 Mu</t>
  </si>
  <si>
    <t>INVESCO BULLETSHARES 2032 MB</t>
  </si>
  <si>
    <t>YLD US Equity</t>
  </si>
  <si>
    <t>Principal Active High Yield</t>
  </si>
  <si>
    <t>PRINCIPAL ACT HI YLD ETF</t>
  </si>
  <si>
    <t>EUN8 GR Equity</t>
  </si>
  <si>
    <t>iShares安硕欧元国债10-15年期</t>
  </si>
  <si>
    <t>ISHARES EURO GOVT 10-15YR</t>
  </si>
  <si>
    <t>TCHFK3 IT Equity</t>
  </si>
  <si>
    <t>Tachlit Sal 00 Kosher Tel Bo</t>
  </si>
  <si>
    <t>TACHLIT KOSHER TEL BOND-SHE</t>
  </si>
  <si>
    <t>ZCM CN Equity</t>
  </si>
  <si>
    <t>BMO中期公司债指数ETF</t>
  </si>
  <si>
    <t>BMO MID CORPORATE BOND INDEX</t>
  </si>
  <si>
    <t>MTD FP Equity</t>
  </si>
  <si>
    <t>东方汇理7-10年期欧元政府债券</t>
  </si>
  <si>
    <t>AM EURO GOV BOND 7-10Y-ETF A</t>
  </si>
  <si>
    <t>SYLD CN Equity</t>
  </si>
  <si>
    <t>Purpose Strategic Yield Fund</t>
  </si>
  <si>
    <t>PURPOSE STRATEGIC YIELD FUND</t>
  </si>
  <si>
    <t>KSMF3 IT Equity</t>
  </si>
  <si>
    <t>KSM ETF 00!Tel Bond-Global S</t>
  </si>
  <si>
    <t>KSM ETF 00!TL BN-GBL SHKL IL</t>
  </si>
  <si>
    <t>IG35 GR Equity</t>
  </si>
  <si>
    <t>iShares iBonds Dec 2035 Term</t>
  </si>
  <si>
    <t>ISHAS IBO DEC 2035 T CC ETF</t>
  </si>
  <si>
    <t>MTE FP Equity</t>
  </si>
  <si>
    <t>东方汇理欧元政府债券10-15年</t>
  </si>
  <si>
    <t>AM EURO GOV BD 10-15Y-ETF A</t>
  </si>
  <si>
    <t>KSMF48 IT Equity</t>
  </si>
  <si>
    <t>KSM ETF 00 Tel Bond-Shekel</t>
  </si>
  <si>
    <t>KSM ETF TEL-BSH</t>
  </si>
  <si>
    <t>VLB CN Equity</t>
  </si>
  <si>
    <t>Vanguard Canadian Long-Term</t>
  </si>
  <si>
    <t>VANGUARD CANADIAN LONG-TERM</t>
  </si>
  <si>
    <t>XARO AU Equity</t>
  </si>
  <si>
    <t>Ardea Real Outcome Bond Comp</t>
  </si>
  <si>
    <t>ARDEA REAL OUTCOME BOND COMP</t>
  </si>
  <si>
    <t>CSSD US Equity</t>
  </si>
  <si>
    <t>Cohen &amp; Steers Short Duratio</t>
  </si>
  <si>
    <t>C&amp;S SD PREF &amp; INC ACTIVE ETF</t>
  </si>
  <si>
    <t>XB34 GR Equity</t>
  </si>
  <si>
    <t>Xtrackers II Target Maturity</t>
  </si>
  <si>
    <t>X TARGET MAT 34 EUR CORP 1D</t>
  </si>
  <si>
    <t>GSSBD FP Equity</t>
  </si>
  <si>
    <t>BNP Paribas Easy JPM Screene</t>
  </si>
  <si>
    <t>BNP P E JS GS SI EB-UC ET EU</t>
  </si>
  <si>
    <t>TCHF158 IT Equity</t>
  </si>
  <si>
    <t>TACHLIT SAL TEL BD SHEKEL 50</t>
  </si>
  <si>
    <t>KSMFK2 IT Equity</t>
  </si>
  <si>
    <t>KSM ETF 00 Kosher Tel Bond-S</t>
  </si>
  <si>
    <t>KSM ETF KOSHER TEL-BSH</t>
  </si>
  <si>
    <t>GILI LN Equity</t>
  </si>
  <si>
    <t>东方汇理英国政府通胀挂钩债券</t>
  </si>
  <si>
    <t>AM UK GOVT INF-LNKD BD-ETF D</t>
  </si>
  <si>
    <t>354240 KS Equity</t>
  </si>
  <si>
    <t>KB KBSTAR U.S. Preferred Sec</t>
  </si>
  <si>
    <t>KB KBSTAR US PFD ICE TR ETF</t>
  </si>
  <si>
    <t>DXG10 IM Equity</t>
  </si>
  <si>
    <t>Ailis - D-X MSCI EURO GOVERN</t>
  </si>
  <si>
    <t>ADX MSCI ER GOVER BD 7-10ETF</t>
  </si>
  <si>
    <t>KSMF2 IT Equity</t>
  </si>
  <si>
    <t>KSM ETF 00 Tel Bond Shekel-5</t>
  </si>
  <si>
    <t>KSM ETF TEL-B50</t>
  </si>
  <si>
    <t>EMHY US Equity</t>
  </si>
  <si>
    <t>ISHARES J.P. MORGAN EM HIGH</t>
  </si>
  <si>
    <t>PZA US Equity</t>
  </si>
  <si>
    <t>景顺全国免AMT地方债ETF</t>
  </si>
  <si>
    <t>INVESCO NATIONAL AMT-FREE MU</t>
  </si>
  <si>
    <t>MILK US Equity</t>
  </si>
  <si>
    <t>Pacer US Cash Cows Bond ETF</t>
  </si>
  <si>
    <t>PACER US CASH COWS BOND ETF</t>
  </si>
  <si>
    <t>YLDX AU Equity</t>
  </si>
  <si>
    <t>Coolabah Global Floating-Rat</t>
  </si>
  <si>
    <t>COOLABAH GLB FRT HY COM ETF</t>
  </si>
  <si>
    <t>MANI US Equity</t>
  </si>
  <si>
    <t>MAN Active Income ETF</t>
  </si>
  <si>
    <t>MAN ACTIVE INCOME ETF</t>
  </si>
  <si>
    <t>UBBB FP Equity</t>
  </si>
  <si>
    <t>Amundi Global Corporate Bond</t>
  </si>
  <si>
    <t>AM GL CORP BOND 1-5 C</t>
  </si>
  <si>
    <t>TAXE US Equity</t>
  </si>
  <si>
    <t>T Rowe Price Intermediate Mu</t>
  </si>
  <si>
    <t>T ROWE PRICE INTERMED MUNP B</t>
  </si>
  <si>
    <t>ICPB CN Equity</t>
  </si>
  <si>
    <t>IA Clarington Agile Core Plu</t>
  </si>
  <si>
    <t>IA CLARINGTON AGILE CORE PLU</t>
  </si>
  <si>
    <t>KSMF58 IT Equity</t>
  </si>
  <si>
    <t>KSM ETF 00 Tel Gov-Shekel</t>
  </si>
  <si>
    <t>KSMETF TEL GOV SHEKEL</t>
  </si>
  <si>
    <t>3440 HK Equity</t>
  </si>
  <si>
    <t>Global X US Treasury 0-3 Mon</t>
  </si>
  <si>
    <t>GLOBAL X US TREASURY 0-3 M</t>
  </si>
  <si>
    <t>KNRG US Equity</t>
  </si>
  <si>
    <t>Simplify Kayne Anderson Ener</t>
  </si>
  <si>
    <t>SMPLFY KYN ANDR EN &amp; INFR CR</t>
  </si>
  <si>
    <t>PGL CN Equity</t>
  </si>
  <si>
    <t>PowerShares超流动长期国债指</t>
  </si>
  <si>
    <t>INVESCO LONG TERM GOVERNMENT</t>
  </si>
  <si>
    <t>MUSE US Equity</t>
  </si>
  <si>
    <t>TCW Multisector Credit Incom</t>
  </si>
  <si>
    <t>TCW MULTIS CREDIT INCOME ETF</t>
  </si>
  <si>
    <t>ZGSB CN Equity</t>
  </si>
  <si>
    <t>BMO Global Strategic Bond Fu</t>
  </si>
  <si>
    <t>BMO GLOBAL STRATEGIC BOND ET</t>
  </si>
  <si>
    <t>MTFFK57 IT Equity</t>
  </si>
  <si>
    <t>MTF Sal Kosher Tel Bond Shek</t>
  </si>
  <si>
    <t>MTF SAL KOSHER TEL BOND SHEK</t>
  </si>
  <si>
    <t>511090 CH Equity</t>
  </si>
  <si>
    <t>30年国债</t>
  </si>
  <si>
    <t>PY 30Y TREASURY BOND ETF</t>
  </si>
  <si>
    <t>PFCB CN Equity</t>
  </si>
  <si>
    <t>PICTON Core Bond Fund</t>
  </si>
  <si>
    <t>PICTON CORE BOND FUND</t>
  </si>
  <si>
    <t>ABI US Equity</t>
  </si>
  <si>
    <t>VictoryShares Pioneer Asset-</t>
  </si>
  <si>
    <t>VS PIONEER AST-BASD INC ETF</t>
  </si>
  <si>
    <t>33GI GR Equity</t>
  </si>
  <si>
    <t>iShares iBonds Dec 2033 Term</t>
  </si>
  <si>
    <t>ISHRS IBD D 2033 T EUR C ETF</t>
  </si>
  <si>
    <t>HRLF24 IT Equity</t>
  </si>
  <si>
    <t>Harel Sal 00 Tel Bond - Shek</t>
  </si>
  <si>
    <t>HAREL SAL 00 TEL BD - SHEKEL</t>
  </si>
  <si>
    <t>JHMU US Equity</t>
  </si>
  <si>
    <t>John Hancock Dynamic Municip</t>
  </si>
  <si>
    <t>JH DYNAMIC MUNI BOND ETF</t>
  </si>
  <si>
    <t>RCLO US Equity</t>
  </si>
  <si>
    <t>Reckoner BBB-B CLO ETF</t>
  </si>
  <si>
    <t>RECKONER BBB-B CLO ETF</t>
  </si>
  <si>
    <t>AGGE NA Equity</t>
  </si>
  <si>
    <t>iShares Global Aggregate Bon</t>
  </si>
  <si>
    <t>ISHA GLO AGG BD ES SR UC-US</t>
  </si>
  <si>
    <t>XHB CN Equity</t>
  </si>
  <si>
    <t>iShares安硕加拿大混合型公司</t>
  </si>
  <si>
    <t>ISHARES CANADIAN HYBRID CORP</t>
  </si>
  <si>
    <t>TCHF31 IT Equity</t>
  </si>
  <si>
    <t>TACHLIT NON-LINKED G BD 2-5Y</t>
  </si>
  <si>
    <t>SFIF AU Equity</t>
  </si>
  <si>
    <t>Seed Financial Income Fund A</t>
  </si>
  <si>
    <t>SEED FINANCIAL INCM FUND ETF</t>
  </si>
  <si>
    <t>GHYG US Equity</t>
  </si>
  <si>
    <t>iShares安硕全球高收益公司债E</t>
  </si>
  <si>
    <t>ISHARES US&amp;INTL HIGH YIELD C</t>
  </si>
  <si>
    <t>XLB CN Equity</t>
  </si>
  <si>
    <t>iShares安硕核心加拿大长期债</t>
  </si>
  <si>
    <t>ISHARES CORE CANADIAN LONG T</t>
  </si>
  <si>
    <t>FPE US Equity</t>
  </si>
  <si>
    <t>First Trust优先证券与收益ETF</t>
  </si>
  <si>
    <t>FT-PREFERRED SECUR &amp; INC ETF</t>
  </si>
  <si>
    <t>140A JP Equity</t>
  </si>
  <si>
    <t>iFreeETF 10 Year U.S. Treasu</t>
  </si>
  <si>
    <t>IFREEETF 10 YEAR U.S. TREASU</t>
  </si>
  <si>
    <t>IB5M11 BZ Equity</t>
  </si>
  <si>
    <t>It Now ETF IMA-B5 Fundo de I</t>
  </si>
  <si>
    <t>IT NOW IB5M</t>
  </si>
  <si>
    <t>AGGG LN Equity</t>
  </si>
  <si>
    <t>iShares安硕核心全球综合债券U</t>
  </si>
  <si>
    <t>ISHARES CORE GLB AGG BOND</t>
  </si>
  <si>
    <t>TLTP US Equity</t>
  </si>
  <si>
    <t>Amplify TLT U.S. Treasury 12</t>
  </si>
  <si>
    <t>AMPLIFY TLT U.S. TREASURY 12</t>
  </si>
  <si>
    <t>KSMF39 IT Equity</t>
  </si>
  <si>
    <t>KSM ETF 00 Tel Gov-Shekel 2-</t>
  </si>
  <si>
    <t>KSMETF TEL GOV SHEK 2-5</t>
  </si>
  <si>
    <t>GBND CN Equity</t>
  </si>
  <si>
    <t>Manulife Smart Global Bond E</t>
  </si>
  <si>
    <t>MANULIFE SMRT GLB BD ETF</t>
  </si>
  <si>
    <t>JFLX US Equity</t>
  </si>
  <si>
    <t>JPMorgan Flexible Debt ETF</t>
  </si>
  <si>
    <t>JPMORGAN FLEXIBLE DEBT ETF</t>
  </si>
  <si>
    <t>SRID7 FP Equity</t>
  </si>
  <si>
    <t>BNP Paribas Easy EUR Corp Bo</t>
  </si>
  <si>
    <t>BNP PRB ESY CB PB 7-10Y-U EI</t>
  </si>
  <si>
    <t>JEUG LN Equity</t>
  </si>
  <si>
    <t>JPMorgan EUR Government Bond</t>
  </si>
  <si>
    <t>JPM EUR GOV BOND UCITS ETF</t>
  </si>
  <si>
    <t>CATF US Equity</t>
  </si>
  <si>
    <t>American Century California</t>
  </si>
  <si>
    <t>AMERICAN CENTURY CA MUNI ETF</t>
  </si>
  <si>
    <t>EUGO IM Equity</t>
  </si>
  <si>
    <t>PIMCO Advantage Euro Governm</t>
  </si>
  <si>
    <t>PIMCO AE GOV BD UCITS ETF</t>
  </si>
  <si>
    <t>JOJO US Equity</t>
  </si>
  <si>
    <t>ATAC Credit Rotation ETF</t>
  </si>
  <si>
    <t>ATAC CREDIT ROTATION ETF</t>
  </si>
  <si>
    <t>XPF CN Equity</t>
  </si>
  <si>
    <t>iShares安硕标普/TSX北美优先</t>
  </si>
  <si>
    <t>ISHARES S&amp;P/TSX NORTH AMERIC</t>
  </si>
  <si>
    <t>2259 JP Equity</t>
  </si>
  <si>
    <t>iShares 7-10 Year France Gov</t>
  </si>
  <si>
    <t>ISHARES 7-10 YR FRANCE ETF</t>
  </si>
  <si>
    <t>3059 HK Equity</t>
  </si>
  <si>
    <t>Global X Bloomberg MSCI Asia</t>
  </si>
  <si>
    <t>GX AGREENBOND</t>
  </si>
  <si>
    <t>SHYM US Equity</t>
  </si>
  <si>
    <t>iShares Short Duration High</t>
  </si>
  <si>
    <t>ISHARES SHORT DURATION HIGH</t>
  </si>
  <si>
    <t>PMBS US Equity</t>
  </si>
  <si>
    <t>PIMCO Mortgage-Backed Securi</t>
  </si>
  <si>
    <t>PIMCO MBS ACTIVE ETF</t>
  </si>
  <si>
    <t>ESGB CN Equity</t>
  </si>
  <si>
    <t>BMO ESG Corporate Bond Index</t>
  </si>
  <si>
    <t>BMO ESG CORPORATE BOND INDEX</t>
  </si>
  <si>
    <t>HMOP US Equity</t>
  </si>
  <si>
    <t>Hartford Municipal Opportuni</t>
  </si>
  <si>
    <t>HARTFORD MUNICIPAL OPP ETF</t>
  </si>
  <si>
    <t>2862 JP Equity</t>
  </si>
  <si>
    <t>LISTED INDEX FD FRANCE GB NH</t>
  </si>
  <si>
    <t>XB33 GR Equity</t>
  </si>
  <si>
    <t>X MAT SEP33 EUR CORP 1D</t>
  </si>
  <si>
    <t>JEAA LN Equity</t>
  </si>
  <si>
    <t>JPMorgan EUR Aggregate Bond</t>
  </si>
  <si>
    <t>JPM EUR AGG BOND UCITS ETF</t>
  </si>
  <si>
    <t>LODI US Equity</t>
  </si>
  <si>
    <t>AAM SLC Low Duration Income</t>
  </si>
  <si>
    <t>AAM SLC LOW DURATION INC ETF</t>
  </si>
  <si>
    <t>ACE32 FP Equity</t>
  </si>
  <si>
    <t>BNP Paribas Easy ESG Enhance</t>
  </si>
  <si>
    <t>BNP PARIB EASY ESG EN EUR-UA</t>
  </si>
  <si>
    <t>511130 CH Equity</t>
  </si>
  <si>
    <t>博时上证30年期国债交易型开放</t>
  </si>
  <si>
    <t>BS SSE 30Y CN BOND ETF</t>
  </si>
  <si>
    <t>ERTH FP Equity</t>
  </si>
  <si>
    <t>Amundi Euro Government Green</t>
  </si>
  <si>
    <t>AM EURO GOV GREEN BD-ETF A</t>
  </si>
  <si>
    <t>BSMV US Equity</t>
  </si>
  <si>
    <t>Invesco Bulletshares 2031 Mu</t>
  </si>
  <si>
    <t>INVESCO BULLETSHARES 2031 MB</t>
  </si>
  <si>
    <t>BCLO US Equity</t>
  </si>
  <si>
    <t>iShares BBB-B CLO Active ETF</t>
  </si>
  <si>
    <t>ISHARES BBB-B CLO ACTIVE ETF</t>
  </si>
  <si>
    <t>FLXN US Equity</t>
  </si>
  <si>
    <t>Horizon Flexible Income ETF</t>
  </si>
  <si>
    <t>HORIZON FLEXIBLE INCOME ETF</t>
  </si>
  <si>
    <t>INXG LN Equity</t>
  </si>
  <si>
    <t>iShares安硕英镑指数挂钩金边</t>
  </si>
  <si>
    <t>ISHARES GBP INDEX-LNK GILTS</t>
  </si>
  <si>
    <t>HRLF303 IT Equity</t>
  </si>
  <si>
    <t>HAREL TEL BND - SHK BNK&amp;INS</t>
  </si>
  <si>
    <t>MTFF5 IT Equity</t>
  </si>
  <si>
    <t>MTF SAL 00 Tel Bond Shekel</t>
  </si>
  <si>
    <t>MTF SAL TEL BOND SHEKEL</t>
  </si>
  <si>
    <t>MUNX US Equity</t>
  </si>
  <si>
    <t>AMG GW&amp;K Muni Income ETF</t>
  </si>
  <si>
    <t>AMG GW&amp;K MUNI INCOME ETF</t>
  </si>
  <si>
    <t>JBBB US Equity</t>
  </si>
  <si>
    <t>Janus Henderson B-BBB CLO ET</t>
  </si>
  <si>
    <t>JANUS HENDERSON B-BBB CLO ET</t>
  </si>
  <si>
    <t>CBNX AU Equity</t>
  </si>
  <si>
    <t>Coolabah Global Carbon Leade</t>
  </si>
  <si>
    <t>COOLABAH GLB CLC ETF</t>
  </si>
  <si>
    <t>KSMF223 IT Equity</t>
  </si>
  <si>
    <t>KSM ETF 00 Tel Bond-Shekel 1</t>
  </si>
  <si>
    <t>KSM ETF TEL-SH03 IL</t>
  </si>
  <si>
    <t>CGMU US Equity</t>
  </si>
  <si>
    <t>Capital Group Municipal Inco</t>
  </si>
  <si>
    <t>CAP GROUP MUNICIPAL INCOME</t>
  </si>
  <si>
    <t>GAEM US Equity</t>
  </si>
  <si>
    <t>Simplify Gamma Emerging Mark</t>
  </si>
  <si>
    <t>SIMPLIFY GAMMA E/M BND ETF</t>
  </si>
  <si>
    <t>TCHF14 IT Equity</t>
  </si>
  <si>
    <t>Tachlit SAL 00 Non Linked Go</t>
  </si>
  <si>
    <t>TACHLIT SAL 00 NON LNK GOV B</t>
  </si>
  <si>
    <t>00771 TT Equity</t>
  </si>
  <si>
    <t>Yuanta S&amp;P U.S. High Yield P</t>
  </si>
  <si>
    <t>YUANTA S&amp;P US HY PRE ST ETF</t>
  </si>
  <si>
    <t>AVMU US Equity</t>
  </si>
  <si>
    <t>Avantis Core Municipal Fixed</t>
  </si>
  <si>
    <t>AVANTIS CORE MUNICIPAL FIXED</t>
  </si>
  <si>
    <t>MYMI US Equity</t>
  </si>
  <si>
    <t>State Street My2029 Municipa</t>
  </si>
  <si>
    <t>STATE STREET MY2029 MUNICIPA</t>
  </si>
  <si>
    <t>MTFF2 IT Equity</t>
  </si>
  <si>
    <t>MTF Sal 00 Non-Linked Fixed</t>
  </si>
  <si>
    <t>MTF NON-LNK FIX INT GOV 2-5Y</t>
  </si>
  <si>
    <t>CNYB NA Equity</t>
  </si>
  <si>
    <t>iShares China CNY Bond UCITS</t>
  </si>
  <si>
    <t>ISHARES CHINA CNY BOND USD-D</t>
  </si>
  <si>
    <t>FAMSFF IM Equity</t>
  </si>
  <si>
    <t>Fineco AM MSCI EUR IG SRI P-</t>
  </si>
  <si>
    <t>FI AM M E IS P-SE FF CB UE-A</t>
  </si>
  <si>
    <t>GMUN US Equity</t>
  </si>
  <si>
    <t>Goldman Sachs Access Municip</t>
  </si>
  <si>
    <t>GOLDMAN SACHS ACCESS MUNICIP</t>
  </si>
  <si>
    <t>ECRP FP Equity</t>
  </si>
  <si>
    <t>Amundi EUR Corporate Bond ES</t>
  </si>
  <si>
    <t>AMUNDI EUR CORPORATE BOND ES</t>
  </si>
  <si>
    <t>EVIM US Equity</t>
  </si>
  <si>
    <t>Eaton Vance Intermediate Mun</t>
  </si>
  <si>
    <t>EATON VANCE INT MUNI INCOME</t>
  </si>
  <si>
    <t>FGHY LN Equity</t>
  </si>
  <si>
    <t>Fidelity Global HY Corp Bond</t>
  </si>
  <si>
    <t>FI GL HY CO BD RE EN P UE-IN</t>
  </si>
  <si>
    <t>WTMY US Equity</t>
  </si>
  <si>
    <t>WisdomTree High Income Ladde</t>
  </si>
  <si>
    <t>WSDTREE HIGH IN LADRD MUN FU</t>
  </si>
  <si>
    <t>DXCP CN Equity</t>
  </si>
  <si>
    <t>Dynamic Short Term Credit Pl</t>
  </si>
  <si>
    <t>DYNAMIC ST CREDIT PLUS FD</t>
  </si>
  <si>
    <t>CBND CN Equity</t>
  </si>
  <si>
    <t>Manulife Smart Corporate Bon</t>
  </si>
  <si>
    <t>MANULIFE SMART CORPORATE BND</t>
  </si>
  <si>
    <t>ACPI GR Equity</t>
  </si>
  <si>
    <t>AXA IM Global Inflation-Link</t>
  </si>
  <si>
    <t>AXA GL INF BD ETF USACC</t>
  </si>
  <si>
    <t>CORP LN Equity</t>
  </si>
  <si>
    <t>iShares安硕全球公司债UCITS E</t>
  </si>
  <si>
    <t>ISHARES GLOBAL CORP</t>
  </si>
  <si>
    <t>MUNB US Equity</t>
  </si>
  <si>
    <t>Northern Trust 2035 Tax-Exem</t>
  </si>
  <si>
    <t>NORTH TRUST 2035 T-E D L ETF</t>
  </si>
  <si>
    <t>MTFF15 IT Equity</t>
  </si>
  <si>
    <t>MTF SAL 00 Tel Bond Shekel 5</t>
  </si>
  <si>
    <t>MTF TEL BOND SHEKEL 50</t>
  </si>
  <si>
    <t>XB32 GR Equity</t>
  </si>
  <si>
    <t>X TARGET MAT 32 EUR CORP 1D</t>
  </si>
  <si>
    <t>DXDB CN Equity</t>
  </si>
  <si>
    <t>Dynamic Active Discount Bond</t>
  </si>
  <si>
    <t>DYNAMIC ACTV DISCOUNT BD ETF</t>
  </si>
  <si>
    <t>GENM US Equity</t>
  </si>
  <si>
    <t>Genter Capital Municipal Qua</t>
  </si>
  <si>
    <t>GENTER CAPITAL MUNICIPAL</t>
  </si>
  <si>
    <t>AOHY US Equity</t>
  </si>
  <si>
    <t>Angel Oak High Yield Opportu</t>
  </si>
  <si>
    <t>ANGEL OAK HIGH YILD OPPO ETF</t>
  </si>
  <si>
    <t>JIGG LN Equity</t>
  </si>
  <si>
    <t>JPMorgan Global IG Corporate</t>
  </si>
  <si>
    <t>JPM GLB IG CORP BD UCITS ETF</t>
  </si>
  <si>
    <t>MTFF113 IT Equity</t>
  </si>
  <si>
    <t>MTF SAL 00 Tel Bond-Shekel 1</t>
  </si>
  <si>
    <t>MTF SAL TEL BND-SH 1-3 IL</t>
  </si>
  <si>
    <t>KSMF220 IT Equity</t>
  </si>
  <si>
    <t>KSM ETF TEL-SHAA IL</t>
  </si>
  <si>
    <t>CB3 FP Equity</t>
  </si>
  <si>
    <t>Amundi Euro Government Tilte</t>
  </si>
  <si>
    <t>AMUNDI EURO GOV TILT GRN BON</t>
  </si>
  <si>
    <t>2019 JP Equity</t>
  </si>
  <si>
    <t>GX US PrefSec ETF Bi-mon Div</t>
  </si>
  <si>
    <t>GX US PREFSEC ETF BI-MON DIV</t>
  </si>
  <si>
    <t>JGHY LN Equity</t>
  </si>
  <si>
    <t>JPMorgan Global High Yield C</t>
  </si>
  <si>
    <t>JPM GL HIYLD COR BD ACT ETF</t>
  </si>
  <si>
    <t>USDTR TI Equity</t>
  </si>
  <si>
    <t>US TREASURY USDTRY EXCHANGE</t>
  </si>
  <si>
    <t>QNB FNS PORT USD ETF</t>
  </si>
  <si>
    <t>ABXB US Equity</t>
  </si>
  <si>
    <t>Abacus Flexible Bond Leaders</t>
  </si>
  <si>
    <t>ABACUS FLEXIBLE BOND LEADERS</t>
  </si>
  <si>
    <t>FLMI US Equity</t>
  </si>
  <si>
    <t>Franklin Dynamic Municipal B</t>
  </si>
  <si>
    <t>FRANKLIN DYNAMIC MUNICIPAL B</t>
  </si>
  <si>
    <t>VTEI US Equity</t>
  </si>
  <si>
    <t>Vanguard Intermediate Tax-Ex</t>
  </si>
  <si>
    <t>VANGUARD INT TAX-EXEMPT BOND</t>
  </si>
  <si>
    <t>XCB CN Equity</t>
  </si>
  <si>
    <t>iShares加拿大公司债指数ETF</t>
  </si>
  <si>
    <t>ISHARES CORE CANADIAN CORPOR</t>
  </si>
  <si>
    <t>CPLS CN Equity</t>
  </si>
  <si>
    <t>CIBC Core Plus Fixed Income</t>
  </si>
  <si>
    <t>CIBC CORE PLUS FI POOL ETF</t>
  </si>
  <si>
    <t>MKB CN Equity</t>
  </si>
  <si>
    <t>Mackenzie Canadian Strategic</t>
  </si>
  <si>
    <t>MACKENZIE CANADIAN STRATEGIC</t>
  </si>
  <si>
    <t>PRFD US Equity</t>
  </si>
  <si>
    <t>Pimco Preferred And Capital</t>
  </si>
  <si>
    <t>PIMCO PREF AND CAP SEC ACT</t>
  </si>
  <si>
    <t>FSUB AU Equity</t>
  </si>
  <si>
    <t>Vaneck Australian Fixed Rate</t>
  </si>
  <si>
    <t>VANECK AUS FIX SUB DEBT ETF</t>
  </si>
  <si>
    <t>FPEI US Equity</t>
  </si>
  <si>
    <t>First Trust Institutional Pr</t>
  </si>
  <si>
    <t>FIRST TRUST INSTITUTIONAL PR</t>
  </si>
  <si>
    <t>VRP US Equity</t>
  </si>
  <si>
    <t>景顺可变利率优先ETF</t>
  </si>
  <si>
    <t>INVESCO VARIABLE RATE PREFER</t>
  </si>
  <si>
    <t>WTMU US Equity</t>
  </si>
  <si>
    <t>WisdomTree Core Laddered Mun</t>
  </si>
  <si>
    <t>WISDOMTREE CORE LADR MUNI FD</t>
  </si>
  <si>
    <t>CCBI CN Equity</t>
  </si>
  <si>
    <t>CIBC Canadian Bond Index ETF</t>
  </si>
  <si>
    <t>CIBC CANADIAN BOND INDEX ETF</t>
  </si>
  <si>
    <t>BSMY US Equity</t>
  </si>
  <si>
    <t>Invesco Bulletshares 2034 Mu</t>
  </si>
  <si>
    <t>INVESCO BULLETSHARES 2034 MB</t>
  </si>
  <si>
    <t>DCC CN Equity</t>
  </si>
  <si>
    <t>Desjardins 1-5 year Laddered</t>
  </si>
  <si>
    <t>DESJARDINS 1-5 YR CAD CORP</t>
  </si>
  <si>
    <t>BBBL US Equity</t>
  </si>
  <si>
    <t>BondBloxx BBB Rated 10+ Year</t>
  </si>
  <si>
    <t>BBLX BBB 10+Y CORP BOND ETF</t>
  </si>
  <si>
    <t>BSRIC FP Equity</t>
  </si>
  <si>
    <t>BNP Paribas Easy EUR Aggrega</t>
  </si>
  <si>
    <t>BNP PARIBAS EASY EUR AGGR-UA</t>
  </si>
  <si>
    <t>HYFI US Equity</t>
  </si>
  <si>
    <t>AB High Yield ETF</t>
  </si>
  <si>
    <t>AB HIGH YIELD ETF</t>
  </si>
  <si>
    <t>EGRI FP Equity</t>
  </si>
  <si>
    <t>Amundi Euro Aggregate Bond E</t>
  </si>
  <si>
    <t>AM EURO AGG BOND C</t>
  </si>
  <si>
    <t>PQDI US Equity</t>
  </si>
  <si>
    <t>Principal Spectrum Preferred</t>
  </si>
  <si>
    <t>PRINCIPAL SP &amp; INC ETF-US IN</t>
  </si>
  <si>
    <t>DFGP US Equity</t>
  </si>
  <si>
    <t>Dimensional Global Core Plus</t>
  </si>
  <si>
    <t>DIMENSIONAL GLBL CORE PL FIX</t>
  </si>
  <si>
    <t>HYHG US Equity</t>
  </si>
  <si>
    <t>ProShares高收益利率对冲ETF</t>
  </si>
  <si>
    <t>PROSHARES HIGH YIELD INTERES</t>
  </si>
  <si>
    <t>DCU CN Equity</t>
  </si>
  <si>
    <t>Desjardins Canadian Universe</t>
  </si>
  <si>
    <t>DESJARDINS CAD UNIVERSE BOND</t>
  </si>
  <si>
    <t>TERM CN Equity</t>
  </si>
  <si>
    <t>Manulife Smart Short-Term Bo</t>
  </si>
  <si>
    <t>MANULIFE SHORT TERM BOND ETF</t>
  </si>
  <si>
    <t>489000 KS Equity</t>
  </si>
  <si>
    <t>Hanwha PLUS Japan Ultra Shor</t>
  </si>
  <si>
    <t>HW PLUS JP UL S TBILL ETF</t>
  </si>
  <si>
    <t>ETFLCD GR Equity</t>
  </si>
  <si>
    <t>Deka iBoxx EUR Liquid Corpor</t>
  </si>
  <si>
    <t>DEKA IBOXX EUR LIQUID CORPOR</t>
  </si>
  <si>
    <t>GBHI US Equity</t>
  </si>
  <si>
    <t>Gabelli High Income ETF</t>
  </si>
  <si>
    <t>GABELLI HIGH INCOME ETF</t>
  </si>
  <si>
    <t>DGCB US Equity</t>
  </si>
  <si>
    <t>Dimensional Global Credit ET</t>
  </si>
  <si>
    <t>DIMENSIONAL GLOBAL CREDIT</t>
  </si>
  <si>
    <t>GEU7C FP Equity</t>
  </si>
  <si>
    <t>BNP PAR EASY JPM TILT EMU-UC</t>
  </si>
  <si>
    <t>XEMD US Equity</t>
  </si>
  <si>
    <t>BondBloxx JP Morgan USD Emer</t>
  </si>
  <si>
    <t>BONDBLOXX-JPM USD EM MK 1-10</t>
  </si>
  <si>
    <t>X710 GR Equity</t>
  </si>
  <si>
    <t>Xtrackers II欧元区国债7-10年</t>
  </si>
  <si>
    <t>X EURZ GOVT BOND 7-10 1C</t>
  </si>
  <si>
    <t>JBEM FP Equity</t>
  </si>
  <si>
    <t>BN PA EA JP T EG BI-UC ET EU</t>
  </si>
  <si>
    <t>RCEG NA Equity</t>
  </si>
  <si>
    <t>Robeco Climate Euro Governme</t>
  </si>
  <si>
    <t>ROBECO CLIM EURGOVBD ETF ACC</t>
  </si>
  <si>
    <t>CGBI NA Equity</t>
  </si>
  <si>
    <t>iShares China CNY Govt Bond</t>
  </si>
  <si>
    <t>ISHARES CHINA CNY GOVT USD D</t>
  </si>
  <si>
    <t>HFSI US Equity</t>
  </si>
  <si>
    <t>Hartford Strategic Income ET</t>
  </si>
  <si>
    <t>HARTFOR STRATEG INCOME ETF-U</t>
  </si>
  <si>
    <t>MMIT US Equity</t>
  </si>
  <si>
    <t>NYLI MacKay Muni Intermediat</t>
  </si>
  <si>
    <t>NYLI MACKAY MUNI INTRM ETF</t>
  </si>
  <si>
    <t>MUNI US Equity</t>
  </si>
  <si>
    <t>太平洋投资管理公司中期地方债</t>
  </si>
  <si>
    <t>PIMCO INTERMEDIATE MUNICIPAL</t>
  </si>
  <si>
    <t>FLHY US Equity</t>
  </si>
  <si>
    <t>Franklin High Yield Corporat</t>
  </si>
  <si>
    <t>FRANKLIN HIGH YIELD CORPORAT</t>
  </si>
  <si>
    <t>APMU US Equity</t>
  </si>
  <si>
    <t>Activepassive Intermediate M</t>
  </si>
  <si>
    <t>ACTIVEPASSIVE INTERM MUNI BD</t>
  </si>
  <si>
    <t>2866 JP Equity</t>
  </si>
  <si>
    <t>GX U.S. Preferred Security E</t>
  </si>
  <si>
    <t>GX U.S. PREFERD SECURITY ETF</t>
  </si>
  <si>
    <t>ZBBB CN Equity</t>
  </si>
  <si>
    <t>BMO BBB Corporate Bond Index</t>
  </si>
  <si>
    <t>BMO BBB CORPORATE BOND INDEX</t>
  </si>
  <si>
    <t>CPII US Equity</t>
  </si>
  <si>
    <t>American Beacon Ionic Inflat</t>
  </si>
  <si>
    <t>AMERICAN BEACON IONIC INFLAT</t>
  </si>
  <si>
    <t>FLIA US Equity</t>
  </si>
  <si>
    <t>Franklin International Aggre</t>
  </si>
  <si>
    <t>FRANKLIN INTERNATIONAL AGGRE</t>
  </si>
  <si>
    <t>CBND LN Equity</t>
  </si>
  <si>
    <t>Goldman Sachs Access China G</t>
  </si>
  <si>
    <t>GS ACCESS CHINA GOV BD</t>
  </si>
  <si>
    <t>OOSP US Equity</t>
  </si>
  <si>
    <t>Obra Opportunistic Structure</t>
  </si>
  <si>
    <t>OBRA OPP STRUCTURED PROD ETF</t>
  </si>
  <si>
    <t>CALB CN Equity</t>
  </si>
  <si>
    <t>Cibc Canadian Government Lon</t>
  </si>
  <si>
    <t>CIBC CANADIAN GOVT L-T ETF</t>
  </si>
  <si>
    <t>ZCPB CN Equity</t>
  </si>
  <si>
    <t>BMO Core Plus Bond Fund ETF</t>
  </si>
  <si>
    <t>BMO CORE PLUS BOND FUND ETF</t>
  </si>
  <si>
    <t>PR1R GR Equity</t>
  </si>
  <si>
    <t>Amundi Prime Euro Government</t>
  </si>
  <si>
    <t>AM PRIM EURO GOV BD ETF DIST</t>
  </si>
  <si>
    <t>ZBI CN Equity</t>
  </si>
  <si>
    <t>BMO Canadian Bank Income Ind</t>
  </si>
  <si>
    <t>BMO CANADIAN BANK INCOME IND</t>
  </si>
  <si>
    <t>GIGC CN Equity</t>
  </si>
  <si>
    <t>Guardian Investment Grade Co</t>
  </si>
  <si>
    <t>GUARDIAN CAPITAL LP</t>
  </si>
  <si>
    <t>HAB CN Equity</t>
  </si>
  <si>
    <t>Global X活跃公司债ETF</t>
  </si>
  <si>
    <t>GLOBAL X ACTIVE CORP BND ETF</t>
  </si>
  <si>
    <t>X1G FP Equity</t>
  </si>
  <si>
    <t>Amundi Euro Lowest Rated IG</t>
  </si>
  <si>
    <t>AM EURO LR IG GOV BD ETF ACC</t>
  </si>
  <si>
    <t>ZMP CN Equity</t>
  </si>
  <si>
    <t>BMO Mid Provincial Bond Inde</t>
  </si>
  <si>
    <t>BMO MID PROVINCIAL BOND INDE</t>
  </si>
  <si>
    <t>BESG CN Equity</t>
  </si>
  <si>
    <t>Invesco ESG Canadian Core Pl</t>
  </si>
  <si>
    <t>INVESCO ESG CANADIAN CORE PL</t>
  </si>
  <si>
    <t>DFNM US Equity</t>
  </si>
  <si>
    <t>Dimensional National Municip</t>
  </si>
  <si>
    <t>DIMENSIONAL NATIONAL MUNI BD</t>
  </si>
  <si>
    <t>EUIG US Equity</t>
  </si>
  <si>
    <t>iShares Euro Investment Grad</t>
  </si>
  <si>
    <t>ISHR EUR INVT GC USD HED ETF</t>
  </si>
  <si>
    <t>IBMT US Equity</t>
  </si>
  <si>
    <t>iShares iBonds Dec 2031 Term</t>
  </si>
  <si>
    <t>ISHARES IBONDS DEC 2031 MUNI</t>
  </si>
  <si>
    <t>HIMU US Equity</t>
  </si>
  <si>
    <t>iShares High Yield Muni Acti</t>
  </si>
  <si>
    <t>ISHARES HIGH YILD MUNI A ETF</t>
  </si>
  <si>
    <t>CCNS CN Equity</t>
  </si>
  <si>
    <t>CIBC Conservative Fixed Inco</t>
  </si>
  <si>
    <t>CIBC CONSERVATIVE FI POOL</t>
  </si>
  <si>
    <t>FSMF LN Equity</t>
  </si>
  <si>
    <t>Fidelity Global Corp Bond Re</t>
  </si>
  <si>
    <t>FI GL CO BD RE EN PA UC E-IN</t>
  </si>
  <si>
    <t>DXCB CN Equity</t>
  </si>
  <si>
    <t>Dynamic Active Corporate Bon</t>
  </si>
  <si>
    <t>DYNAMIC ACTIVE CORP BOND ETF</t>
  </si>
  <si>
    <t>IBMR US Equity</t>
  </si>
  <si>
    <t>iShares iBonds Dec 2029 Term</t>
  </si>
  <si>
    <t>ISHARES IBONDS DEC 2029 M BD</t>
  </si>
  <si>
    <t>MMCA US Equity</t>
  </si>
  <si>
    <t>NYLI MacKay California Muni</t>
  </si>
  <si>
    <t>NYLI MACKAY CA MUNI INTERM</t>
  </si>
  <si>
    <t>CRP FP Equity</t>
  </si>
  <si>
    <t>Amundi EUR Corporate Bond Cl</t>
  </si>
  <si>
    <t>AM EUR CO BD CPA ETF A</t>
  </si>
  <si>
    <t>EGOV FP Equity</t>
  </si>
  <si>
    <t>Amundi Core Euro Government</t>
  </si>
  <si>
    <t>AM CORE EURO GOV BND ETF ACC</t>
  </si>
  <si>
    <t>MTC FP Equity</t>
  </si>
  <si>
    <t>东方汇理5-7年期欧元政府债券</t>
  </si>
  <si>
    <t>AM EURO GOV BOND 5-7Y-ETF A</t>
  </si>
  <si>
    <t>DFGX US Equity</t>
  </si>
  <si>
    <t>Dimensional Global ex US Cor</t>
  </si>
  <si>
    <t>DIM GBL EX US C FIXED INC</t>
  </si>
  <si>
    <t>HYGH US Equity</t>
  </si>
  <si>
    <t>iShares安硕利率对冲高收益债</t>
  </si>
  <si>
    <t>ISHARES INT RATE HEDG HY ETF</t>
  </si>
  <si>
    <t>SRIC FP Equity</t>
  </si>
  <si>
    <t>BNP PARIBAS EASY EUR CORP-UA</t>
  </si>
  <si>
    <t>CGSM US Equity</t>
  </si>
  <si>
    <t>Capital Group Short Duration</t>
  </si>
  <si>
    <t>CAP GROUP SHORT MUNI INCOME</t>
  </si>
  <si>
    <t>KSMF141 IT Equity</t>
  </si>
  <si>
    <t>KSM ETF 2A Comp Tel-Gov 55%</t>
  </si>
  <si>
    <t>KSM ETF CMP TEL GOV+EQ CH</t>
  </si>
  <si>
    <t>YIEG IM Equity</t>
  </si>
  <si>
    <t>YIS EMU Government Bond /ETF</t>
  </si>
  <si>
    <t>YIS EMU GOVERNMENT BOND</t>
  </si>
  <si>
    <t>FMUN US Equity</t>
  </si>
  <si>
    <t>Fidelity Systematic Municipa</t>
  </si>
  <si>
    <t>FIDELITY SYSTEM MUNI BND ETF</t>
  </si>
  <si>
    <t>2821 HK Equity</t>
  </si>
  <si>
    <t>沛富基金</t>
  </si>
  <si>
    <t>ABF PAN ASIA BOND INDEX -USD</t>
  </si>
  <si>
    <t>GBND AU Equity</t>
  </si>
  <si>
    <t>Betashares Global Green Bond</t>
  </si>
  <si>
    <t>BETASHARES GLB GREEN BD ETF</t>
  </si>
  <si>
    <t>FIG CN Equity</t>
  </si>
  <si>
    <t>CI投资级债券ETF</t>
  </si>
  <si>
    <t>CI INVESTMENT GRADE BOND ETF</t>
  </si>
  <si>
    <t>XY4P GR Equity</t>
  </si>
  <si>
    <t>Xtrackers II iBoxx欧元区国债</t>
  </si>
  <si>
    <t>X IBOXX GOV EURZ YP 1C</t>
  </si>
  <si>
    <t>LQDI US Equity</t>
  </si>
  <si>
    <t>iShares Inflation Hedged Cor</t>
  </si>
  <si>
    <t>ISHARES INFLATION HEDGED COR</t>
  </si>
  <si>
    <t>UBT US Equity</t>
  </si>
  <si>
    <t>ProShares超级20年期以上国债</t>
  </si>
  <si>
    <t>PROSHARES ULTRA 20+ YEAR TSY</t>
  </si>
  <si>
    <t>GEMB LN Equity</t>
  </si>
  <si>
    <t>GOLDMAN EM DEBT ACT ETF</t>
  </si>
  <si>
    <t>TAXF US Equity</t>
  </si>
  <si>
    <t>American Century Diversified</t>
  </si>
  <si>
    <t>AMERICAN CENTURY DIVER MUNI</t>
  </si>
  <si>
    <t>SUBD AU Equity</t>
  </si>
  <si>
    <t>VanEck Australian Subordinat</t>
  </si>
  <si>
    <t>VANECK AUSTRALIAN SUBORDINAT</t>
  </si>
  <si>
    <t>SPLB US Equity</t>
  </si>
  <si>
    <t>道富SPDR投资组合长期公司债券</t>
  </si>
  <si>
    <t>SS SPDR P LONG TERM C ETF</t>
  </si>
  <si>
    <t>DXB CN Equity</t>
  </si>
  <si>
    <t>Dynamic Active Tactical Bond</t>
  </si>
  <si>
    <t>DYNAMIC ACTIVE TACTICAL BOND</t>
  </si>
  <si>
    <t>VCLT US Equity</t>
  </si>
  <si>
    <t>领航长期公司债ETF</t>
  </si>
  <si>
    <t>VANGUARD LONG-TERM CORP BOND</t>
  </si>
  <si>
    <t>TLTW US Equity</t>
  </si>
  <si>
    <t>iShares 20+ Year Treasury Bo</t>
  </si>
  <si>
    <t>ISHARES 20+ BOND BUYWRITE</t>
  </si>
  <si>
    <t>RTRE US Equity</t>
  </si>
  <si>
    <t>Rareview Total Return Bond E</t>
  </si>
  <si>
    <t>RAREVIEW TOTAL RETURN BD ETF</t>
  </si>
  <si>
    <t>CGIB US Equity</t>
  </si>
  <si>
    <t>Capital Group International</t>
  </si>
  <si>
    <t>CAP GROUP INTL BOND HDG</t>
  </si>
  <si>
    <t>TAXI US Equity</t>
  </si>
  <si>
    <t>Northern Trust Intermediate</t>
  </si>
  <si>
    <t>NT INTERM TAX EXEMPT BD ETF</t>
  </si>
  <si>
    <t>IBMS US Equity</t>
  </si>
  <si>
    <t>iShares iBonds Dec 2030 Term</t>
  </si>
  <si>
    <t>ISHARESIBONDDEC2030MUNIBDETF</t>
  </si>
  <si>
    <t>IQHI US Equity</t>
  </si>
  <si>
    <t>NYLI MacKay High Income ETF</t>
  </si>
  <si>
    <t>NYLI MACKAY HIGH INCOME ETF</t>
  </si>
  <si>
    <t>NFLT US Equity</t>
  </si>
  <si>
    <t>Virtus Newfleet Multi-Sector</t>
  </si>
  <si>
    <t>VIRTUS NEWFLEET MULTI-SECTOR</t>
  </si>
  <si>
    <t>RQT CN Equity</t>
  </si>
  <si>
    <t>RBC Target 2031 Canadian Cor</t>
  </si>
  <si>
    <t>RBC TARGET 2031 CN CB ETF</t>
  </si>
  <si>
    <t>00689R TT Equity</t>
  </si>
  <si>
    <t>Cathay US Treasury 20+ YR In</t>
  </si>
  <si>
    <t>CATHAY BBG BARC US20+ -1XETF</t>
  </si>
  <si>
    <t>NUMI US Equity</t>
  </si>
  <si>
    <t>Nuveen Municipal Income ETF</t>
  </si>
  <si>
    <t>NUVEEN MUNICIPAL INCOME ETF</t>
  </si>
  <si>
    <t>MGSB CN Equity</t>
  </si>
  <si>
    <t>Mackenzie Global Sustainable</t>
  </si>
  <si>
    <t>MACKENZIE GLOBAL SUSTAINABLE</t>
  </si>
  <si>
    <t>SRIC5 FP Equity</t>
  </si>
  <si>
    <t>BNP PARIBAS EASY EUR CORP-UI</t>
  </si>
  <si>
    <t>CORE CN Equity</t>
  </si>
  <si>
    <t>PIMCO Canadian Core Bond Fun</t>
  </si>
  <si>
    <t>PIMCO CANAD COR BND FND</t>
  </si>
  <si>
    <t>KSMF26 IT Equity</t>
  </si>
  <si>
    <t>KSM ETF 00 Short Tel Bond-20</t>
  </si>
  <si>
    <t>KSM ETF 00 SRT TEL BN-20 CPI</t>
  </si>
  <si>
    <t>VCB CN Equity</t>
  </si>
  <si>
    <t>Vanguard Canadian Corporate</t>
  </si>
  <si>
    <t>VANGUARD CANADIAN CORPORATE</t>
  </si>
  <si>
    <t>MFSM US Equity</t>
  </si>
  <si>
    <t>MFS Active Intermediate Muni</t>
  </si>
  <si>
    <t>MFS ACTIVE INTER MUNI BOND</t>
  </si>
  <si>
    <t>BSMZ US Equity</t>
  </si>
  <si>
    <t>Invesco BulletShares 2035 Mu</t>
  </si>
  <si>
    <t>INVES BLTSHRS 2035 MB ETF</t>
  </si>
  <si>
    <t>GBHY LN Equity</t>
  </si>
  <si>
    <t>Invesco Global High Yield Co</t>
  </si>
  <si>
    <t>IN GL HI YI CO BD ESG CTR-US</t>
  </si>
  <si>
    <t>IGLB US Equity</t>
  </si>
  <si>
    <t>iShares安硕长期公司债ETF</t>
  </si>
  <si>
    <t>ISHARES 10+ YEAR INV GR CORP</t>
  </si>
  <si>
    <t>IBCI LN Equity</t>
  </si>
  <si>
    <t>iShares安硕欧元通胀挂钩国债U</t>
  </si>
  <si>
    <t>ISHARES EURO INFL-LKD GOVT</t>
  </si>
  <si>
    <t>ANGL US Equity</t>
  </si>
  <si>
    <t>范达堕落天使高收益债券ETF</t>
  </si>
  <si>
    <t>VANECK FALLEN ANGEL HIGH YLD</t>
  </si>
  <si>
    <t>SCMC US Equity</t>
  </si>
  <si>
    <t>Sterling Capital Multi-Strat</t>
  </si>
  <si>
    <t>STERLING CAP MS INCOME ETF</t>
  </si>
  <si>
    <t>RQS CN Equity</t>
  </si>
  <si>
    <t>RBC Target 2030 Canadian Cor</t>
  </si>
  <si>
    <t>RBC T 2030 CA CB INDEX ETF</t>
  </si>
  <si>
    <t>XACTBOND SS Equity</t>
  </si>
  <si>
    <t>XACT Obligation UCITS ETF</t>
  </si>
  <si>
    <t>XACT OBLIGATION UCITS ETF</t>
  </si>
  <si>
    <t>TCBT NA Equity</t>
  </si>
  <si>
    <t>VanEck iBoxx欧元公司债UCITS</t>
  </si>
  <si>
    <t>VANECK EUR CORP ETF</t>
  </si>
  <si>
    <t>182490 KS Equity</t>
  </si>
  <si>
    <t>Mirae Asset TIGER SYNTH-IBOX</t>
  </si>
  <si>
    <t>MIR TIGER SYNTH-IBOXX HY ETF</t>
  </si>
  <si>
    <t>SUOE LN Equity</t>
  </si>
  <si>
    <t>iShares EUR Corp Bond ESG SR</t>
  </si>
  <si>
    <t>ISHARES EUR COR BD ESG SR-ED</t>
  </si>
  <si>
    <t>TGBT NA Equity</t>
  </si>
  <si>
    <t>VanEck iBoxx欧元主权债多元化</t>
  </si>
  <si>
    <t>VANECK EUR SVRN DIV 1-10 ETF</t>
  </si>
  <si>
    <t>EUN9 GR Equity</t>
  </si>
  <si>
    <t>iShares安硕欧元国债5-7年期UC</t>
  </si>
  <si>
    <t>ISHARES EURO GOVT 5-7YR</t>
  </si>
  <si>
    <t>IS05 GR Equity</t>
  </si>
  <si>
    <t>iShares EUR Govt Bond 20yr T</t>
  </si>
  <si>
    <t>ISHARES EURO GOV 20Y TGT DUR</t>
  </si>
  <si>
    <t>FRC3 GR Equity</t>
  </si>
  <si>
    <t>UBS Core BBG Euro Inflation</t>
  </si>
  <si>
    <t>UB CR BG ER INFL LK BD 10-ED</t>
  </si>
  <si>
    <t>PMIO US Equity</t>
  </si>
  <si>
    <t>PGIM Municipal Income Opport</t>
  </si>
  <si>
    <t>PGIM MUNICIPAL INC OPP ETF</t>
  </si>
  <si>
    <t>CCRE CN Equity</t>
  </si>
  <si>
    <t>CIBC Core Fixed Income ETF</t>
  </si>
  <si>
    <t>CIBC CORE FIXED INCOME ETF</t>
  </si>
  <si>
    <t>MNBD US Equity</t>
  </si>
  <si>
    <t>ALPS Intermediate Municipal</t>
  </si>
  <si>
    <t>ALPS INTERMEDIATE MUNI BOND</t>
  </si>
  <si>
    <t>BNDX US Equity</t>
  </si>
  <si>
    <t>领航国际债券ETF</t>
  </si>
  <si>
    <t>VANGUARD TOTAL INTL BOND ETF</t>
  </si>
  <si>
    <t>DRGN LN Equity</t>
  </si>
  <si>
    <t>L&amp;G China CNY Bond UCITS ETF</t>
  </si>
  <si>
    <t>L&amp;G CHINA CNY BOND UCITS ETF</t>
  </si>
  <si>
    <t>CSBGC0 SW Equity</t>
  </si>
  <si>
    <t>iShares安硕瑞士国内7-15年期</t>
  </si>
  <si>
    <t>ISHARES SWISS DOM GOVT 7-15</t>
  </si>
  <si>
    <t>FMB US Equity</t>
  </si>
  <si>
    <t>第一信托市政管理ETF</t>
  </si>
  <si>
    <t>FIRST TRUST MANAGED MUNICIPA</t>
  </si>
  <si>
    <t>HAF CN Equity</t>
  </si>
  <si>
    <t>Global X积极全球固定收益ETF</t>
  </si>
  <si>
    <t>GLB X ACTVE GLBL FXD INC ETF</t>
  </si>
  <si>
    <t>PCL US Equity</t>
  </si>
  <si>
    <t>PGIM Corporate Bond 10+ Year</t>
  </si>
  <si>
    <t>PGIM CORP BOND 10+ YEAR ETF</t>
  </si>
  <si>
    <t>IBII US Equity</t>
  </si>
  <si>
    <t>iShares iBonds Oct 2032 Term</t>
  </si>
  <si>
    <t>ISHARES IBONDS OCT 2032 TT</t>
  </si>
  <si>
    <t>CLOC US Equity</t>
  </si>
  <si>
    <t>AAM Crescent CLO ETF</t>
  </si>
  <si>
    <t>AAM CRESCENT CLO ETF</t>
  </si>
  <si>
    <t>PAYS AU Equity</t>
  </si>
  <si>
    <t>Schroder Absolute Return Inc</t>
  </si>
  <si>
    <t>SCHRODER ABSOLUTE RET INC AC</t>
  </si>
  <si>
    <t>KSMF86 IT Equity</t>
  </si>
  <si>
    <t>KSM ETF 0A Tel-Gov</t>
  </si>
  <si>
    <t>KSM ETF TEL GOV</t>
  </si>
  <si>
    <t>IBHK US Equity</t>
  </si>
  <si>
    <t>iShares iBonds 2031 Term Hig</t>
  </si>
  <si>
    <t>ISHARESIBOND2031HIGHYLDINC</t>
  </si>
  <si>
    <t>PYLD US Equity</t>
  </si>
  <si>
    <t>PIMCO Multisector Bond Activ</t>
  </si>
  <si>
    <t>PIMCO MULTISECTOR BOND ACTV</t>
  </si>
  <si>
    <t>IBCX LN Equity</t>
  </si>
  <si>
    <t>iShares安硕欧元公司债大盘UCI</t>
  </si>
  <si>
    <t>ISHARES EURO CORP LARGE CAP</t>
  </si>
  <si>
    <t>FCCB CN Equity</t>
  </si>
  <si>
    <t>Fidelity Systematic Canadian</t>
  </si>
  <si>
    <t>FIDELITY SYSTEMATIC CANADIAN</t>
  </si>
  <si>
    <t>OBND US Equity</t>
  </si>
  <si>
    <t>State Street Loomis Sayles O</t>
  </si>
  <si>
    <t>SS LOOMIS SAYLES OP BOND ETF</t>
  </si>
  <si>
    <t>SYBV GR Equity</t>
  </si>
  <si>
    <t>SPDR Bloomberg 10+ Year Euro</t>
  </si>
  <si>
    <t>SPDR BBG 10+ EURO GOVERNMENT</t>
  </si>
  <si>
    <t>SHM US Equity</t>
  </si>
  <si>
    <t>道富SPDR纽文ICE短期市政债券E</t>
  </si>
  <si>
    <t>SS SPDR N ICE ST MUNI ETF</t>
  </si>
  <si>
    <t>DIAL US Equity</t>
  </si>
  <si>
    <t>Columbia Diversified Fixed I</t>
  </si>
  <si>
    <t>COLUMBIA DIVERS FIX INC ETF</t>
  </si>
  <si>
    <t>FCSB CN Equity</t>
  </si>
  <si>
    <t>Fidelity Canadian Short Term</t>
  </si>
  <si>
    <t>FIDELITY CANADIAN SHORT TERM</t>
  </si>
  <si>
    <t>EDV US Equity</t>
  </si>
  <si>
    <t>先锋领航延展久期国债ETF</t>
  </si>
  <si>
    <t>VANGUARD EXTENDED DUR TREAS</t>
  </si>
  <si>
    <t>QBB CN Equity</t>
  </si>
  <si>
    <t>Mackenzie Canadian Aggregate</t>
  </si>
  <si>
    <t>MACKENZIE CANADIAN AGGREGATE</t>
  </si>
  <si>
    <t>STAX US Equity</t>
  </si>
  <si>
    <t>Nomura Tax-Free USA Short Te</t>
  </si>
  <si>
    <t>NOMURA TAX-FREE USA SHORT TE</t>
  </si>
  <si>
    <t>FMNY US Equity</t>
  </si>
  <si>
    <t>First Trust New York Municip</t>
  </si>
  <si>
    <t>FIRST TRUST NY MUNI HIGH INC</t>
  </si>
  <si>
    <t>MYMJ US Equity</t>
  </si>
  <si>
    <t>State Street My2030 Municipa</t>
  </si>
  <si>
    <t>STATE STREET MY2030 MUNICIPA</t>
  </si>
  <si>
    <t>DFCA US Equity</t>
  </si>
  <si>
    <t>Dimensional California Munic</t>
  </si>
  <si>
    <t>DIMENSIONAL CALFORNIA MB ETF</t>
  </si>
  <si>
    <t>FTMU US Equity</t>
  </si>
  <si>
    <t>Franklin Municipal Income ET</t>
  </si>
  <si>
    <t>FRANKLIN MUNCIPAL INCOME ETF</t>
  </si>
  <si>
    <t>KSMF214 IT Equity</t>
  </si>
  <si>
    <t>KSM ETF 00 Index Israeli Gov</t>
  </si>
  <si>
    <t>KSM ETF INI GOV NL5YD IL</t>
  </si>
  <si>
    <t>MCSB CN Equity</t>
  </si>
  <si>
    <t>Mackenzie Canadian Short Ter</t>
  </si>
  <si>
    <t>MACKENZIE CANADIAN ST FIXED</t>
  </si>
  <si>
    <t>PST US Equity</t>
  </si>
  <si>
    <t>Proshares超级做空雷曼7-10年</t>
  </si>
  <si>
    <t>PROSHARES ULTRASHORT 7-10 YR</t>
  </si>
  <si>
    <t>2246 JP Equity</t>
  </si>
  <si>
    <t>NEXT FUNDS Bloomberg France</t>
  </si>
  <si>
    <t>NF FRANCE T BD 7-10 HDG ETF</t>
  </si>
  <si>
    <t>LKOR US Equity</t>
  </si>
  <si>
    <t>FlexShares Credit-Scored US</t>
  </si>
  <si>
    <t>FLEXSHARES CREDIT-SCORED LON</t>
  </si>
  <si>
    <t>XBNK LN Equity</t>
  </si>
  <si>
    <t>L&amp;G Corporate Bond ex-Banks</t>
  </si>
  <si>
    <t>L&amp;G CB EX-BANK UCITS ETF</t>
  </si>
  <si>
    <t>GHYS LN Equity</t>
  </si>
  <si>
    <t>iShares安硕全球高收益公司债</t>
  </si>
  <si>
    <t>ISHARES GLB HY CORP GBP-H</t>
  </si>
  <si>
    <t>QCB CN Equity</t>
  </si>
  <si>
    <t>Mackenzie Canadian All Corpo</t>
  </si>
  <si>
    <t>MACKENZIE CANADIAN ALL CORP</t>
  </si>
  <si>
    <t>JT13 IM Equity</t>
  </si>
  <si>
    <t>UBS BBG Japan Gov 1-3 UCITS</t>
  </si>
  <si>
    <t>UBS BBG JAP GOV 1-3 UCIT-JPY</t>
  </si>
  <si>
    <t>HYDB US Equity</t>
  </si>
  <si>
    <t>iShares High Yield Systemati</t>
  </si>
  <si>
    <t>ISHARES HIGH YIELD SYSTEMATI</t>
  </si>
  <si>
    <t>XCBG CN Equity</t>
  </si>
  <si>
    <t>iShares ESG Advanced Canadia</t>
  </si>
  <si>
    <t>ISHARES ESG ADV CAN CORP BND</t>
  </si>
  <si>
    <t>MQSD AU Equity</t>
  </si>
  <si>
    <t>Macquarie Subordinated Debt</t>
  </si>
  <si>
    <t>MACQ SUBORD DEBT ACTIVE ETF</t>
  </si>
  <si>
    <t>FJFB CN Equity</t>
  </si>
  <si>
    <t>First Trust JFL Fixed Income</t>
  </si>
  <si>
    <t>FIRST TRUST JFL FI CORE PLUS</t>
  </si>
  <si>
    <t>BSMT US Equity</t>
  </si>
  <si>
    <t>Invesco BulletShares 2029 Mu</t>
  </si>
  <si>
    <t>INVESCO BULLETSHARES 2029 MB</t>
  </si>
  <si>
    <t>EMUS LN Equity</t>
  </si>
  <si>
    <t>L&amp;G Emerging Markets Corpora</t>
  </si>
  <si>
    <t>L&amp;G EM MRK COR BN USD SC-USD</t>
  </si>
  <si>
    <t>FTPA US Equity</t>
  </si>
  <si>
    <t>Franklin Pennsylvania Munici</t>
  </si>
  <si>
    <t>FRANKLIN PENNSYLVANIA MI ETF</t>
  </si>
  <si>
    <t>CBESG SW Equity</t>
  </si>
  <si>
    <t>瑞银ETF CH - SBI公司债ESG</t>
  </si>
  <si>
    <t>UBS ETF SBI DOM. GOVERN. 1-3</t>
  </si>
  <si>
    <t>SPMB US Equity</t>
  </si>
  <si>
    <t>State Street SPDR Portfolio</t>
  </si>
  <si>
    <t>SS SPDR P MORT BACK BOND ETF</t>
  </si>
  <si>
    <t>FTMH US Equity</t>
  </si>
  <si>
    <t>Franklin Municipal High Yiel</t>
  </si>
  <si>
    <t>FR MUNI HIGH YIELD ETF</t>
  </si>
  <si>
    <t>MMIN US Equity</t>
  </si>
  <si>
    <t>NYLI MacKay Muni Insured ETF</t>
  </si>
  <si>
    <t>NYLI MACKAY MUNI INSURED ETF</t>
  </si>
  <si>
    <t>TACT AU Equity</t>
  </si>
  <si>
    <t>Janus Henderson Tactical Inc</t>
  </si>
  <si>
    <t>JANUS HENDSN TACTC INCO ACT</t>
  </si>
  <si>
    <t>BSKT CN Equity</t>
  </si>
  <si>
    <t>Manulife Smart Core Bond ETF</t>
  </si>
  <si>
    <t>MANULIFE SMART CORE BOND ETF</t>
  </si>
  <si>
    <t>X57E GR Equity</t>
  </si>
  <si>
    <t>Xtrackers II欧元区国债5-7年U</t>
  </si>
  <si>
    <t>X EURZ GOVT BOND 5-7 1C</t>
  </si>
  <si>
    <t>ETFES71 GR Equity</t>
  </si>
  <si>
    <t>Deka iBoxx EUR Liquid SOV DI</t>
  </si>
  <si>
    <t>DEKA IBOXX EUR LIQUID SOV DI</t>
  </si>
  <si>
    <t>BKHY US Equity</t>
  </si>
  <si>
    <t>BNY Mellon High Yield ETF</t>
  </si>
  <si>
    <t>BNY MELLON HIGH YIELD ETF</t>
  </si>
  <si>
    <t>XHYC US Equity</t>
  </si>
  <si>
    <t>BONDBLOXX USD HY BOND CCS</t>
  </si>
  <si>
    <t>FTMS US Equity</t>
  </si>
  <si>
    <t>Franklin Short-Term Municipa</t>
  </si>
  <si>
    <t>FR SHORT-TERM MUNI INC ETF</t>
  </si>
  <si>
    <t>RAAA US Equity</t>
  </si>
  <si>
    <t>Reckoner Yield Enhanced AAA</t>
  </si>
  <si>
    <t>RCKNR YLD ENHNCD AAA CLO ETF</t>
  </si>
  <si>
    <t>SIHY US Equity</t>
  </si>
  <si>
    <t>Harbor Scientific Alpha High</t>
  </si>
  <si>
    <t>HARBOR SCIENTIFIC ALPHA HIGH</t>
  </si>
  <si>
    <t>JMBS US Equity</t>
  </si>
  <si>
    <t>Janus Henderson Mortgage-Bac</t>
  </si>
  <si>
    <t>JANUS HENDERSON MORTG BACKED</t>
  </si>
  <si>
    <t>DUKH US Equity</t>
  </si>
  <si>
    <t>Ocean Park High Income ETF</t>
  </si>
  <si>
    <t>OCEAN PARK HIGH INCOME ETF</t>
  </si>
  <si>
    <t>SYBB GR Equity</t>
  </si>
  <si>
    <t>SPDR彭博欧元国债UCITS ETF</t>
  </si>
  <si>
    <t>SPDR BBG EURO GOVERNMENT</t>
  </si>
  <si>
    <t>GCBE LN Equity</t>
  </si>
  <si>
    <t>Invesco Global Corporate Bon</t>
  </si>
  <si>
    <t>IN GOL CO BD ESG CL TR UC-DI</t>
  </si>
  <si>
    <t>VTES US Equity</t>
  </si>
  <si>
    <t>Vanguard Short-Term Tax-Exem</t>
  </si>
  <si>
    <t>VANGUARD SH TERM TAX-EX BOND</t>
  </si>
  <si>
    <t>511260 CH Equity</t>
  </si>
  <si>
    <t>上证10年期国债交易型开放式指</t>
  </si>
  <si>
    <t>SSE 10Y T-BOND ETF</t>
  </si>
  <si>
    <t>GEB IM Equity</t>
  </si>
  <si>
    <t>UBS J.P. Morgan EMU Gov ESG</t>
  </si>
  <si>
    <t>UBS ETF EMU GOV ESG LIQ BOND</t>
  </si>
  <si>
    <t>SYBC GR Equity</t>
  </si>
  <si>
    <t>SPDR彭博欧元公司债UCITS ETF</t>
  </si>
  <si>
    <t>SPDR BBG EURO CORPORATE</t>
  </si>
  <si>
    <t>NBFC US Equity</t>
  </si>
  <si>
    <t>Neuberger Berman Flexible Cr</t>
  </si>
  <si>
    <t>NEUBERGER BERMAN FLX C I ETF</t>
  </si>
  <si>
    <t>511270 CH Equity</t>
  </si>
  <si>
    <t>上证10年期地方政府债交易型开</t>
  </si>
  <si>
    <t>HFT SSE 10Y LOCAL T-BOND ETF</t>
  </si>
  <si>
    <t>TAXT US Equity</t>
  </si>
  <si>
    <t>Northern Trust Tax-Exempt Bo</t>
  </si>
  <si>
    <t>NORTHERN TRUST TAXE BOND ETF</t>
  </si>
  <si>
    <t>PCRD AU Equity</t>
  </si>
  <si>
    <t>PIMCO Global Credit Active E</t>
  </si>
  <si>
    <t>PIMCO GLOBAL CREDIT ACTV ETF</t>
  </si>
  <si>
    <t>RIFI CN Equity</t>
  </si>
  <si>
    <t>Russell Investments Fixed In</t>
  </si>
  <si>
    <t>RUSSELL INVESTMENTS F/I ETF</t>
  </si>
  <si>
    <t>BSMU US Equity</t>
  </si>
  <si>
    <t>Invesco BulletShares 2030 Mu</t>
  </si>
  <si>
    <t>INVESCO BULLETSHARES 2030 MB</t>
  </si>
  <si>
    <t>PR1C GR Equity</t>
  </si>
  <si>
    <t>Amundi Core EUR Corporate Bo</t>
  </si>
  <si>
    <t>AM CR EUR CORP BOND ETF DIST</t>
  </si>
  <si>
    <t>ZFH CN Equity</t>
  </si>
  <si>
    <t>BMO Floating Rate High Yield</t>
  </si>
  <si>
    <t>BMO FLOATING RATE HIGH YIELD</t>
  </si>
  <si>
    <t>VSDM US Equity</t>
  </si>
  <si>
    <t>Vanguard Short Duration Tax-</t>
  </si>
  <si>
    <t>VANGUARD SHORT TAX-EX BOND</t>
  </si>
  <si>
    <t>UJB US Equity</t>
  </si>
  <si>
    <t>ProShares超高收益</t>
  </si>
  <si>
    <t>PROSHARES ULTRA HIGH YIELD</t>
  </si>
  <si>
    <t>UQB1 GR Equity</t>
  </si>
  <si>
    <t>UniActive Q Corporate Bonds</t>
  </si>
  <si>
    <t>UNIACTV Q CR BND EURO ED ETF</t>
  </si>
  <si>
    <t>FIXD CN Equity</t>
  </si>
  <si>
    <t>Evolve Active Core Fixed Inc</t>
  </si>
  <si>
    <t>EVOLVE ACTIVE CORE FIXED INC</t>
  </si>
  <si>
    <t>BINC US Equity</t>
  </si>
  <si>
    <t>iShares Flexible Income Acti</t>
  </si>
  <si>
    <t>ISHARES FLEX I A ETF-USD INC</t>
  </si>
  <si>
    <t>HAD CN Equity</t>
  </si>
  <si>
    <t>Global X Active Canadian Bon</t>
  </si>
  <si>
    <t>GLOBAL X ACTIVE CANADIAN BON</t>
  </si>
  <si>
    <t>PMIF CN Equity</t>
  </si>
  <si>
    <t>PIMCO Monthly Income Fund</t>
  </si>
  <si>
    <t>PIMCO MONTHLY INCOME FUND</t>
  </si>
  <si>
    <t>XSAB CN Equity</t>
  </si>
  <si>
    <t>iShares ESG Aware Canadian A</t>
  </si>
  <si>
    <t>ISHARES ESG AWARE CANADIAN</t>
  </si>
  <si>
    <t>RFFI SJ Equity</t>
  </si>
  <si>
    <t>RealFin Fixed Income Activel</t>
  </si>
  <si>
    <t>REALFIN FIXED INCOME ACTIVEL</t>
  </si>
  <si>
    <t>ETFES57 GR Equity</t>
  </si>
  <si>
    <t>DEKA IBOXX EUR LQD SOV D 5-7</t>
  </si>
  <si>
    <t>GE110 FP Equity</t>
  </si>
  <si>
    <t>BNP Paribas Easy JPM ESG EMU</t>
  </si>
  <si>
    <t>BPE JEE GOV BD IG1 10Y UE-EA</t>
  </si>
  <si>
    <t>TDB CN Equity</t>
  </si>
  <si>
    <t>TD Canadian Aggregate Bond I</t>
  </si>
  <si>
    <t>TD CANADIAN AGRG BOND IN ETF</t>
  </si>
  <si>
    <t>EUN4 GR Equity</t>
  </si>
  <si>
    <t>iShares安硕欧元综合债券ESG S</t>
  </si>
  <si>
    <t>ISH EU AG BD ESG SR UCITS-EU</t>
  </si>
  <si>
    <t>267450 KS Equity</t>
  </si>
  <si>
    <t>KB KBSTAR US Treasury Long B</t>
  </si>
  <si>
    <t>KBSTAR US T BD FTRS INV H</t>
  </si>
  <si>
    <t>PCOR CN Equity</t>
  </si>
  <si>
    <t>Pimco Managed Core Bond Pool</t>
  </si>
  <si>
    <t>PIMCO MANAGED CORE BOND POOL</t>
  </si>
  <si>
    <t>WCPB US Equity</t>
  </si>
  <si>
    <t>Weitz Core Plus Bond ETF</t>
  </si>
  <si>
    <t>WEITZ CORE PLUS BOND ETF</t>
  </si>
  <si>
    <t>XQB CN Equity</t>
  </si>
  <si>
    <t>iShares安硕核心高质量加拿大</t>
  </si>
  <si>
    <t>ISHARES HIGH QUALITY CANADIA</t>
  </si>
  <si>
    <t>IBIH US Equity</t>
  </si>
  <si>
    <t>iShares iBonds Oct 2031 Term</t>
  </si>
  <si>
    <t>ISHARES IBONDS OCT 2031 TT</t>
  </si>
  <si>
    <t>VAB CN Equity</t>
  </si>
  <si>
    <t>先锋领航加拿大综合债券指数ET</t>
  </si>
  <si>
    <t>VANGUARD CANADIAN AGGREGATE</t>
  </si>
  <si>
    <t>IS0M GR Equity</t>
  </si>
  <si>
    <t>iShares安硕意大利国债UCITS E</t>
  </si>
  <si>
    <t>ISHARES ITALY GOVT BOND</t>
  </si>
  <si>
    <t>RVNU US Equity</t>
  </si>
  <si>
    <t>Xtrackers Municipal Infrastr</t>
  </si>
  <si>
    <t>XTRACKERS MUNICIPAL INFRASTR</t>
  </si>
  <si>
    <t>XHYD US Equity</t>
  </si>
  <si>
    <t>BONDBLOXX USD HY BOND CNONCS</t>
  </si>
  <si>
    <t>AFIF US Equity</t>
  </si>
  <si>
    <t>Anfield Universal Fixed Inco</t>
  </si>
  <si>
    <t>ANFIELD UNIVERSAL FIXED INCO</t>
  </si>
  <si>
    <t>LQDH LN Equity</t>
  </si>
  <si>
    <t>iShares安硕美元公司债利率套</t>
  </si>
  <si>
    <t>ISHARES USD CORP INTRST HDG</t>
  </si>
  <si>
    <t>HYGV US Equity</t>
  </si>
  <si>
    <t>FlexShares High Yield Value-</t>
  </si>
  <si>
    <t>FLEXSHARES HIGH YIELD VALUE</t>
  </si>
  <si>
    <t>XBLC GR Equity</t>
  </si>
  <si>
    <t>Xtrackers II欧元公司债UCITS</t>
  </si>
  <si>
    <t>X EUR CORPORATE BOND</t>
  </si>
  <si>
    <t>XFLI/U CN Equity</t>
  </si>
  <si>
    <t>iShares Flexible Monthly Inc</t>
  </si>
  <si>
    <t>ISHARES FLEXIBL MON INCM ETF</t>
  </si>
  <si>
    <t>GOVZ US Equity</t>
  </si>
  <si>
    <t>Ishares 25+ Year Treasury ST</t>
  </si>
  <si>
    <t>ISHARES 25+ YR TREAS STRIPS</t>
  </si>
  <si>
    <t>XDEP GR Equity</t>
  </si>
  <si>
    <t>Xtrackers iBoxx EUR Corporat</t>
  </si>
  <si>
    <t>X EUR CORP BND YIELD PLUS 1D</t>
  </si>
  <si>
    <t>TCHF16 IT Equity</t>
  </si>
  <si>
    <t>Tachlit SAL 4D Composite Gov</t>
  </si>
  <si>
    <t>TACHLIT COMP GOV BOND FOR EQ</t>
  </si>
  <si>
    <t>ZAG CN Equity</t>
  </si>
  <si>
    <t>BMO综合债券指数ETF</t>
  </si>
  <si>
    <t>BMO AGGREGATE BOND INDEX ETF</t>
  </si>
  <si>
    <t>CARY US Equity</t>
  </si>
  <si>
    <t>Angel Oak Income ETF</t>
  </si>
  <si>
    <t>ANGEL OAK INCOME ETF</t>
  </si>
  <si>
    <t>MTFF115 IT Equity</t>
  </si>
  <si>
    <t>MTF Sal 0A Tel - Gov IL</t>
  </si>
  <si>
    <t>MTF SAL TEL-GOV IL</t>
  </si>
  <si>
    <t>GOOD AU Equity</t>
  </si>
  <si>
    <t>Janus Henderson Sustainable</t>
  </si>
  <si>
    <t>JANUS HEND SUS CRE AC ETF</t>
  </si>
  <si>
    <t>CMF US Equity</t>
  </si>
  <si>
    <t>安硕加利福尼亚地方债ETF</t>
  </si>
  <si>
    <t>ISHARES CALIFORNIA MUNI BOND</t>
  </si>
  <si>
    <t>SS1EUA SW Equity</t>
  </si>
  <si>
    <t>UBS Core BBG EUR Gov 1-10 UC</t>
  </si>
  <si>
    <t>UBS CORE BBG GOV 1-10 UCI-ED</t>
  </si>
  <si>
    <t>EUTYP SW Equity</t>
  </si>
  <si>
    <t>UBS EUR Treasury Yield Plus</t>
  </si>
  <si>
    <t>UBS EUR TR YIE PLU UCITS ETF</t>
  </si>
  <si>
    <t>LQDH US Equity</t>
  </si>
  <si>
    <t>iShares安硕利率套期公司债ETF</t>
  </si>
  <si>
    <t>ISHARES INT HEDG CORP BD ETF</t>
  </si>
  <si>
    <t>SMBS US Equity</t>
  </si>
  <si>
    <t>Schwab Mortgage-Backed Secur</t>
  </si>
  <si>
    <t>SCHWAB MBS ETF</t>
  </si>
  <si>
    <t>NACO CN Equity</t>
  </si>
  <si>
    <t>Ninepoint Alternative Credit</t>
  </si>
  <si>
    <t>NINEPOINT ALTERNATIVE CREDIT</t>
  </si>
  <si>
    <t>GMNY US Equity</t>
  </si>
  <si>
    <t>Goldman Sachs Dynamic New Yo</t>
  </si>
  <si>
    <t>DYNAMIC NY MUNI INCOME</t>
  </si>
  <si>
    <t>MINO US Equity</t>
  </si>
  <si>
    <t>PIMCO Municipal Income Oppor</t>
  </si>
  <si>
    <t>PIMCO MUNICIPAL INCOME OPPOR</t>
  </si>
  <si>
    <t>IUS6 GR Equity</t>
  </si>
  <si>
    <t>iShares安硕欧元有抵国债UCITS</t>
  </si>
  <si>
    <t>ISHARES EURO COVERED BOND</t>
  </si>
  <si>
    <t>IQEC FP Equity</t>
  </si>
  <si>
    <t>IndexIQ Factors Sustainable</t>
  </si>
  <si>
    <t>INDEXIQ FACT SUST CORP EURO</t>
  </si>
  <si>
    <t>EMCR LN Equity</t>
  </si>
  <si>
    <t>iShares安硕摩根大通美元新兴</t>
  </si>
  <si>
    <t>ISHARES JPM USD EM CORP BND</t>
  </si>
  <si>
    <t>YIIG5 IM Equity</t>
  </si>
  <si>
    <t>YIS 3-5 Year Italian Governm</t>
  </si>
  <si>
    <t>YIS 3-5 YEAR ITALIAN GOV BND</t>
  </si>
  <si>
    <t>ETFGS51 GR Equity</t>
  </si>
  <si>
    <t>Deka DB EUROGOV Germany 5-10</t>
  </si>
  <si>
    <t>DEKA DB EUROGOV GERMANY  5-1</t>
  </si>
  <si>
    <t>MGOV US Equity</t>
  </si>
  <si>
    <t>First Trust Intermediate Gov</t>
  </si>
  <si>
    <t>FT INTERMED GOVT OPPT ETF</t>
  </si>
  <si>
    <t>NYF US Equity</t>
  </si>
  <si>
    <t>安硕纽约地方债券ETF</t>
  </si>
  <si>
    <t>ISHARES NEW YORK MUNI BOND E</t>
  </si>
  <si>
    <t>INFL FP Equity</t>
  </si>
  <si>
    <t>Amundi Euro Inflation Expect</t>
  </si>
  <si>
    <t>AM EURO INFL EXP 2-10Y-ETF A</t>
  </si>
  <si>
    <t>CBON US Equity</t>
  </si>
  <si>
    <t>VanEck China Bond ETF</t>
  </si>
  <si>
    <t>VANECK CHINA BOND ETF</t>
  </si>
  <si>
    <t>EHEB NA Equity</t>
  </si>
  <si>
    <t>iShares EUR High Yield Corp</t>
  </si>
  <si>
    <t>ISHARES HY CORP BOND E A ETF</t>
  </si>
  <si>
    <t>OVT US Equity</t>
  </si>
  <si>
    <t>Overlay Shares Short Term Bo</t>
  </si>
  <si>
    <t>OVERLAY SHARES SHRT TERM BON</t>
  </si>
  <si>
    <t>THYM US Equity</t>
  </si>
  <si>
    <t>T. Rowe Price High Income Mu</t>
  </si>
  <si>
    <t>T. ROWE PRICE HI MUN ETF</t>
  </si>
  <si>
    <t>JREB GR Equity</t>
  </si>
  <si>
    <t>JPMorgan EUR IG Corporate Bo</t>
  </si>
  <si>
    <t>JPM EUR IG CORP BND ACT ETF</t>
  </si>
  <si>
    <t>LQDW US Equity</t>
  </si>
  <si>
    <t>Ishares Investment Grade Cor</t>
  </si>
  <si>
    <t>ISHARES INGR CORP BD B/W ETF</t>
  </si>
  <si>
    <t>GTIP US Equity</t>
  </si>
  <si>
    <t>Goldman Sachs Access Inflati</t>
  </si>
  <si>
    <t>GOLDMAN SACHS ACCESS INFLATI</t>
  </si>
  <si>
    <t>YIE10 IM Equity</t>
  </si>
  <si>
    <t>YIS 1-10 Year EMU Government</t>
  </si>
  <si>
    <t>YIS 1-10 YEAR EMU GOVT BOND</t>
  </si>
  <si>
    <t>CSBGE7 SW Equity</t>
  </si>
  <si>
    <t>iShares安硕欧元国债3-7年UCIT</t>
  </si>
  <si>
    <t>ISHARES EUR GOVT 3-7Y ACC</t>
  </si>
  <si>
    <t>FCAL US Equity</t>
  </si>
  <si>
    <t>First Trust California Munic</t>
  </si>
  <si>
    <t>FIRST TRUST CALIFORNIA MUNIC</t>
  </si>
  <si>
    <t>NPFI US Equity</t>
  </si>
  <si>
    <t>Nuveen Preferred And Income</t>
  </si>
  <si>
    <t>NUVEEN PREFERRED &amp; INCOME</t>
  </si>
  <si>
    <t>TAFM US Equity</t>
  </si>
  <si>
    <t>AB Tax-Aware Intermediate Mu</t>
  </si>
  <si>
    <t>AB TAX AWARE INTER MUNI</t>
  </si>
  <si>
    <t>30IG GR Equity</t>
  </si>
  <si>
    <t>ISHARES IBO DEC 2030 TER ETF</t>
  </si>
  <si>
    <t>FIXP US Equity</t>
  </si>
  <si>
    <t>FolioBeyond Enhanced Fixed I</t>
  </si>
  <si>
    <t>FOLIOBEYOND ENHNCD F PRE ETF</t>
  </si>
  <si>
    <t>XB31 GR Equity</t>
  </si>
  <si>
    <t>X MAT SEP31 EUR CORP 1D</t>
  </si>
  <si>
    <t>HIYS US Equity</t>
  </si>
  <si>
    <t>Invesco High Yield Select ET</t>
  </si>
  <si>
    <t>INVESCO HIGH YIELD SLCT ETF</t>
  </si>
  <si>
    <t>HYBI US Equity</t>
  </si>
  <si>
    <t>NEOS Enhanced Income Credit</t>
  </si>
  <si>
    <t>NEOS ENHANCED ICS ETF</t>
  </si>
  <si>
    <t>VGV CN Equity</t>
  </si>
  <si>
    <t>Vanguard Canadian Government</t>
  </si>
  <si>
    <t>VANGUARD CANADIAN GOVERNMENT</t>
  </si>
  <si>
    <t>IWBE CN Equity</t>
  </si>
  <si>
    <t>Invesco ESG Global Bond ETF</t>
  </si>
  <si>
    <t>INVESCO ESG GLOBAL BOND ETF</t>
  </si>
  <si>
    <t>FTNJ US Equity</t>
  </si>
  <si>
    <t>Franklin New Jersey Municipa</t>
  </si>
  <si>
    <t>FR NEW JERSEY MUNI INC ETF</t>
  </si>
  <si>
    <t>GMUB US Equity</t>
  </si>
  <si>
    <t>Goldman Sachs Municipal Inco</t>
  </si>
  <si>
    <t>GS MUNICIPAL INCOME ETF</t>
  </si>
  <si>
    <t>HECB IM Equity</t>
  </si>
  <si>
    <t>HSBC ICAV EURO CORP BD ETF</t>
  </si>
  <si>
    <t>ZUP CN Equity</t>
  </si>
  <si>
    <t>BMO US Preferred Share Index</t>
  </si>
  <si>
    <t>BMO US PREFERRED SHARE ETF</t>
  </si>
  <si>
    <t>BNDY US Equity</t>
  </si>
  <si>
    <t>Horizon Core Bond ETF</t>
  </si>
  <si>
    <t>HORIZON CORE BOND ETF</t>
  </si>
  <si>
    <t>AIPE GR Equity</t>
  </si>
  <si>
    <t>AXA IM Euro Credit PAB UCITS</t>
  </si>
  <si>
    <t>AXA IM EUR IG PAB UCITSACC</t>
  </si>
  <si>
    <t>ISRC FP Equity</t>
  </si>
  <si>
    <t>Amundi Label ISR Credit EUR</t>
  </si>
  <si>
    <t>AMDI ISR CRED EUR UCIT ETF C</t>
  </si>
  <si>
    <t>MCOR CN Equity</t>
  </si>
  <si>
    <t>Manulife Core Plus Bond ETF</t>
  </si>
  <si>
    <t>MANULIFE CORE PLUS BOND FUND</t>
  </si>
  <si>
    <t>IAGG US Equity</t>
  </si>
  <si>
    <t>iShares Core International A</t>
  </si>
  <si>
    <t>ISHARES INTL AGGREGATE BOND</t>
  </si>
  <si>
    <t>KSMF85 IT Equity</t>
  </si>
  <si>
    <t>KSM ETF 00 Comp Tel-Gov 65%</t>
  </si>
  <si>
    <t>KSM ETF CMP TELGOV+COR IL</t>
  </si>
  <si>
    <t>MMSD US Equity</t>
  </si>
  <si>
    <t>NYLI Mackay Muni Short Durat</t>
  </si>
  <si>
    <t>NYLI MACKAY MUNI SHRT DURAT</t>
  </si>
  <si>
    <t>IBIJ US Equity</t>
  </si>
  <si>
    <t>iShares iBonds Oct 2033 Term</t>
  </si>
  <si>
    <t>ISHRS IBNDS OCT 2033 TRM</t>
  </si>
  <si>
    <t>LTPZ US Equity</t>
  </si>
  <si>
    <t>PIMCO 15年起美国TIPS指数交易</t>
  </si>
  <si>
    <t>PIMCO 15+ YR US TIPS INDX</t>
  </si>
  <si>
    <t>CAM US Equity</t>
  </si>
  <si>
    <t>AB California Intermediate M</t>
  </si>
  <si>
    <t>AB CALIFORNIA INTER MUNI ETF</t>
  </si>
  <si>
    <t>RATE CN Equity</t>
  </si>
  <si>
    <t>Arrow EC Income Advantage Al</t>
  </si>
  <si>
    <t>ARROW EC INCOME ADVANTAGE AL</t>
  </si>
  <si>
    <t>HYTI US Equity</t>
  </si>
  <si>
    <t>FT Vest High Yield &amp; Target</t>
  </si>
  <si>
    <t>FT VST HIGH YLD &amp; TAR IN ETF</t>
  </si>
  <si>
    <t>TBX US Equity</t>
  </si>
  <si>
    <t>ProShares做空7-10年国债</t>
  </si>
  <si>
    <t>PROSHARES SHORT 7-10 YR TSY</t>
  </si>
  <si>
    <t>BSJU US Equity</t>
  </si>
  <si>
    <t>Invesco BulletShares 2030 Hi</t>
  </si>
  <si>
    <t>INVESCO BULLETSHARES 2030 HY</t>
  </si>
  <si>
    <t>EVSM US Equity</t>
  </si>
  <si>
    <t>Eaton Vance Short Duration M</t>
  </si>
  <si>
    <t>EATON VANCE SHRT DUR MUNI</t>
  </si>
  <si>
    <t>TMNS US Equity</t>
  </si>
  <si>
    <t>T. Rowe Price Short Municipa</t>
  </si>
  <si>
    <t>T ROWE PRICE SM INCOME ETF</t>
  </si>
  <si>
    <t>BSJX US Equity</t>
  </si>
  <si>
    <t>Invesco BulletShares 2033 Hi</t>
  </si>
  <si>
    <t>INVESCO BULLETSHARES 2033 HY</t>
  </si>
  <si>
    <t>CNYF GR Equity</t>
  </si>
  <si>
    <t>Amundi China CNY Bonds UCITS</t>
  </si>
  <si>
    <t>CHINA CNY BONDS UCITS ETF DR</t>
  </si>
  <si>
    <t>CANQ US Equity</t>
  </si>
  <si>
    <t>Calamos Nasdaq Equity &amp; Inco</t>
  </si>
  <si>
    <t>CALAMOS NASDAQ EQUITY &amp; INCO</t>
  </si>
  <si>
    <t>DFIP US Equity</t>
  </si>
  <si>
    <t>Dimensional Inflation-Protec</t>
  </si>
  <si>
    <t>DIMENSIONAL INFLATION-PROTEC</t>
  </si>
  <si>
    <t>BBEG GR Equity</t>
  </si>
  <si>
    <t>JPMorgan BetaBuilders EUR Go</t>
  </si>
  <si>
    <t>JPM BETAB EUR GOVT UCITS ETF</t>
  </si>
  <si>
    <t>BUCK US Equity</t>
  </si>
  <si>
    <t>Simplify Treasury Option Inc</t>
  </si>
  <si>
    <t>SIMPLIFY TREASURY OPTION INC</t>
  </si>
  <si>
    <t>EMTL US Equity</t>
  </si>
  <si>
    <t>State Street DoubleLine Emer</t>
  </si>
  <si>
    <t>SS DOUBLELINE EM FI ETF</t>
  </si>
  <si>
    <t>IB83EX GR Equity</t>
  </si>
  <si>
    <t>iShares Euro Government Bond</t>
  </si>
  <si>
    <t>IS EU GVTBNDCAP 1.5-10.5 DE</t>
  </si>
  <si>
    <t>MAA FP Equity</t>
  </si>
  <si>
    <t>东方汇理欧元最高评级宏观加权</t>
  </si>
  <si>
    <t>AM EURO HR M-WT GOV BD-ETF A</t>
  </si>
  <si>
    <t>FM30 FP Equity</t>
  </si>
  <si>
    <t>Amundi Fixed Maturity 2030 G</t>
  </si>
  <si>
    <t>AMUD FX MAT 2030 GOVEB</t>
  </si>
  <si>
    <t>FDHY US Equity</t>
  </si>
  <si>
    <t>Fidelity Enhanced High Yield</t>
  </si>
  <si>
    <t>FIDELITY ENH HI YLD ETF</t>
  </si>
  <si>
    <t>ETFES11 GR Equity</t>
  </si>
  <si>
    <t>DRCU CN Equity</t>
  </si>
  <si>
    <t>Desjardins RI Active Canadia</t>
  </si>
  <si>
    <t>DESJARDINS RI ACTIVE CANADIA</t>
  </si>
  <si>
    <t>MTFF58 IT Equity</t>
  </si>
  <si>
    <t>MTF 00 Bank &amp; Insurance Bond</t>
  </si>
  <si>
    <t>MTF 00 BANK AND INSURANCE</t>
  </si>
  <si>
    <t>PHYL US Equity</t>
  </si>
  <si>
    <t>PGIM Active High Yield Bond</t>
  </si>
  <si>
    <t>PGIM ACTIVE HIGH YIELD BOND</t>
  </si>
  <si>
    <t>JHHY US Equity</t>
  </si>
  <si>
    <t>John Hancock High Yield ETF</t>
  </si>
  <si>
    <t>JOHN HANCOCK HIGH YIELD ETF</t>
  </si>
  <si>
    <t>SCYB US Equity</t>
  </si>
  <si>
    <t>Schwab High Yield Bond ETF</t>
  </si>
  <si>
    <t>SCHWAB HIGH YIELD BOND ETF</t>
  </si>
  <si>
    <t>IHYF US Equity</t>
  </si>
  <si>
    <t>Invesco High Yield Bond Fact</t>
  </si>
  <si>
    <t>INVESCO HIGH YIELD BOND FACT</t>
  </si>
  <si>
    <t>MBND US Equity</t>
  </si>
  <si>
    <t>State Street Nuveen Municipa</t>
  </si>
  <si>
    <t>SS NUVEEN MUNIC BOND ETF-USD</t>
  </si>
  <si>
    <t>NCPB CN Equity</t>
  </si>
  <si>
    <t>NBI Canadian Core Plus Bond</t>
  </si>
  <si>
    <t>NBI CAN CORE PLUS BOND FUND</t>
  </si>
  <si>
    <t>SCIO US Equity</t>
  </si>
  <si>
    <t>First Trust Structured Credi</t>
  </si>
  <si>
    <t>FT STRUCT CREDIT INC OPP ETF</t>
  </si>
  <si>
    <t>TBCI CN Equity</t>
  </si>
  <si>
    <t>TD Target 2029 Investment Gr</t>
  </si>
  <si>
    <t>TD TGT 2029 INV GR BD</t>
  </si>
  <si>
    <t>IEAC LN Equity</t>
  </si>
  <si>
    <t>iShares安硕核心欧元公司债UCI</t>
  </si>
  <si>
    <t>ISHARES CORE EURO CORP BOND</t>
  </si>
  <si>
    <t>HYMB US Equity</t>
  </si>
  <si>
    <t>道富SPDR纽文ICE高收益市政债</t>
  </si>
  <si>
    <t>SS SPDR N ICE HY MUNI ETF</t>
  </si>
  <si>
    <t>VETZ US Equity</t>
  </si>
  <si>
    <t>Academy Veteran Bond ETF</t>
  </si>
  <si>
    <t>ACADEMY VETERAN BOND ETF-USD</t>
  </si>
  <si>
    <t>SRIB CN Equity</t>
  </si>
  <si>
    <t>Scotia Responsible Investing</t>
  </si>
  <si>
    <t>SCOTIA RESP INVEST CAN BD IN</t>
  </si>
  <si>
    <t>FTNY US Equity</t>
  </si>
  <si>
    <t>Franklin New York Municipal</t>
  </si>
  <si>
    <t>FR NEW YORK MUNI INC ETF</t>
  </si>
  <si>
    <t>3077 HK Equity</t>
  </si>
  <si>
    <t>Premia US Treasury Floating</t>
  </si>
  <si>
    <t>PREMIA US TREASURY FLOAT-HKD</t>
  </si>
  <si>
    <t>AM3A FP Equity</t>
  </si>
  <si>
    <t>AM EURO GV BND HR IG ETF ACC</t>
  </si>
  <si>
    <t>XKAP AU Equity</t>
  </si>
  <si>
    <t>Kapstream Absolute Return In</t>
  </si>
  <si>
    <t>KAPSTREAM ABSOLUTE RETURN IN</t>
  </si>
  <si>
    <t>MBB US Equity</t>
  </si>
  <si>
    <t>iShares安硕抵押担保证券ETF</t>
  </si>
  <si>
    <t>ISHARES MBS ETF</t>
  </si>
  <si>
    <t>CGRB CN Equity</t>
  </si>
  <si>
    <t>CI Global Green Bond Fund</t>
  </si>
  <si>
    <t>CI GLOBAL GREEN BOND FUND</t>
  </si>
  <si>
    <t>EUNH GR Equity</t>
  </si>
  <si>
    <t>iShares安硕核心欧元国债UCITS</t>
  </si>
  <si>
    <t>ISHARES CORE EURO GOVT BOND</t>
  </si>
  <si>
    <t>3075 HK Equity</t>
  </si>
  <si>
    <t>Global X Asia USD Investment</t>
  </si>
  <si>
    <t>GLOB X ASIA USD INV G BD ETF</t>
  </si>
  <si>
    <t>ZXCQ CN Equity</t>
  </si>
  <si>
    <t>BMO Target 2029 Canadian Cor</t>
  </si>
  <si>
    <t>BMO TAR 2029 C CORP BOND ETF</t>
  </si>
  <si>
    <t>CACB CN Equity</t>
  </si>
  <si>
    <t>CIBC Active Investment Grade</t>
  </si>
  <si>
    <t>CIBC ACTIVE INVESTMENT GRADE</t>
  </si>
  <si>
    <t>PSB CN Equity</t>
  </si>
  <si>
    <t>PowerShares1-5年期梯形投资级</t>
  </si>
  <si>
    <t>INVESCO 1-5 YEAR LADDERED IN</t>
  </si>
  <si>
    <t>IBIF US Equity</t>
  </si>
  <si>
    <t>iShares iBonds Oct 2029 Term</t>
  </si>
  <si>
    <t>ISHARES IBONDS OCT 2029 TT</t>
  </si>
  <si>
    <t>JSI US Equity</t>
  </si>
  <si>
    <t>Janus Henderson Securitized</t>
  </si>
  <si>
    <t>JH SECURITIZED INCOME ETF</t>
  </si>
  <si>
    <t>HYZD US Equity</t>
  </si>
  <si>
    <t>WisdomTree利率对冲高收益债券</t>
  </si>
  <si>
    <t>WISDOMTREE INTEREST RATE HED</t>
  </si>
  <si>
    <t>TAFI US Equity</t>
  </si>
  <si>
    <t>AB Tax Aware Short Duration</t>
  </si>
  <si>
    <t>AB TAX AWARE SHORT DUR MUNI</t>
  </si>
  <si>
    <t>GCAL US Equity</t>
  </si>
  <si>
    <t>Goldman Sachs Dynamic Califo</t>
  </si>
  <si>
    <t>DYNAMIC CALIFORNIA MUNI ETF</t>
  </si>
  <si>
    <t>XGLE GR Equity</t>
  </si>
  <si>
    <t>Xtrackers II欧元区国债UCITS</t>
  </si>
  <si>
    <t>X EUROZONE GOVT BOND 1C</t>
  </si>
  <si>
    <t>HYUP US Equity</t>
  </si>
  <si>
    <t>Xtrackers High Beta High Yie</t>
  </si>
  <si>
    <t>XTRS HI BETA HI YIELD ETF</t>
  </si>
  <si>
    <t>ZGB CN Equity</t>
  </si>
  <si>
    <t>BMO Government Bond Index ET</t>
  </si>
  <si>
    <t>BMO GOVERNMENT BOND INDEX ET</t>
  </si>
  <si>
    <t>EFQ8 GR Equity</t>
  </si>
  <si>
    <t>Deka iBoxx欧元流动性非金融多</t>
  </si>
  <si>
    <t>DEKA IBOXX EUR LIQUID NON-FI</t>
  </si>
  <si>
    <t>GEMU FP Equity</t>
  </si>
  <si>
    <t>BNP PARIB EASY JPM TILTED-UC</t>
  </si>
  <si>
    <t>GNMA US Equity</t>
  </si>
  <si>
    <t>iShares安硕GNMA债券ETF</t>
  </si>
  <si>
    <t>ISHARES GNMA BOND ETF</t>
  </si>
  <si>
    <t>EUEB GR Equity</t>
  </si>
  <si>
    <t>iShares EUR Corp Bond Enhanc</t>
  </si>
  <si>
    <t>ISHARES EUR CRP B ENHD A ETF</t>
  </si>
  <si>
    <t>RXP5EX GR Equity</t>
  </si>
  <si>
    <t>iShares安硕eb.rexx德国政府5.</t>
  </si>
  <si>
    <t>ISHAR GVT GMNY 5.5-10.5YR DE</t>
  </si>
  <si>
    <t>XB US Equity</t>
  </si>
  <si>
    <t>BondBloxx B-Rated USD High Y</t>
  </si>
  <si>
    <t>BONDBLOXX-B RATED USD HY CB</t>
  </si>
  <si>
    <t>KSMF174 IT Equity</t>
  </si>
  <si>
    <t>KSM ETF 00 Tel Bond-Shekel 3</t>
  </si>
  <si>
    <t>KSM ETF TEL-SH35</t>
  </si>
  <si>
    <t>QEIG FP Equity</t>
  </si>
  <si>
    <t>BNP Paribas Easy Alpha Enhan</t>
  </si>
  <si>
    <t>BNP PARIBA EASY ALPHA ENH-UA</t>
  </si>
  <si>
    <t>HPYT CN Equity</t>
  </si>
  <si>
    <t>Harvest Premium Yield Treasu</t>
  </si>
  <si>
    <t>HARVEST PREM. YIELD TREASURY</t>
  </si>
  <si>
    <t>VTEC US Equity</t>
  </si>
  <si>
    <t>Vanguard California Tax-Exem</t>
  </si>
  <si>
    <t>VANGUARD CA TAX-EX BOND</t>
  </si>
  <si>
    <t>HRLF221 IT Equity</t>
  </si>
  <si>
    <t>Harel Sal 0A Tel Bond Compos</t>
  </si>
  <si>
    <t>HAREL SAL TEL BOND COMPOSITE</t>
  </si>
  <si>
    <t>PHB US Equity</t>
  </si>
  <si>
    <t>景顺基本面高收益公司债ETF</t>
  </si>
  <si>
    <t>INVESCO FUNDAMENTAL HIGH YIE</t>
  </si>
  <si>
    <t>SMMU US Equity</t>
  </si>
  <si>
    <t>PIMCO短期市政债券主动型ETF</t>
  </si>
  <si>
    <t>PIMCO SHRT TRM MUNI BND ETF</t>
  </si>
  <si>
    <t>XB30 GR Equity</t>
  </si>
  <si>
    <t>VCRM US Equity</t>
  </si>
  <si>
    <t>Vanguard Core Tax-Exempt Bon</t>
  </si>
  <si>
    <t>VANGUARD CORE TAX-EX BOND</t>
  </si>
  <si>
    <t>MUND US Equity</t>
  </si>
  <si>
    <t>Northern Trust 2055 Tax-Exem</t>
  </si>
  <si>
    <t>NORTHERN TR 2055 TAX-EXE DL</t>
  </si>
  <si>
    <t>ZQB CN Equity</t>
  </si>
  <si>
    <t>BMO High Quality Corporate B</t>
  </si>
  <si>
    <t>BMO HIGH QUALITY CORPORATE B</t>
  </si>
  <si>
    <t>EUNR GR Equity</t>
  </si>
  <si>
    <t>iShares安硕欧元公司债除金融U</t>
  </si>
  <si>
    <t>ISHARES EURO CORP EX-FINCL</t>
  </si>
  <si>
    <t>BSE0 GR Equity</t>
  </si>
  <si>
    <t>Invesco BulletShares 2030 EU</t>
  </si>
  <si>
    <t>IVZ BULLETSHARES 2030 EUR A</t>
  </si>
  <si>
    <t>RPLS CN Equity</t>
  </si>
  <si>
    <t>RBC Core Plus Bond Pool/ETF</t>
  </si>
  <si>
    <t>RBC CORE PLUS BOND POOL</t>
  </si>
  <si>
    <t>JCPI US Equity</t>
  </si>
  <si>
    <t>JPMorgan Inflation Managed B</t>
  </si>
  <si>
    <t>JP MORGAN INFLATION MGD BOND</t>
  </si>
  <si>
    <t>IFRF CN Equity</t>
  </si>
  <si>
    <t>IA Clarington Loomis Floatin</t>
  </si>
  <si>
    <t>IA CLARINGTON LOOMIS FLOATIN</t>
  </si>
  <si>
    <t>LMBS US Equity</t>
  </si>
  <si>
    <t>第一信托短期机会ETF</t>
  </si>
  <si>
    <t>FIRST TRUST LOW DURATION OPP</t>
  </si>
  <si>
    <t>HBB CN Equity</t>
  </si>
  <si>
    <t>Global X Canadian Select Uni</t>
  </si>
  <si>
    <t>GLOBAL X CAND SEL UNIV IND C</t>
  </si>
  <si>
    <t>SYB4 GR Equity</t>
  </si>
  <si>
    <t>SPDR Bloomberg 3-5 Year Euro</t>
  </si>
  <si>
    <t>SPDR BBG 3-5 EURO GOVERNMENT</t>
  </si>
  <si>
    <t>NYM US Equity</t>
  </si>
  <si>
    <t>AB New York Intermediate Mun</t>
  </si>
  <si>
    <t>AB NEW YORK INTER MUNI ETF</t>
  </si>
  <si>
    <t>XB4F GR Equity</t>
  </si>
  <si>
    <t>Xtrackers II欧元公司债SRI PA</t>
  </si>
  <si>
    <t>X EUR CORP SRI PAB 1D</t>
  </si>
  <si>
    <t>CORPSI SW Equity</t>
  </si>
  <si>
    <t>UBS BBG MSCI Global Liquid C</t>
  </si>
  <si>
    <t>UBS ETF GL LIQ CORP SUS HCHF</t>
  </si>
  <si>
    <t>CEMB US Equity</t>
  </si>
  <si>
    <t>iShares安硕新兴市场公司债券E</t>
  </si>
  <si>
    <t>ISHARES JP MORGAN EM CORPORA</t>
  </si>
  <si>
    <t>BSUB AU Equity</t>
  </si>
  <si>
    <t>Betashares Australian Major</t>
  </si>
  <si>
    <t>BS AU M BANK SUB DEBT ETF</t>
  </si>
  <si>
    <t>JMHI US Equity</t>
  </si>
  <si>
    <t>JPMorgan High Yield Municipa</t>
  </si>
  <si>
    <t>JPMORGAN HIGH YIELD MUNICPL</t>
  </si>
  <si>
    <t>PREF US Equity</t>
  </si>
  <si>
    <t>PRI SPE PRE SEC ACTI-USD INC</t>
  </si>
  <si>
    <t>USHY US Equity</t>
  </si>
  <si>
    <t>iShares Broad USD High Yield</t>
  </si>
  <si>
    <t>ISHARES BROAD USD HIGH YIELD</t>
  </si>
  <si>
    <t>FIXD AU Equity</t>
  </si>
  <si>
    <t>Coolabah Active Composite Bo</t>
  </si>
  <si>
    <t>COOLBH ACTV COM BN CMPLX ETF</t>
  </si>
  <si>
    <t>ETFES10 GR Equity</t>
  </si>
  <si>
    <t>ZEF CN Equity</t>
  </si>
  <si>
    <t>蒙特利尔银行新兴市场债券加元</t>
  </si>
  <si>
    <t>BMO EMERGING MARKETS BOND HE</t>
  </si>
  <si>
    <t>JMUB US Equity</t>
  </si>
  <si>
    <t>JPMorgan Municipal ETF</t>
  </si>
  <si>
    <t>JPMORGAN MUNICIPAL ETF</t>
  </si>
  <si>
    <t>AAAC US Equity</t>
  </si>
  <si>
    <t>Columbia AAA CLO ETF</t>
  </si>
  <si>
    <t>COLUMBIA AAA CLO ETF</t>
  </si>
  <si>
    <t>ZCDB CN Equity</t>
  </si>
  <si>
    <t>BMO Corporate Discount Bond</t>
  </si>
  <si>
    <t>BMO CORPORATE DISCOUNT BOND</t>
  </si>
  <si>
    <t>OWNS US Equity</t>
  </si>
  <si>
    <t>CCM Affordable Housing MBS E</t>
  </si>
  <si>
    <t>CCM AFFORDABLE HOUS MBS ETF</t>
  </si>
  <si>
    <t>TCSB CN Equity</t>
  </si>
  <si>
    <t>TD Select Short Term Corpora</t>
  </si>
  <si>
    <t>TD Select Short Term CORP ET</t>
  </si>
  <si>
    <t>SLCA CN Equity</t>
  </si>
  <si>
    <t>SUN Life Core Advantage Cred</t>
  </si>
  <si>
    <t>SUN LIFE C ADV CRED PVT POOL</t>
  </si>
  <si>
    <t>AT1 LN Equity</t>
  </si>
  <si>
    <t>Invesco USD AT1 CoCo Bond UC</t>
  </si>
  <si>
    <t>INVES USD AT1 CO UCITS-A USD</t>
  </si>
  <si>
    <t>CLOA US Equity</t>
  </si>
  <si>
    <t>iShares AAA CLO Active ETF</t>
  </si>
  <si>
    <t>ISHARES AAA CLO ACT ETF-USDI</t>
  </si>
  <si>
    <t>CTBE CN Equity</t>
  </si>
  <si>
    <t>CIBC 2029 Investment Grade B</t>
  </si>
  <si>
    <t>CIBC ASSET MANAGEMENT INC.</t>
  </si>
  <si>
    <t>QDXB CN Equity</t>
  </si>
  <si>
    <t>Mackenzie Developed Ex-North</t>
  </si>
  <si>
    <t>MACKENZIE DEV X-NA AGG BOND</t>
  </si>
  <si>
    <t>TIP10D SW Equity</t>
  </si>
  <si>
    <t>UBS BBG TIPS 10+ UCITS ETF</t>
  </si>
  <si>
    <t>UBS ETF BB TIPS 10+ USD</t>
  </si>
  <si>
    <t>XTWY US Equity</t>
  </si>
  <si>
    <t>BondBloxx Bloomberg Twenty Y</t>
  </si>
  <si>
    <t>BONDBLOXX BBG 20Y US TSY ETF</t>
  </si>
  <si>
    <t>RJMI US Equity</t>
  </si>
  <si>
    <t>RJ Eagle Municipal Income ET</t>
  </si>
  <si>
    <t>RJ EAGLE MUNICIPAL INC ETF</t>
  </si>
  <si>
    <t>TMSF US Equity</t>
  </si>
  <si>
    <t>T. Rowe Price Multi-Sector I</t>
  </si>
  <si>
    <t>T ROWE PRICE MS INCOME ETF</t>
  </si>
  <si>
    <t>SECR US Equity</t>
  </si>
  <si>
    <t>NYLI MacKay Securitized Inco</t>
  </si>
  <si>
    <t>NYLI MACKAY SECUR INC ETF</t>
  </si>
  <si>
    <t>X35E GR Equity</t>
  </si>
  <si>
    <t>Xtrackers II欧元区国债3-5年U</t>
  </si>
  <si>
    <t>X EURZ GOVT BOND 3-5 1C</t>
  </si>
  <si>
    <t>SCHP US Equity</t>
  </si>
  <si>
    <t>嘉信理财美国TIPs ETF</t>
  </si>
  <si>
    <t>SCHWAB U.S. TIPS ETF</t>
  </si>
  <si>
    <t>JNK US Equity</t>
  </si>
  <si>
    <t>道富SPDR彭博高收益债券ETF</t>
  </si>
  <si>
    <t>SS SPDR BB HIGH YIELD BOND</t>
  </si>
  <si>
    <t>INVG US Equity</t>
  </si>
  <si>
    <t>GMO Systematic Investment Gr</t>
  </si>
  <si>
    <t>GMO INVESTMENT GRADE CREDIT</t>
  </si>
  <si>
    <t>GCAP AU Equity</t>
  </si>
  <si>
    <t>VanEck Bentham Global Capita</t>
  </si>
  <si>
    <t>VANECK BENTHAM GLBL CAPT SUT</t>
  </si>
  <si>
    <t>IGCF CN Equity</t>
  </si>
  <si>
    <t>PIMCO Investment Grade Credi</t>
  </si>
  <si>
    <t>PIMCO INVESTMENT GRADE CREDI</t>
  </si>
  <si>
    <t>JPHY US Equity</t>
  </si>
  <si>
    <t>JPMorgan Active High Yield E</t>
  </si>
  <si>
    <t>JPMORGAN ACTIVE H YIELD ETF</t>
  </si>
  <si>
    <t>PLDI CN Equity</t>
  </si>
  <si>
    <t>Pimco Low Duration Monthly I</t>
  </si>
  <si>
    <t>PIMCO LOW DURATION MNTH INC</t>
  </si>
  <si>
    <t>CLOB US Equity</t>
  </si>
  <si>
    <t>VanEck AA-BB CLO ETF</t>
  </si>
  <si>
    <t>VANECK AA-BB CLO ETF</t>
  </si>
  <si>
    <t>VSHY US Equity</t>
  </si>
  <si>
    <t>Virtus Newfleet Short Durati</t>
  </si>
  <si>
    <t>VIRTUS NWFLT SHRT DUR HI YLD</t>
  </si>
  <si>
    <t>QSB CN Equity</t>
  </si>
  <si>
    <t>Mackenzie Canadian Short-Ter</t>
  </si>
  <si>
    <t>MACKENZIE CANADIAN SHORT TER</t>
  </si>
  <si>
    <t>EBBB FP Equity</t>
  </si>
  <si>
    <t>Amundi EUR Corporate Bond 1-</t>
  </si>
  <si>
    <t>AMUNDI EUR CORPORATE BOND 1-</t>
  </si>
  <si>
    <t>HCRD AU Equity</t>
  </si>
  <si>
    <t>Betashares Interest Rate Hed</t>
  </si>
  <si>
    <t>BETASHARES HDG AUS INVG ETF</t>
  </si>
  <si>
    <t>DFSB US Equity</t>
  </si>
  <si>
    <t>Dimensional Global Sustainab</t>
  </si>
  <si>
    <t>DIM GLB SUSTAIN FIX INC ETF</t>
  </si>
  <si>
    <t>PBTP US Equity</t>
  </si>
  <si>
    <t>Invesco 0-5 Yr US TIPS ETF</t>
  </si>
  <si>
    <t>INVESCO 0-5 YR US TIPS ETF</t>
  </si>
  <si>
    <t>BBHY US Equity</t>
  </si>
  <si>
    <t>JPMorgan BetaBuilders USD Hi</t>
  </si>
  <si>
    <t>JPMORGAN BETABUILDERS USD HI</t>
  </si>
  <si>
    <t>SYBA GR Equity</t>
  </si>
  <si>
    <t>SPDR彭博欧元综合债券UCITS ET</t>
  </si>
  <si>
    <t>SPDR BBG EURO AGGREGATE</t>
  </si>
  <si>
    <t>DCG CN Equity</t>
  </si>
  <si>
    <t>DESJARDINS 1-5 YR LAT GOV BD</t>
  </si>
  <si>
    <t>BOND US Equity</t>
  </si>
  <si>
    <t>PIMCO主动型债券ETF</t>
  </si>
  <si>
    <t>PIMCO ACTIVE BOND EXCHANGE-T</t>
  </si>
  <si>
    <t>RQR CN Equity</t>
  </si>
  <si>
    <t>RBC Target 2029 Canadian Cor</t>
  </si>
  <si>
    <t>RBC TARGET 2029 CANADIAN COR</t>
  </si>
  <si>
    <t>AGZD US Equity</t>
  </si>
  <si>
    <t>WisdomTree信托WisdomTree利率</t>
  </si>
  <si>
    <t>WISDOMTREE TRUST WISDOMTREE</t>
  </si>
  <si>
    <t>XGEZ GR Equity</t>
  </si>
  <si>
    <t>Xtrackers II Eurozone Govern</t>
  </si>
  <si>
    <t>X EUROZONE GOV GREEN BOND 1D</t>
  </si>
  <si>
    <t>DXBB CN Equity</t>
  </si>
  <si>
    <t>Dynamic Active Bond ETF</t>
  </si>
  <si>
    <t>DYNAMIC ACTIVE BOND ETF</t>
  </si>
  <si>
    <t>JMSI US Equity</t>
  </si>
  <si>
    <t>JPMorgan Sustainable Municip</t>
  </si>
  <si>
    <t>JPM SUS MUNICIPAL INCOME</t>
  </si>
  <si>
    <t>TIP US Equity</t>
  </si>
  <si>
    <t>iShares安硕TIPS债券ETF</t>
  </si>
  <si>
    <t>ISHARES TIPS BOND ETF</t>
  </si>
  <si>
    <t>29GI GR Equity</t>
  </si>
  <si>
    <t>ISR IB DE 2029 TER UCITS ETF</t>
  </si>
  <si>
    <t>MFLX US Equity</t>
  </si>
  <si>
    <t>First Trust Flexible Municip</t>
  </si>
  <si>
    <t>FIRST TRUST EXCHANGE-TRADED</t>
  </si>
  <si>
    <t>LIBD US Equity</t>
  </si>
  <si>
    <t>LifeX 2065 Inflation-Protect</t>
  </si>
  <si>
    <t>LIFEX 2065 INF-PRT LONG-INC</t>
  </si>
  <si>
    <t>CBH CN Equity</t>
  </si>
  <si>
    <t>iShares安硕1-10年期梯形公司</t>
  </si>
  <si>
    <t>ISHARES 1-10 YEAR LADDERED C</t>
  </si>
  <si>
    <t>XBCT GR Equity</t>
  </si>
  <si>
    <t>Xtrackers II iBoxx Germany C</t>
  </si>
  <si>
    <t>X IBOXX GERMANY COV SWAP 1C</t>
  </si>
  <si>
    <t>DCS CN Equity</t>
  </si>
  <si>
    <t>Desjardins Canadian Short Te</t>
  </si>
  <si>
    <t>DESJARDINS CAD SHORT TERM BD</t>
  </si>
  <si>
    <t>MUNY US Equity</t>
  </si>
  <si>
    <t>Vanguard New York Tax-Exempt</t>
  </si>
  <si>
    <t>VANGUARD NY TAX-EX BOND</t>
  </si>
  <si>
    <t>SIFI US Equity</t>
  </si>
  <si>
    <t>Harbor Scientific Alpha Inco</t>
  </si>
  <si>
    <t>HARBOR SCIENTIFIC ALPHA INCO</t>
  </si>
  <si>
    <t>MUB US Equity</t>
  </si>
  <si>
    <t>iShares安硕国家地方债ETF</t>
  </si>
  <si>
    <t>ISHARES NATIONAL MUNI BOND E</t>
  </si>
  <si>
    <t>FLCI CN Equity</t>
  </si>
  <si>
    <t>Franklin Canadian Corporate</t>
  </si>
  <si>
    <t>FRANKLIN CANADIAN CORPORATE</t>
  </si>
  <si>
    <t>PCFI US Equity</t>
  </si>
  <si>
    <t>Polen Floating Rate Income E</t>
  </si>
  <si>
    <t>PLN FLOATING RATE INC ETF</t>
  </si>
  <si>
    <t>BYLD US Equity</t>
  </si>
  <si>
    <t>iShares Yield Optimized Bond</t>
  </si>
  <si>
    <t>ISHARES YIELD OPTIMIZED BOND</t>
  </si>
  <si>
    <t>FIXT US Equity</t>
  </si>
  <si>
    <t>TCW Core Plus Bond ETF</t>
  </si>
  <si>
    <t>TCW CORE PLUS BOND ETF</t>
  </si>
  <si>
    <t>HCGG LN Equity</t>
  </si>
  <si>
    <t>HSBC Global Funds ICAV - Chi</t>
  </si>
  <si>
    <t>HSBC ICAV CH GOV LO BND ETF</t>
  </si>
  <si>
    <t>TAXM US Equity</t>
  </si>
  <si>
    <t>BondBloxx IR+M Tax-Aware ETF</t>
  </si>
  <si>
    <t>BONDBLOXX IR+M TAX-AWARE MAS</t>
  </si>
  <si>
    <t>VRPS LN Equity</t>
  </si>
  <si>
    <t>Invesco Variable Rate Prefer</t>
  </si>
  <si>
    <t>INVESCO VAR RATE PREF SHRS</t>
  </si>
  <si>
    <t>ZCS CN Equity</t>
  </si>
  <si>
    <t>BMO短期公司债指数ETF</t>
  </si>
  <si>
    <t>BMO SHORT CORPORATE BOND IND</t>
  </si>
  <si>
    <t>UIQL GR Equity</t>
  </si>
  <si>
    <t>UBS Core BBG Euro Area Liqui</t>
  </si>
  <si>
    <t>UBS CR BBG EA LC UCIT ET-EUD</t>
  </si>
  <si>
    <t>KSMF144 IT Equity</t>
  </si>
  <si>
    <t>KSM ETF 0A Tel Bond-Composit</t>
  </si>
  <si>
    <t>KSM ETF TEL-COMP</t>
  </si>
  <si>
    <t>NSSB CN Equity</t>
  </si>
  <si>
    <t>NBI Sustainable Canadian Sho</t>
  </si>
  <si>
    <t>NBI SUSTAINABLE CA STB EQY</t>
  </si>
  <si>
    <t>SIO US Equity</t>
  </si>
  <si>
    <t>Touchstone Strategic Income</t>
  </si>
  <si>
    <t>TOUCHSTONE STRTG IN ETF-IUSD</t>
  </si>
  <si>
    <t>TXXI US Equity</t>
  </si>
  <si>
    <t>BondBloxx IR+M Tax-Aware Int</t>
  </si>
  <si>
    <t>BBLX IRM TAX-AWARE I DUR ETF</t>
  </si>
  <si>
    <t>CGMS US Equity</t>
  </si>
  <si>
    <t>Capital Group US Multi-Secto</t>
  </si>
  <si>
    <t>CAP GROUP US MULTI-SECT BOND</t>
  </si>
  <si>
    <t>TDTF US Equity</t>
  </si>
  <si>
    <t>FlexShares iBoxx 5年目标久期</t>
  </si>
  <si>
    <t>FLEXSHARES IBOXX 5-YEAR TARG</t>
  </si>
  <si>
    <t>GOVE LN Equity</t>
  </si>
  <si>
    <t>Jupiter Global Government Bo</t>
  </si>
  <si>
    <t>JUPITER GBL GOVT UCITS ETF</t>
  </si>
  <si>
    <t>THYF US Equity</t>
  </si>
  <si>
    <t>T Rowe Price US High Yield E</t>
  </si>
  <si>
    <t>T ROWE PRICE US HIGH YIELD</t>
  </si>
  <si>
    <t>RGQT CN Equity</t>
  </si>
  <si>
    <t>RBC Target 2031 Canadian Gov</t>
  </si>
  <si>
    <t>RBC TARGET 2031 CN GB ETF</t>
  </si>
  <si>
    <t>XZEB GR Equity</t>
  </si>
  <si>
    <t>Xtrackers II ESG Eurozone Go</t>
  </si>
  <si>
    <t>X ESG EUROZONE GOV BND 1C</t>
  </si>
  <si>
    <t>FNBINF SJ Equity</t>
  </si>
  <si>
    <t>Ashburton通胀挂钩债券</t>
  </si>
  <si>
    <t>FNB INFLATION BOND ETF</t>
  </si>
  <si>
    <t>JMBS LN Equity</t>
  </si>
  <si>
    <t>Janus Henderson USD Mortgage</t>
  </si>
  <si>
    <t>JANUS HEN MBS USD A</t>
  </si>
  <si>
    <t>CCBD CN Equity</t>
  </si>
  <si>
    <t>CI US Aggregate Bond Covered</t>
  </si>
  <si>
    <t>CI US AGG BD COVER CALL ETF</t>
  </si>
  <si>
    <t>PHYD US Equity</t>
  </si>
  <si>
    <t>Putnam ESG High Yield ETF</t>
  </si>
  <si>
    <t>PUTNAM ESG HIGH YIELD ETF</t>
  </si>
  <si>
    <t>SPIP US Equity</t>
  </si>
  <si>
    <t>道富SPDR投资组合TIPS ETF</t>
  </si>
  <si>
    <t>SS SPDR P TIPS ETF</t>
  </si>
  <si>
    <t>MBNE US Equity</t>
  </si>
  <si>
    <t>SS NUVEEN MUNI ESG ETF</t>
  </si>
  <si>
    <t>FSMB US Equity</t>
  </si>
  <si>
    <t>First Trust Short Duration M</t>
  </si>
  <si>
    <t>FIRST TRUST SHORT DUR MANAG</t>
  </si>
  <si>
    <t>AICU GR Equity</t>
  </si>
  <si>
    <t>AXA IM Emerging Markets Cred</t>
  </si>
  <si>
    <t>AXA EM CRDT PAB ETF USDACC</t>
  </si>
  <si>
    <t>XSHG CN Equity</t>
  </si>
  <si>
    <t>iShares ESG Advanced 1-5 Yea</t>
  </si>
  <si>
    <t>ISHARES ESG ADV 1-5 CAN CORP</t>
  </si>
  <si>
    <t>XEZB GR Equity</t>
  </si>
  <si>
    <t>X EURZ GOVT BOND ESG TILT 1D</t>
  </si>
  <si>
    <t>FPR CN Equity</t>
  </si>
  <si>
    <t>CI Preferred Share ETF</t>
  </si>
  <si>
    <t>CI PREFERRED SHARE ETF</t>
  </si>
  <si>
    <t>HYFA LN Equity</t>
  </si>
  <si>
    <t>Invesco US High Yield Fallen</t>
  </si>
  <si>
    <t>INVESCO US HYFA DIST</t>
  </si>
  <si>
    <t>BSJT US Equity</t>
  </si>
  <si>
    <t>Invesco Bulletshares 2029 Hi</t>
  </si>
  <si>
    <t>INVESCO BULLETSHARES 2029 HY</t>
  </si>
  <si>
    <t>IPAB GR Equity</t>
  </si>
  <si>
    <t>iShares EUR Corp Bond ESG Pa</t>
  </si>
  <si>
    <t>ISH EUR CORP PARIS-ALGN EURA</t>
  </si>
  <si>
    <t>JHMB US Equity</t>
  </si>
  <si>
    <t>John Hancock Mortgage-Backed</t>
  </si>
  <si>
    <t>JOHN HANCOCK MORTGAGE-BACKED</t>
  </si>
  <si>
    <t>JPLD US Equity</t>
  </si>
  <si>
    <t>JPMorgan Limited Duration Bo</t>
  </si>
  <si>
    <t>JPMORGAN LTD DURATION ETF</t>
  </si>
  <si>
    <t>ZHY CN Equity</t>
  </si>
  <si>
    <t>BMO高收益美国公司债加元套期</t>
  </si>
  <si>
    <t>BMO HYL USCB HE CADIN ETF-CI</t>
  </si>
  <si>
    <t>IBIG US Equity</t>
  </si>
  <si>
    <t>iShares iBonds Oct 2030 Term</t>
  </si>
  <si>
    <t>ISHARES IBONDS OCT 2030 TT</t>
  </si>
  <si>
    <t>GTO US Equity</t>
  </si>
  <si>
    <t>Invesco Total Return Bond ET</t>
  </si>
  <si>
    <t>INVESCO TOTAL RETURN BOND ET</t>
  </si>
  <si>
    <t>IGHG US Equity</t>
  </si>
  <si>
    <t>ProShares投资等级利率套期ETF</t>
  </si>
  <si>
    <t>PROSHARES IG HEDGED</t>
  </si>
  <si>
    <t>TCHF88 IT Equity</t>
  </si>
  <si>
    <t>Tachlit SAL 00 Non Linked Fi</t>
  </si>
  <si>
    <t>TACH NON LNK FI GOV BD 0-2Y</t>
  </si>
  <si>
    <t>CAGG CN Equity</t>
  </si>
  <si>
    <t>CI Canadian Aggregate Bond I</t>
  </si>
  <si>
    <t>CI CANADIAN AGG BD INDEX ETF</t>
  </si>
  <si>
    <t>IFLX NA Equity</t>
  </si>
  <si>
    <t>iShares EUR Flexible Income</t>
  </si>
  <si>
    <t>ISHARS EUR FLX IN BD A U ETF</t>
  </si>
  <si>
    <t>ICLO LN Equity</t>
  </si>
  <si>
    <t>Invesco USD AAA CLO UCITS ET</t>
  </si>
  <si>
    <t>IVZ USD CLO UCITS ETF DIST</t>
  </si>
  <si>
    <t>TIPD US Equity</t>
  </si>
  <si>
    <t>Northern Trust 2055 Inflatio</t>
  </si>
  <si>
    <t>NORTHN T55 INF DIST L ETF</t>
  </si>
  <si>
    <t>NSCB CN Equity</t>
  </si>
  <si>
    <t>NBI Sustainable Canadian Bon</t>
  </si>
  <si>
    <t>NBI SUSTAINABLE CANADIAN BD</t>
  </si>
  <si>
    <t>XSH CN Equity</t>
  </si>
  <si>
    <t>iShares安硕核心加拿大短期公</t>
  </si>
  <si>
    <t>ISHARES CORE CANADIAN SHORT</t>
  </si>
  <si>
    <t>511520 CH Equity</t>
  </si>
  <si>
    <t>富国中债7-10年政策性金融债交</t>
  </si>
  <si>
    <t>FG 7-10Y POLICY BK BOND ETF</t>
  </si>
  <si>
    <t>AGGH US Equity</t>
  </si>
  <si>
    <t>Simplify Aggregate Bond ETF</t>
  </si>
  <si>
    <t>SIMPLIFY AGGREGATE BOND ETF</t>
  </si>
  <si>
    <t>CSBGC7 SW Equity</t>
  </si>
  <si>
    <t>iShares安硕瑞士国内 3-7年期</t>
  </si>
  <si>
    <t>ISHARES SBIDG 3-7 CH</t>
  </si>
  <si>
    <t>KORP US Equity</t>
  </si>
  <si>
    <t>AMERICAN CENTURY DIVERSIFIED</t>
  </si>
  <si>
    <t>MA35 FP Equity</t>
  </si>
  <si>
    <t>Amundi Euro Highest Rated Ma</t>
  </si>
  <si>
    <t>AM EU HR M-W G BD 3-5Y-ETF A</t>
  </si>
  <si>
    <t>00681R TT Equity</t>
  </si>
  <si>
    <t>Yuanta Daily US Treasury 20+</t>
  </si>
  <si>
    <t>YUANTA UST 20+ BEAR 1X ETF</t>
  </si>
  <si>
    <t>BSSX US Equity</t>
  </si>
  <si>
    <t>Invesco BulletShares 2033 Mu</t>
  </si>
  <si>
    <t>INVESCO BULLETSHARES 2033 MB</t>
  </si>
  <si>
    <t>TIPB US Equity</t>
  </si>
  <si>
    <t>Northern Trust 2035 Inflatio</t>
  </si>
  <si>
    <t>NORTHERN T35 INF DIST L ETF</t>
  </si>
  <si>
    <t>AGG CN Equity</t>
  </si>
  <si>
    <t>Evolve Canadian Aggregate Bo</t>
  </si>
  <si>
    <t>EVOLVE CDN AGG BND ENH YLD</t>
  </si>
  <si>
    <t>EARN AU Equity</t>
  </si>
  <si>
    <t>PIMCO Short Term Active Yiel</t>
  </si>
  <si>
    <t>PIMCO SHORT TERM AYA ETF</t>
  </si>
  <si>
    <t>IBHJ US Equity</t>
  </si>
  <si>
    <t>iShares iBonds 2030 Term Hig</t>
  </si>
  <si>
    <t>ISHRS IBDS 2030 HY &amp; INC ETF</t>
  </si>
  <si>
    <t>CPHY US Equity</t>
  </si>
  <si>
    <t>F/m Compoundr High Yield Bon</t>
  </si>
  <si>
    <t>F/M CMPNDR HGH YIELD BND ETF</t>
  </si>
  <si>
    <t>ETB01L AU Equity</t>
  </si>
  <si>
    <t>IAM CBA 6.46% 25/10/2033 Flo</t>
  </si>
  <si>
    <t>IAM CBA 6.46% 25102033 ETF</t>
  </si>
  <si>
    <t>XMGB IJ Equity</t>
  </si>
  <si>
    <t>Majoris Government Bonds ETF</t>
  </si>
  <si>
    <t>MAJORIS GOVERN BND ETF INDON</t>
  </si>
  <si>
    <t>QTPI US Equity</t>
  </si>
  <si>
    <t>North Square RCIM Tax-Advant</t>
  </si>
  <si>
    <t>NRTH SQUR RCIM TAX-AD IS ETF</t>
  </si>
  <si>
    <t>IBMQ US Equity</t>
  </si>
  <si>
    <t>iShares iBonds Dec 2028 Term</t>
  </si>
  <si>
    <t>ISHARES IBONDS DEC 2028 MUNI</t>
  </si>
  <si>
    <t>TLT US Equity</t>
  </si>
  <si>
    <t>iShares安硕20年期以上美国国</t>
  </si>
  <si>
    <t>ISHARES 20+ YEAR TREASURY BD</t>
  </si>
  <si>
    <t>XZ10 GR Equity</t>
  </si>
  <si>
    <t>X EURZ GOVT BOND 10+ ESG 1C</t>
  </si>
  <si>
    <t>IBIK US Equity</t>
  </si>
  <si>
    <t>iShares iBonds Oct 2034 Term</t>
  </si>
  <si>
    <t>ISHARESIBONDSOCT2034TMTIPS</t>
  </si>
  <si>
    <t>LIAU US Equity</t>
  </si>
  <si>
    <t>LifeX 2060 Inflation-Protect</t>
  </si>
  <si>
    <t>LIFEX 2060 INF-PRT LONG-INC</t>
  </si>
  <si>
    <t>SUKUK UH Equity</t>
  </si>
  <si>
    <t>Chimera JP Morgan Global Suk</t>
  </si>
  <si>
    <t>CHIMERA JP MORGAN G SUK ETF</t>
  </si>
  <si>
    <t>ZTOP US Equity</t>
  </si>
  <si>
    <t>F/M High Yield 100 ETF</t>
  </si>
  <si>
    <t>F/M HIGH YIELD 100 ETF</t>
  </si>
  <si>
    <t>PUSH US Equity</t>
  </si>
  <si>
    <t>PGIM Ultra Short Municipal B</t>
  </si>
  <si>
    <t>PGIM ULTRA SHRT MNPL BND ETF</t>
  </si>
  <si>
    <t>INTM US Equity</t>
  </si>
  <si>
    <t>Invesco Intermediate Municip</t>
  </si>
  <si>
    <t>INVESCO INTERMEDIATE MUNI</t>
  </si>
  <si>
    <t>BPRF CN Equity</t>
  </si>
  <si>
    <t>Brompton Flaherty &amp; Crumrine</t>
  </si>
  <si>
    <t>BROMPTON FLAHERTY &amp; CRUMI ET</t>
  </si>
  <si>
    <t>TFI US Equity</t>
  </si>
  <si>
    <t>道富SPDR纽文ICE市政债券ETF</t>
  </si>
  <si>
    <t>SS SPDR N ICE MUNI BOND ETF</t>
  </si>
  <si>
    <t>ILTB US Equity</t>
  </si>
  <si>
    <t>安硕核心10+年美元债券ETF</t>
  </si>
  <si>
    <t>ISHARES CORE 10+ YEAR USD BO</t>
  </si>
  <si>
    <t>FSOV NA Equity</t>
  </si>
  <si>
    <t>First Trust Low Duration Glo</t>
  </si>
  <si>
    <t>FIRST TRUST LOW DUR G G BOND</t>
  </si>
  <si>
    <t>292770 KS Equity</t>
  </si>
  <si>
    <t>Samsung KODEX 3Y F-KTB Inver</t>
  </si>
  <si>
    <t>SS KODEX 3Y F-KTB INVS ETF</t>
  </si>
  <si>
    <t>TIPX US Equity</t>
  </si>
  <si>
    <t>道富SPDR彭博1-10年通胀保值债</t>
  </si>
  <si>
    <t>SS SPDR BB 1-10YR TIPS ETF</t>
  </si>
  <si>
    <t>TABC GR Equity</t>
  </si>
  <si>
    <t>Janus Henderson EUR IG Bond</t>
  </si>
  <si>
    <t>JH EIB PAR-ALI CL ACTI CU-EA</t>
  </si>
  <si>
    <t>XBB US Equity</t>
  </si>
  <si>
    <t>BondBloxx BB-Rated USD High</t>
  </si>
  <si>
    <t>BONDBLOXX-BB RATED USD HY CB</t>
  </si>
  <si>
    <t>SHYD US Equity</t>
  </si>
  <si>
    <t>范达短期高收益地方债ETF</t>
  </si>
  <si>
    <t>VANECK SH HI YLD MUNI</t>
  </si>
  <si>
    <t>511020 CH Equity</t>
  </si>
  <si>
    <t>平安中证5-10年期国债活跃券交</t>
  </si>
  <si>
    <t>PA CSI 5-10Y T-BD ACTIVE ETF</t>
  </si>
  <si>
    <t>BRTR US Equity</t>
  </si>
  <si>
    <t>iShares Total Return Active</t>
  </si>
  <si>
    <t>ISHARES TOTAL RETURN ACT ETF</t>
  </si>
  <si>
    <t>FTBD US Equity</t>
  </si>
  <si>
    <t>Fidelity Tactical Bond ETF</t>
  </si>
  <si>
    <t>FIDELITY TACTICAL BOND ETF</t>
  </si>
  <si>
    <t>PTBD US Equity</t>
  </si>
  <si>
    <t>Pacer Trendpilot US Bond ETF</t>
  </si>
  <si>
    <t>PACER TRENDPILOT US BOND ETF</t>
  </si>
  <si>
    <t>DCRE US Equity</t>
  </si>
  <si>
    <t>DoubleLine Commercial Real E</t>
  </si>
  <si>
    <t>DOUBLELINE COMM RL EST ETF</t>
  </si>
  <si>
    <t>XGB CN Equity</t>
  </si>
  <si>
    <t>iShares安硕核心加拿大政府债</t>
  </si>
  <si>
    <t>ISHARES CORE CANADIANGOVERNM</t>
  </si>
  <si>
    <t>R1JKEX GR Equity</t>
  </si>
  <si>
    <t>iShares安硕德国抵押债UCITS E</t>
  </si>
  <si>
    <t>ISH PFANDBRIEFE UCITS ETF DE</t>
  </si>
  <si>
    <t>NXUS US Equity</t>
  </si>
  <si>
    <t>Nuveen International Aggrega</t>
  </si>
  <si>
    <t>NUVEEN INTNATINAL AGG BD ETF</t>
  </si>
  <si>
    <t>TAAA GR Equity</t>
  </si>
  <si>
    <t>Eldridge AAA CLO UCITS ETF</t>
  </si>
  <si>
    <t>ELDRIDGE AAA CLO UCITS ETF</t>
  </si>
  <si>
    <t>PSFE GR Equity</t>
  </si>
  <si>
    <t>Invesco EUR IG Corporate Bon</t>
  </si>
  <si>
    <t>INVSCO EI CRP BD ES CT UE-AU</t>
  </si>
  <si>
    <t>FM29 FP Equity</t>
  </si>
  <si>
    <t>Amundi Fixed Maturity 2029 E</t>
  </si>
  <si>
    <t>AMD FX2029 EUGOVBB ACC</t>
  </si>
  <si>
    <t>HYLB US Equity</t>
  </si>
  <si>
    <t>Xtrackers USD High Yield Cor</t>
  </si>
  <si>
    <t>XTRACKERS USD HIGH YIELD COR</t>
  </si>
  <si>
    <t>IBIE US Equity</t>
  </si>
  <si>
    <t>iShares iBonds Oct 2028 Term</t>
  </si>
  <si>
    <t>ISHARES IBONDS OCT 2028 TT</t>
  </si>
  <si>
    <t>CTBF CN Equity</t>
  </si>
  <si>
    <t>CIBC 2030 Investment Grade B</t>
  </si>
  <si>
    <t>MTBA US Equity</t>
  </si>
  <si>
    <t>Simplify MBS ETF</t>
  </si>
  <si>
    <t>SIMPLIFY MBS ETF</t>
  </si>
  <si>
    <t>UHEB NA Equity</t>
  </si>
  <si>
    <t>iShares USD High Yield Corp</t>
  </si>
  <si>
    <t>ISHARES HIGH YLD CORP BE ETF</t>
  </si>
  <si>
    <t>BJLP GR Equity</t>
  </si>
  <si>
    <t>BNP EASY EUR CORP ESG ENH D</t>
  </si>
  <si>
    <t>RGQS CN Equity</t>
  </si>
  <si>
    <t>RBC Target 2030 Canadian Gov</t>
  </si>
  <si>
    <t>RBC TGT 2030 CAN GOV BND ETF</t>
  </si>
  <si>
    <t>JPIE AU Equity</t>
  </si>
  <si>
    <t>JPMorgan Income (Hedged) Act</t>
  </si>
  <si>
    <t>JPMORGAN INCOME (HE) ACT ETF</t>
  </si>
  <si>
    <t>ZROZ US Equity</t>
  </si>
  <si>
    <t>太平洋投资管理公司25年+期零</t>
  </si>
  <si>
    <t>PIMCO 25+ YR ZERO CPN US TIF</t>
  </si>
  <si>
    <t>JR15 LN Equity</t>
  </si>
  <si>
    <t>JPMorgan EUR 1-5 yr IG Corpo</t>
  </si>
  <si>
    <t>JPM EUR 1-5 IG CORP ACT ETF</t>
  </si>
  <si>
    <t>IBIL US Equity</t>
  </si>
  <si>
    <t>iShares iBonds Oct 2035 Term</t>
  </si>
  <si>
    <t>ISHARES IBONDS OCT 2035 TIPS</t>
  </si>
  <si>
    <t>TLTI US Equity</t>
  </si>
  <si>
    <t>NEOS Enhanced Income 20+ Yea</t>
  </si>
  <si>
    <t>NEOS ENH IC 20+YR TRE BD ETF</t>
  </si>
  <si>
    <t>LDSF US Equity</t>
  </si>
  <si>
    <t>First Trust Low Duration Str</t>
  </si>
  <si>
    <t>FIRST TR LOW DURATION ST-ETF</t>
  </si>
  <si>
    <t>HYTR US Equity</t>
  </si>
  <si>
    <t>Counterpoint High Yield Tren</t>
  </si>
  <si>
    <t>COUNTER POINT HI YLD ETF</t>
  </si>
  <si>
    <t>MORES11 IT Equity</t>
  </si>
  <si>
    <t>MORE SAL 0ATel Bond Composit</t>
  </si>
  <si>
    <t>MORE SAL TEL COMP</t>
  </si>
  <si>
    <t>RIGS US Equity</t>
  </si>
  <si>
    <t>Riverfront策略收益基金</t>
  </si>
  <si>
    <t>RIVERFRONT STRATEGIC INCOME</t>
  </si>
  <si>
    <t>TMF US Equity</t>
  </si>
  <si>
    <t>Direxion每日20年增强国债看多</t>
  </si>
  <si>
    <t>DRX DLY 20+ YR TREAS BULL 3X</t>
  </si>
  <si>
    <t>QPON AU Equity</t>
  </si>
  <si>
    <t>BetaShares Australian Bank S</t>
  </si>
  <si>
    <t>BETASHARES AUS BANK SENIOR F</t>
  </si>
  <si>
    <t>IBHL US Equity</t>
  </si>
  <si>
    <t>iShares iBonds 2032 Term Hig</t>
  </si>
  <si>
    <t>ISHARES IBONDS 2032 HY INC</t>
  </si>
  <si>
    <t>1566 JP Equity</t>
  </si>
  <si>
    <t>日兴新兴债券ETF-巴克莱本地新</t>
  </si>
  <si>
    <t>LISTED INDEX FUND EMERGING B</t>
  </si>
  <si>
    <t>ACLO US Equity</t>
  </si>
  <si>
    <t>TCW AAA CLO ETF</t>
  </si>
  <si>
    <t>SPHY US Equity</t>
  </si>
  <si>
    <t>道富SPDR投资组合高收益债券ET</t>
  </si>
  <si>
    <t>SS SPDR P HIGH YIELD ETF</t>
  </si>
  <si>
    <t>SECD GR Equity</t>
  </si>
  <si>
    <t>iShares Euro Govt Bond Clima</t>
  </si>
  <si>
    <t>ISHARES EURO GOVT CLIMATE</t>
  </si>
  <si>
    <t>DMBS US Equity</t>
  </si>
  <si>
    <t>DoubleLine Mortgage ETF</t>
  </si>
  <si>
    <t>DOUBLELINE MORTGAGE ETF</t>
  </si>
  <si>
    <t>FMUB US Equity</t>
  </si>
  <si>
    <t>Fidelity Municipal Bond Oppo</t>
  </si>
  <si>
    <t>FIDELITY MUNI BND OPP ETF</t>
  </si>
  <si>
    <t>VGMS US Equity</t>
  </si>
  <si>
    <t>Vanguard Multi-Sector Income</t>
  </si>
  <si>
    <t>VANGUARD MULTI-SECTOR</t>
  </si>
  <si>
    <t>XHYI US Equity</t>
  </si>
  <si>
    <t>BONDBLOXX USD HY BOND INDUS</t>
  </si>
  <si>
    <t>AJAC SP Equity</t>
  </si>
  <si>
    <t>iShares安硕摩根大通美元亚洲</t>
  </si>
  <si>
    <t>ISHARES JPM USD ASIA BOND</t>
  </si>
  <si>
    <t>D6RE GR Equity</t>
  </si>
  <si>
    <t>Deka iBoxx MSCI ESG EUR Corp</t>
  </si>
  <si>
    <t>DEKA EUR CORP GREEN BND ETF</t>
  </si>
  <si>
    <t>IBGL LN Equity</t>
  </si>
  <si>
    <t>iShares安硕欧元国债15-30年期</t>
  </si>
  <si>
    <t>ISHARES EURO GOVT 15-30YR</t>
  </si>
  <si>
    <t>VTP US Equity</t>
  </si>
  <si>
    <t>Vanguard Total Inflation-Pro</t>
  </si>
  <si>
    <t>VNGRD TOTL INFLT PRO SEC ETF</t>
  </si>
  <si>
    <t>CA US Equity</t>
  </si>
  <si>
    <t>Xtrackers California Municip</t>
  </si>
  <si>
    <t>XTRACKERS CA MUNI BOND ETF</t>
  </si>
  <si>
    <t>VCRB US Equity</t>
  </si>
  <si>
    <t>Vanguard Core Bond ETF</t>
  </si>
  <si>
    <t>VANGUARD CORE BOND ETF</t>
  </si>
  <si>
    <t>GBFF CN Equity</t>
  </si>
  <si>
    <t>GuardBondsTM 2029 Investment</t>
  </si>
  <si>
    <t>GRDBNDTM 2029 IN G BD F /ETF</t>
  </si>
  <si>
    <t>NHYB US Equity</t>
  </si>
  <si>
    <t>Nuveen High Yield Corporate</t>
  </si>
  <si>
    <t>NUVEEN HIGH YILD CORP BD ETF</t>
  </si>
  <si>
    <t>IS3B GR Equity</t>
  </si>
  <si>
    <t>iShares安硕欧元企业债券金融U</t>
  </si>
  <si>
    <t>ISHARES EURO CORP BOND FINCL</t>
  </si>
  <si>
    <t>ETFIBOXG GR Equity</t>
  </si>
  <si>
    <t>Deka iBoxx EUR Liquid German</t>
  </si>
  <si>
    <t>DEKA IBOXX EUR LIQUID GERMAN</t>
  </si>
  <si>
    <t>ZXCP CN Equity</t>
  </si>
  <si>
    <t>BMO Target 2028 Canadian Cor</t>
  </si>
  <si>
    <t>BMO TRGT 2028 CANA COR B ETF</t>
  </si>
  <si>
    <t>CUBD CN Equity</t>
  </si>
  <si>
    <t>CI Global Unconstrained Bond</t>
  </si>
  <si>
    <t>CI GLB UNC BOND ETF</t>
  </si>
  <si>
    <t>ZXCO CN Equity</t>
  </si>
  <si>
    <t>BMO Target 2027 Canadian Cor</t>
  </si>
  <si>
    <t>BMO TRET 2027 CAN CORP B ETF</t>
  </si>
  <si>
    <t>RPS CN Equity</t>
  </si>
  <si>
    <t>Purpose Canadian Preferred S</t>
  </si>
  <si>
    <t>PURPOSE CANADIAN PREFERRED</t>
  </si>
  <si>
    <t>SJCP US Equity</t>
  </si>
  <si>
    <t>Sanjac Alpha Core Plus Bond</t>
  </si>
  <si>
    <t>SANJAC ALP CR PLUS BD</t>
  </si>
  <si>
    <t>SUB US Equity</t>
  </si>
  <si>
    <t>安硕短期国家市政债券ETF基金</t>
  </si>
  <si>
    <t>ISHARES SHORT-TERM NATIONAL</t>
  </si>
  <si>
    <t>NSCI US Equity</t>
  </si>
  <si>
    <t>Nuveen Securitized Income ET</t>
  </si>
  <si>
    <t>NUVEEN SECURITIZED INCOM ETF</t>
  </si>
  <si>
    <t>TAXS US Equity</t>
  </si>
  <si>
    <t>Northern Trust Short-Term Ta</t>
  </si>
  <si>
    <t>NORTHERN TST TAX-EXPT B ETF</t>
  </si>
  <si>
    <t>HYG US Equity</t>
  </si>
  <si>
    <t>iShares安硕iBoxx高收益公司债</t>
  </si>
  <si>
    <t>ISHARES IBOXX HIGH YLD CORP</t>
  </si>
  <si>
    <t>EIBX GR Equity</t>
  </si>
  <si>
    <t>Invesco Euro Government Bond</t>
  </si>
  <si>
    <t>INVESCO EUR GOV BOND 7-10</t>
  </si>
  <si>
    <t>FFIX CN Equity</t>
  </si>
  <si>
    <t>Fidelity All-in-One Fixed In</t>
  </si>
  <si>
    <t>FIDELITY ALL-IN-ONE FIX INC</t>
  </si>
  <si>
    <t>ZFM CN Equity</t>
  </si>
  <si>
    <t>BMO中期联邦债券指数ETF</t>
  </si>
  <si>
    <t>BMO MID FEDERAL BOND INDEX E</t>
  </si>
  <si>
    <t>D6RA GR Equity</t>
  </si>
  <si>
    <t>Deka MSCI EUR Corporates Cli</t>
  </si>
  <si>
    <t>DEKA MSCI EUR CORPORATES CLI</t>
  </si>
  <si>
    <t>MBSF US Equity</t>
  </si>
  <si>
    <t>Regan Floating Rate MBS ETF</t>
  </si>
  <si>
    <t>REGAN FLOATING RATE MBS ETF</t>
  </si>
  <si>
    <t>TIPA US Equity</t>
  </si>
  <si>
    <t>Northern Trust 2030 Inflatio</t>
  </si>
  <si>
    <t>NORTH TRUST 2035 I-L D L ETF</t>
  </si>
  <si>
    <t>BRHY US Equity</t>
  </si>
  <si>
    <t>iShares High Yield Active ET</t>
  </si>
  <si>
    <t>ISHARES HIGH YILD ACTIVE ETF</t>
  </si>
  <si>
    <t>CDX US Equity</t>
  </si>
  <si>
    <t>Simplify High Yield ETF</t>
  </si>
  <si>
    <t>SIMPLIFY HIGH YIELD ETF</t>
  </si>
  <si>
    <t>BXF CN Equity</t>
  </si>
  <si>
    <t>CI 1-5 Year Laddered Governm</t>
  </si>
  <si>
    <t>CI 1-5 YEAR LADDERED GOVERN</t>
  </si>
  <si>
    <t>GCBD CN Equity</t>
  </si>
  <si>
    <t>Guardian Canadian Bond ETF</t>
  </si>
  <si>
    <t>GUARDIAN CANADIAN BOND ETF</t>
  </si>
  <si>
    <t>JLQD US Equity</t>
  </si>
  <si>
    <t>Janus Henderson Corporate Bo</t>
  </si>
  <si>
    <t>JANUS HENDERSON CORPORATE BO</t>
  </si>
  <si>
    <t>TIPC US Equity</t>
  </si>
  <si>
    <t>Northern Trust 2045 Inflatio</t>
  </si>
  <si>
    <t>NORTHERN T45 INF DIST L ETF</t>
  </si>
  <si>
    <t>KDRN US Equity</t>
  </si>
  <si>
    <t>Kingsbarn Tactical Bond ETF</t>
  </si>
  <si>
    <t>KINGSBARN TACTICAL BOND ETF</t>
  </si>
  <si>
    <t>IS06 GR Equity</t>
  </si>
  <si>
    <t>iShares安硕欧元公司债BBB-BB</t>
  </si>
  <si>
    <t>ISHARES EUR CORP BBB-BB</t>
  </si>
  <si>
    <t>EVSB US Equity</t>
  </si>
  <si>
    <t>Eaton Vance Ultra-Short Inco</t>
  </si>
  <si>
    <t>EATON VANCE ULT-SHRT INCOME</t>
  </si>
  <si>
    <t>BLV US Equity</t>
  </si>
  <si>
    <t>先锋领航长期债券ETF</t>
  </si>
  <si>
    <t>VANGUARD LONG-TERM BOND ETF</t>
  </si>
  <si>
    <t>FLUD US Equity</t>
  </si>
  <si>
    <t>Franklin Ultra Short Bond ET</t>
  </si>
  <si>
    <t>FRANKLIN ULTRA SHORT BOND ET</t>
  </si>
  <si>
    <t>HYRM US Equity</t>
  </si>
  <si>
    <t>Xtrackers Risk Managed USD H</t>
  </si>
  <si>
    <t>XTRACKERS R/M USD HI YLD</t>
  </si>
  <si>
    <t>XRB CN Equity</t>
  </si>
  <si>
    <t>安硕加拿大真实回报债券指数ET</t>
  </si>
  <si>
    <t>ISHARES CANADIAN REAL RETURN</t>
  </si>
  <si>
    <t>STHY LN Equity</t>
  </si>
  <si>
    <t>PIMCO美元短期高收益公司债UCI</t>
  </si>
  <si>
    <t>PIMCO US SH-TR HY COR BN-USD</t>
  </si>
  <si>
    <t>MTFF116 IT Equity</t>
  </si>
  <si>
    <t>MTF Sal 0A Tel Bond-Composit</t>
  </si>
  <si>
    <t>MTF SAL TEL BOND-COMP IL</t>
  </si>
  <si>
    <t>282000 KS Equity</t>
  </si>
  <si>
    <t>KB KBSTAR KTB 3Y Futures Inv</t>
  </si>
  <si>
    <t>KBSTAR KTB 3Y FTRS INVS ETF</t>
  </si>
  <si>
    <t>MUNA US Equity</t>
  </si>
  <si>
    <t>Northern Trust 2030 Tax-Exem</t>
  </si>
  <si>
    <t>NORTHN T30 TAX-EX DIST L ETF</t>
  </si>
  <si>
    <t>CFRT CN Equity</t>
  </si>
  <si>
    <t>CI Floating Rate Income Fund</t>
  </si>
  <si>
    <t>CI FLOATING RATE INCOME FUND</t>
  </si>
  <si>
    <t>WISD US Equity</t>
  </si>
  <si>
    <t>Wisdom Short Duration Income</t>
  </si>
  <si>
    <t>WISDOM SHRT DURAT INC ETF</t>
  </si>
  <si>
    <t>RCNS CN Equity</t>
  </si>
  <si>
    <t>RBC Conservative Bond Pool/E</t>
  </si>
  <si>
    <t>RBC CONSERVATIVE BOND POOL</t>
  </si>
  <si>
    <t>BSMS US Equity</t>
  </si>
  <si>
    <t>Invesco BulletShares 2028 Mu</t>
  </si>
  <si>
    <t>INVESCO BULLETSHARES 2028 MB</t>
  </si>
  <si>
    <t>TBCJ CN Equity</t>
  </si>
  <si>
    <t>TD Target 2030 Investment Gr</t>
  </si>
  <si>
    <t>TD TGT 2030 INV GR BD</t>
  </si>
  <si>
    <t>TCHF104 IT Equity</t>
  </si>
  <si>
    <t>Tachlit SAL 0B Tel Bond-Comp</t>
  </si>
  <si>
    <t>TACHLIT SAL TEL BOND-COMP</t>
  </si>
  <si>
    <t>CCSB US Equity</t>
  </si>
  <si>
    <t>Carbon Collective Short Dura</t>
  </si>
  <si>
    <t>CARBON COLLECTIVE SH DUR ETF</t>
  </si>
  <si>
    <t>BHYB US Equity</t>
  </si>
  <si>
    <t>Xtrackers USD High Yield BB-</t>
  </si>
  <si>
    <t>XTRACKERS US HY BB-B EX FIN</t>
  </si>
  <si>
    <t>KSMF227 IT Equity</t>
  </si>
  <si>
    <t>KSM ETF 00 KOSHER Tel Bond-Y</t>
  </si>
  <si>
    <t>KSM ETF KOSHER TEL-YLD IL</t>
  </si>
  <si>
    <t>JHCP US Equity</t>
  </si>
  <si>
    <t>John Hancock Core Plus Bond</t>
  </si>
  <si>
    <t>JHANCOCK CORE PLUS BOND ETF</t>
  </si>
  <si>
    <t>XLIQ GR Equity</t>
  </si>
  <si>
    <t>Xtrackers II EUR Covered Bon</t>
  </si>
  <si>
    <t>X EUR COVERED BOND SWAP 1C</t>
  </si>
  <si>
    <t>FSEC US Equity</t>
  </si>
  <si>
    <t>Fidelity Investment Grade Se</t>
  </si>
  <si>
    <t>FIDELITY INVEST GRD SECUR</t>
  </si>
  <si>
    <t>RPU CN Equity</t>
  </si>
  <si>
    <t>Purpose US Preferred Share F</t>
  </si>
  <si>
    <t>PURPOSE US PREFERRED SHARE F</t>
  </si>
  <si>
    <t>BNDW US Equity</t>
  </si>
  <si>
    <t>Vanguard Total World Bond ET</t>
  </si>
  <si>
    <t>VANGUARD TOTAL WORLD BOND ET</t>
  </si>
  <si>
    <t>FMHI US Equity</t>
  </si>
  <si>
    <t>First Trust Municipal High I</t>
  </si>
  <si>
    <t>FIRST TRUST MUNICIPAL HIGH I</t>
  </si>
  <si>
    <t>FUMB US Equity</t>
  </si>
  <si>
    <t>First Trust Ultra Short Dura</t>
  </si>
  <si>
    <t>FIRST TRUST ULTRA SHORT DUR</t>
  </si>
  <si>
    <t>MTB FP Equity</t>
  </si>
  <si>
    <t>东方汇理3-5年期欧元政府债券</t>
  </si>
  <si>
    <t>AM EURO GOV BOND 3-5Y-ETF A</t>
  </si>
  <si>
    <t>TMB US Equity</t>
  </si>
  <si>
    <t>Thornburg Multi Sector Bond</t>
  </si>
  <si>
    <t>THORNBURG MULTI SECTOR B ETF</t>
  </si>
  <si>
    <t>MTFF11 IT Equity</t>
  </si>
  <si>
    <t>MTF SAL 00 Tel Bond - CPI Li</t>
  </si>
  <si>
    <t>MTF SAL TEL BOND - CPI LNKD</t>
  </si>
  <si>
    <t>VRIG US Equity</t>
  </si>
  <si>
    <t>Invesco Variable Rate Invest</t>
  </si>
  <si>
    <t>INVESCO VARIABLE RATE INVEST</t>
  </si>
  <si>
    <t>FCAB CN Equity</t>
  </si>
  <si>
    <t>Fidelity Absolute Income Fun</t>
  </si>
  <si>
    <t>FIDELITY ABSOLUTE ETF SERIES</t>
  </si>
  <si>
    <t>ZDB CN Equity</t>
  </si>
  <si>
    <t>BMO Discount Bond Index ETF</t>
  </si>
  <si>
    <t>BMO DISCOUNT BOND INDEX ETF</t>
  </si>
  <si>
    <t>GIGE GR Equity</t>
  </si>
  <si>
    <t>Goldman Sachs EUR Investment</t>
  </si>
  <si>
    <t>GOLDMAN EUR IG ACTIVE ETF</t>
  </si>
  <si>
    <t>STXTRA SJ Equity</t>
  </si>
  <si>
    <t>NEWFUNDS TRACI 3个月ETF</t>
  </si>
  <si>
    <t>SATRIX TRACI 3 MONTH ETF</t>
  </si>
  <si>
    <t>JAAA US Equity</t>
  </si>
  <si>
    <t>Janus Henderson AAA CLO ETF</t>
  </si>
  <si>
    <t>JANUS HENDERSON AAA CLO ETF</t>
  </si>
  <si>
    <t>CTBD CN Equity</t>
  </si>
  <si>
    <t>CIBC 2028 Investment Grade B</t>
  </si>
  <si>
    <t>MGAB CN Equity</t>
  </si>
  <si>
    <t>Mackenzie Global Fixed Incom</t>
  </si>
  <si>
    <t>MACKENZIE GLOBAL FI ALLOCATI</t>
  </si>
  <si>
    <t>CGHY US Equity</t>
  </si>
  <si>
    <t>Capital Group High Yield Bon</t>
  </si>
  <si>
    <t>CAP GROUP HIGH YIELD BOND</t>
  </si>
  <si>
    <t>SYFI US Equity</t>
  </si>
  <si>
    <t>AB Short Duration High Yield</t>
  </si>
  <si>
    <t>AB SHRT DURATION HGH YLD ETF</t>
  </si>
  <si>
    <t>ZRR CN Equity</t>
  </si>
  <si>
    <t>BMO实际回报债券指数ETF</t>
  </si>
  <si>
    <t>BMO REAL RETURN BOND INDEX</t>
  </si>
  <si>
    <t>31IG GR Equity</t>
  </si>
  <si>
    <t>ISHARES IBOND D 2031 T C ETF</t>
  </si>
  <si>
    <t>RQQ CN Equity</t>
  </si>
  <si>
    <t>RBC Target 2028 Canadian Cor</t>
  </si>
  <si>
    <t>RBC TARGET 2028 CANADIAN COR</t>
  </si>
  <si>
    <t>MQIO AU Equity</t>
  </si>
  <si>
    <t>Macquarie Income Opportuniti</t>
  </si>
  <si>
    <t>MACQUARIE INC OPPORTUNITIETF</t>
  </si>
  <si>
    <t>32XG GR Equity</t>
  </si>
  <si>
    <t>iShares iBonds Dec 2032 Term</t>
  </si>
  <si>
    <t>ISHARES IBND DEC 2032 TC ETF</t>
  </si>
  <si>
    <t>ZMBS CN Equity</t>
  </si>
  <si>
    <t>BMO Canadian MBS Index ETF</t>
  </si>
  <si>
    <t>BMO CANADIAN MBS INDEX ETF</t>
  </si>
  <si>
    <t>STIP US Equity</t>
  </si>
  <si>
    <t>iShares 0-5 Year TIPS Bond E</t>
  </si>
  <si>
    <t>ISHARES 0-5 YEAR TIPS BOND E</t>
  </si>
  <si>
    <t>DXG5 IM Equity</t>
  </si>
  <si>
    <t>ADX MSCI ER GOVERN BD 3-5-XE</t>
  </si>
  <si>
    <t>PAAA US Equity</t>
  </si>
  <si>
    <t>PGIM AAA CLO ETF</t>
  </si>
  <si>
    <t>CLIM FP Equity</t>
  </si>
  <si>
    <t>Amundi Global Aggregate Gree</t>
  </si>
  <si>
    <t>AM GL AGG GREEN BOND-ETF A</t>
  </si>
  <si>
    <t>TRBF US Equity</t>
  </si>
  <si>
    <t>Angel Oak Total Return ETF</t>
  </si>
  <si>
    <t>ANGEL OAK TOTAL RETURN ETF</t>
  </si>
  <si>
    <t>CLOR FP Equity</t>
  </si>
  <si>
    <t>iShares USD AAA CLO Active U</t>
  </si>
  <si>
    <t>ISHARES USD AAA CLO ACT U ET</t>
  </si>
  <si>
    <t>ONEB CN Equity</t>
  </si>
  <si>
    <t>CI North American Core Plus</t>
  </si>
  <si>
    <t>CI NORTH AMERICAN CORE PLUS</t>
  </si>
  <si>
    <t>SHYG US Equity</t>
  </si>
  <si>
    <t>iShares安硕0-5年高收益公司债</t>
  </si>
  <si>
    <t>ISHARES 0-5 YR HY CORP BOND</t>
  </si>
  <si>
    <t>ITM US Equity</t>
  </si>
  <si>
    <t>VanEck中期地方债ETF</t>
  </si>
  <si>
    <t>VANECK INTERMEDIATE MUNI ETF</t>
  </si>
  <si>
    <t>USFA LN Equity</t>
  </si>
  <si>
    <t>VanEck US Fallen Angel High</t>
  </si>
  <si>
    <t>VANECK US FALLEN ANGEL ETF</t>
  </si>
  <si>
    <t>CRED AU Equity</t>
  </si>
  <si>
    <t>Betashares Australian Invest</t>
  </si>
  <si>
    <t>BETASHARES AU IN GRD CO BOND</t>
  </si>
  <si>
    <t>SCMB US Equity</t>
  </si>
  <si>
    <t>Schwab Municipal Bond ETF</t>
  </si>
  <si>
    <t>SCHWAB MUNICIPAL BOND ETF</t>
  </si>
  <si>
    <t>GIGB US Equity</t>
  </si>
  <si>
    <t>Goldman Sachs Access Investm</t>
  </si>
  <si>
    <t>GOLDMAN SACHS INV GRD CORP</t>
  </si>
  <si>
    <t>CAGS CN Equity</t>
  </si>
  <si>
    <t>CI Canadian Short-Term Aggre</t>
  </si>
  <si>
    <t>CI CN SH-TERM AG BD INDX ETF</t>
  </si>
  <si>
    <t>RBO CN Equity</t>
  </si>
  <si>
    <t>RBC 1-5 Year Laddered Canadi</t>
  </si>
  <si>
    <t>RBC 1-5 YEAR LADDERED CANADI</t>
  </si>
  <si>
    <t>BSJS US Equity</t>
  </si>
  <si>
    <t>Invesco BulletShares 2028 Hi</t>
  </si>
  <si>
    <t>INVESCO BULLETSHARES 2028 HY</t>
  </si>
  <si>
    <t>XBB CN Equity</t>
  </si>
  <si>
    <t>iShares加拿大核心总体债券指</t>
  </si>
  <si>
    <t>ISHARES CORE CAN UNIV BOND</t>
  </si>
  <si>
    <t>AFLT FP Equity</t>
  </si>
  <si>
    <t>Amundi USD Floating Rate Cor</t>
  </si>
  <si>
    <t>AMUNDI USD FLOATING RATE COR</t>
  </si>
  <si>
    <t>511100 CH Equity</t>
  </si>
  <si>
    <t>华夏上证基准做市国债交易型开</t>
  </si>
  <si>
    <t>CHINAAMC SSE MARKET BOND ETF</t>
  </si>
  <si>
    <t>IROC US Equity</t>
  </si>
  <si>
    <t>Invesco Rochester High Yield</t>
  </si>
  <si>
    <t>INVESCO ROCHESTER HIGH YIELD</t>
  </si>
  <si>
    <t>KAMO US Equity</t>
  </si>
  <si>
    <t>Kensington Credit Opportunit</t>
  </si>
  <si>
    <t>KENSINGTON CREDIT OPPORT ETF</t>
  </si>
  <si>
    <t>ACE29 FP Equity</t>
  </si>
  <si>
    <t>BNP PARI EESG EECB D29 UE-EA</t>
  </si>
  <si>
    <t>GBFE CN Equity</t>
  </si>
  <si>
    <t>GuardBondsTM 2028 Investment</t>
  </si>
  <si>
    <t>GUARDBONDS 2028 INVT GB FUND</t>
  </si>
  <si>
    <t>VTEB US Equity</t>
  </si>
  <si>
    <t>领航免税债券指数ETF</t>
  </si>
  <si>
    <t>VANGUARD TAX-EXEMPT BOND ETF</t>
  </si>
  <si>
    <t>MBSD US Equity</t>
  </si>
  <si>
    <t>FlexShares Disciplined Durat</t>
  </si>
  <si>
    <t>FLEXSHARES DISCIPLINED DURAT</t>
  </si>
  <si>
    <t>TDTT US Equity</t>
  </si>
  <si>
    <t>FlexShares iBoxx 3年目标久期</t>
  </si>
  <si>
    <t>FLEXSHARES IBOXX 3-YEAR TARG</t>
  </si>
  <si>
    <t>LIAM US Equity</t>
  </si>
  <si>
    <t>LifeX 2055 Inflation-Protect</t>
  </si>
  <si>
    <t>LIFEX 2055 INF-PRT LONG-INC</t>
  </si>
  <si>
    <t>TUSB US Equity</t>
  </si>
  <si>
    <t>Thrivent Ultra Short Bond ET</t>
  </si>
  <si>
    <t>THRIVENT ULTRA SHORT BND ETF</t>
  </si>
  <si>
    <t>CFIBTETF CI Equity</t>
  </si>
  <si>
    <t>BTG Pactual Renta Fija Chile</t>
  </si>
  <si>
    <t>BTG RF CI MEDIANO PLAZO ETF</t>
  </si>
  <si>
    <t>GHYB US Equity</t>
  </si>
  <si>
    <t>Goldman Sachs Access High Yi</t>
  </si>
  <si>
    <t>GOLDMAN SACHS ACCESS HY CORP</t>
  </si>
  <si>
    <t>TAXX US Equity</t>
  </si>
  <si>
    <t>BondBloxx IR+M Tax-Aware Sho</t>
  </si>
  <si>
    <t>BBLX IRM TAX-AWARE S DUR ETF</t>
  </si>
  <si>
    <t>CBO CN Equity</t>
  </si>
  <si>
    <t>iShares安硕1-5年期梯形公司债</t>
  </si>
  <si>
    <t>ISHARES 1-5 YEAR LADDERED CO</t>
  </si>
  <si>
    <t>RMBS LN Equity</t>
  </si>
  <si>
    <t>Regan Total Return Income UC</t>
  </si>
  <si>
    <t>REGAN TTL RTRN INC UCITS ETF</t>
  </si>
  <si>
    <t>FGO CN Equity</t>
  </si>
  <si>
    <t>CI Enhanced Government Bond</t>
  </si>
  <si>
    <t>CI ENHANCED GOVERNMENT BOND</t>
  </si>
  <si>
    <t>XB29 GR Equity</t>
  </si>
  <si>
    <t>X MAT SEP29 EUR CORP 1D</t>
  </si>
  <si>
    <t>MBS US Equity</t>
  </si>
  <si>
    <t>Angel Oak Mortgage-Backed Se</t>
  </si>
  <si>
    <t>ANGEL OAK MORTG-BCKED SE ETF</t>
  </si>
  <si>
    <t>HYSD US Equity</t>
  </si>
  <si>
    <t>Columbia Short Duration High</t>
  </si>
  <si>
    <t>COLUMBIA SHRT DUR HI YLD ETF</t>
  </si>
  <si>
    <t>CTMA CN Equity</t>
  </si>
  <si>
    <t>CI Target 2028 Investment Gr</t>
  </si>
  <si>
    <t>CI TARGET 2028 INVEST GR BF</t>
  </si>
  <si>
    <t>ZSB CN Equity</t>
  </si>
  <si>
    <t>BMO Short-Term Bond Index ET</t>
  </si>
  <si>
    <t>BMO SHORT-TERM BOND INDEX ET</t>
  </si>
  <si>
    <t>ICLO US Equity</t>
  </si>
  <si>
    <t>Invesco AAA CLO Floating Rat</t>
  </si>
  <si>
    <t>INVESCO AAA CLO F/R NOTE ETF</t>
  </si>
  <si>
    <t>EVYM US Equity</t>
  </si>
  <si>
    <t>Eaton Vance High Income Muni</t>
  </si>
  <si>
    <t>EATON VANCE HIGH INCOME MUNI</t>
  </si>
  <si>
    <t>BSE9 GR Equity</t>
  </si>
  <si>
    <t>Invesco BulletShares 2029 EU</t>
  </si>
  <si>
    <t>IVZ BULLETSHARES 2029 EUR A</t>
  </si>
  <si>
    <t>STXILB SJ Equity</t>
  </si>
  <si>
    <t>Satrix ILBI Portfolio</t>
  </si>
  <si>
    <t>SATRIX ILBI PORTFOLIO</t>
  </si>
  <si>
    <t>GTOC US Equity</t>
  </si>
  <si>
    <t>Invesco Core Fixed Income ET</t>
  </si>
  <si>
    <t>INVESCO CORE FD INC ETF</t>
  </si>
  <si>
    <t>RCDB CN Equity</t>
  </si>
  <si>
    <t>RBC Canadian Discount Bond E</t>
  </si>
  <si>
    <t>RBC CANADIAN DISCOUNT BOND</t>
  </si>
  <si>
    <t>NBSD US Equity</t>
  </si>
  <si>
    <t>Neuberger Berman Short Durat</t>
  </si>
  <si>
    <t>NB SHORT DURATION INCOME ETF</t>
  </si>
  <si>
    <t>FUSI US Equity</t>
  </si>
  <si>
    <t>American Century Multisector</t>
  </si>
  <si>
    <t>AM CENT MULTISECT FLOAT INC</t>
  </si>
  <si>
    <t>LQDB US Equity</t>
  </si>
  <si>
    <t>iShares BBB Rated Corporate</t>
  </si>
  <si>
    <t>ISHARES BBB RATE CORP BOND</t>
  </si>
  <si>
    <t>MYMH US Equity</t>
  </si>
  <si>
    <t>State Street My2028 Municipa</t>
  </si>
  <si>
    <t>STATE STREET MY2028 MUNICIPA</t>
  </si>
  <si>
    <t>VMBS US Equity</t>
  </si>
  <si>
    <t>先锋领航抵押贷款担保证券ETF</t>
  </si>
  <si>
    <t>VANGUARD MORTGAGE-BACKED SEC</t>
  </si>
  <si>
    <t>SDSI US Equity</t>
  </si>
  <si>
    <t>American Century Short Durat</t>
  </si>
  <si>
    <t>AMER CENT SH DUR STRAT INC</t>
  </si>
  <si>
    <t>HFR CN Equity</t>
  </si>
  <si>
    <t>Global X活跃超短期投资级债券</t>
  </si>
  <si>
    <t>GLB X AC U/S TE IN GR BN ETF</t>
  </si>
  <si>
    <t>VWOB US Equity</t>
  </si>
  <si>
    <t>领航新兴市场政府债券ETF</t>
  </si>
  <si>
    <t>VANGUARD EMERG MKTS GOV BND</t>
  </si>
  <si>
    <t>NUBF CN Equity</t>
  </si>
  <si>
    <t>NBI Unconstrained Fixed Inco</t>
  </si>
  <si>
    <t>NBI UNCONSTRAINED FIXED INC</t>
  </si>
  <si>
    <t>LQD US Equity</t>
  </si>
  <si>
    <t>iShares安硕iBoxx美元投资级公</t>
  </si>
  <si>
    <t>ISHARES IBOXX INVESTMENT GRA</t>
  </si>
  <si>
    <t>IBHI US Equity</t>
  </si>
  <si>
    <t>iShares iBonds 2029 Term Hig</t>
  </si>
  <si>
    <t>ISHARES IBONDS 2029 TM HY IN</t>
  </si>
  <si>
    <t>FLTB US Equity</t>
  </si>
  <si>
    <t>富达有限公司长期债券ETF</t>
  </si>
  <si>
    <t>FIDELITY LTD TRM BND ETF</t>
  </si>
  <si>
    <t>JHCB US Equity</t>
  </si>
  <si>
    <t>John Hancock Corporate Bond</t>
  </si>
  <si>
    <t>JOHN HANCOCK CORPORATE BOND</t>
  </si>
  <si>
    <t>NHYM US Equity</t>
  </si>
  <si>
    <t>Nuveen High Yield Municipal</t>
  </si>
  <si>
    <t>NUVEEN HY MUNICIPAL BOND ETF</t>
  </si>
  <si>
    <t>IS0L GR Equity</t>
  </si>
  <si>
    <t>iShares安硕德国国债UCITS ETF</t>
  </si>
  <si>
    <t>ISHARES GERMANY GOVT BND</t>
  </si>
  <si>
    <t>RXP2EX GR Equity</t>
  </si>
  <si>
    <t>iShares eb.rexx Government G</t>
  </si>
  <si>
    <t>ISHR GVT GERMANY 2.5-5.5 DE</t>
  </si>
  <si>
    <t>TGFI CN Equity</t>
  </si>
  <si>
    <t>TD Active Global Income ETF</t>
  </si>
  <si>
    <t>TD ACTIVE GLOBAL INCOME ETF</t>
  </si>
  <si>
    <t>SPBO US Equity</t>
  </si>
  <si>
    <t>道富SPDR投资组合公司债券ETF</t>
  </si>
  <si>
    <t>SS SPDR P CORP BOND ETF</t>
  </si>
  <si>
    <t>CLG CN Equity</t>
  </si>
  <si>
    <t>iShares安硕1-10年期梯形国债</t>
  </si>
  <si>
    <t>ISHARES 1-10 YEAR LADDERED G</t>
  </si>
  <si>
    <t>PSQA US Equity</t>
  </si>
  <si>
    <t>Palmer Square CLO Senior Deb</t>
  </si>
  <si>
    <t>PLMR SQ SENIOR DEBT ETF</t>
  </si>
  <si>
    <t>XSB CN Equity</t>
  </si>
  <si>
    <t>iShares安硕加拿大短期债券指</t>
  </si>
  <si>
    <t>ETFGS11 GR Equity</t>
  </si>
  <si>
    <t>Deka DB EUROGOV Germany UCIT</t>
  </si>
  <si>
    <t>DEKA DB EUROGOV GERMANY UCIT</t>
  </si>
  <si>
    <t>LQIG US Equity</t>
  </si>
  <si>
    <t>State Street SPDR MarketAxes</t>
  </si>
  <si>
    <t>SS SPDR MKT AX IG CORP ETF</t>
  </si>
  <si>
    <t>KSMF35 IT Equity</t>
  </si>
  <si>
    <t>KSM ETF 00 Tel Gov-CPI-Linke</t>
  </si>
  <si>
    <t>KSMETF TEL GOV CPI-LIN0-2</t>
  </si>
  <si>
    <t>ETFGS35 GR Equity</t>
  </si>
  <si>
    <t>Deka Deutsche Boerse Eurogov</t>
  </si>
  <si>
    <t>DEKA DB EUROGOV GERMANY 3-5</t>
  </si>
  <si>
    <t>0G71 GR Equity</t>
  </si>
  <si>
    <t>OSSIAM EURO GOVERNMENT BONDS</t>
  </si>
  <si>
    <t>OSSIAM EURO GOVT BONDS 7-10Y</t>
  </si>
  <si>
    <t>QLB CN Equity</t>
  </si>
  <si>
    <t>Mackenzie Canadian Governmen</t>
  </si>
  <si>
    <t>MCK CAN GOVER LONGBONDINDEX</t>
  </si>
  <si>
    <t>LMUB US Equity</t>
  </si>
  <si>
    <t>Ishares Long-Term National M</t>
  </si>
  <si>
    <t>ISHARES LT NATIONAL MUNI BD</t>
  </si>
  <si>
    <t>FLOT LN Equity</t>
  </si>
  <si>
    <t>iShares USD Floating Rate Bo</t>
  </si>
  <si>
    <t>ISHARES USD FLOATING USD DIS</t>
  </si>
  <si>
    <t>VPLS US Equity</t>
  </si>
  <si>
    <t>Vanguard Core-Plus Bond ETF</t>
  </si>
  <si>
    <t>VANGUARD CORE-PLUS BOND ETF</t>
  </si>
  <si>
    <t>RCOR CN Equity</t>
  </si>
  <si>
    <t>RBC Core Bond Pool/ETF</t>
  </si>
  <si>
    <t>RBC CORE BOND POOL</t>
  </si>
  <si>
    <t>QTIP CN Equity</t>
  </si>
  <si>
    <t>Mackenzie US TIPS Index ETF</t>
  </si>
  <si>
    <t>MACKENZIE US TIPS INDEX ETF</t>
  </si>
  <si>
    <t>IBGL US Equity</t>
  </si>
  <si>
    <t>iShares iBonds Dec 2055 Term</t>
  </si>
  <si>
    <t>ISHARES IBONDS DEC 2055 TT</t>
  </si>
  <si>
    <t>BS7A LN Equity</t>
  </si>
  <si>
    <t>Invesco BulletShares 2027 US</t>
  </si>
  <si>
    <t>IVZ BULLETSHARES 2027 USD A</t>
  </si>
  <si>
    <t>CSBI CN Equity</t>
  </si>
  <si>
    <t>CIBC Canadian Short-Term Bon</t>
  </si>
  <si>
    <t>CIBC CANADIAN SH-TRM BND ETF</t>
  </si>
  <si>
    <t>TCHF177 IT Equity</t>
  </si>
  <si>
    <t>Tachlit Sal 0A Rated Wide Sp</t>
  </si>
  <si>
    <t>TACHLIT SAL WIDE SPREAD</t>
  </si>
  <si>
    <t>HBND CN Equity</t>
  </si>
  <si>
    <t>Hamilton US Bond Yield Maxim</t>
  </si>
  <si>
    <t>HAMILTON US BOND YIELD MAXIM</t>
  </si>
  <si>
    <t>QDVL GR Equity</t>
  </si>
  <si>
    <t>iShares EUR Corp Bond 0-3yr</t>
  </si>
  <si>
    <t>ISHARES EUR CORP BOND 0-3YR</t>
  </si>
  <si>
    <t>CGHM US Equity</t>
  </si>
  <si>
    <t>Capital Group Municipal High</t>
  </si>
  <si>
    <t>CAP GROUP MUNI HIGH-INCOME</t>
  </si>
  <si>
    <t>SCNM US Equity</t>
  </si>
  <si>
    <t>Sterling Capital National Mu</t>
  </si>
  <si>
    <t>STERLING CAP NATL MB ETF</t>
  </si>
  <si>
    <t>FRNS AU Equity</t>
  </si>
  <si>
    <t>Coolabah Short Term Income A</t>
  </si>
  <si>
    <t>COLBH SRT TR INC ACTV-AUDINC</t>
  </si>
  <si>
    <t>TSEC US Equity</t>
  </si>
  <si>
    <t>Touchstone Securitized Incom</t>
  </si>
  <si>
    <t>TOUCHSTONE SECURITIZED INC</t>
  </si>
  <si>
    <t>CLOX US Equity</t>
  </si>
  <si>
    <t>Eldridge AAA CLO ETF</t>
  </si>
  <si>
    <t>ELDRIDGE AAA CLO ETF</t>
  </si>
  <si>
    <t>CORP US Equity</t>
  </si>
  <si>
    <t>PIMCO投资级企业债券指数ETF</t>
  </si>
  <si>
    <t>PIMCO INV GRADE CORP BD ETF</t>
  </si>
  <si>
    <t>STPZ US Equity</t>
  </si>
  <si>
    <t>PIMCO1-5年美国TIPS指数交易所</t>
  </si>
  <si>
    <t>PIMCO 1-5 YEAR US TIPS INDEX</t>
  </si>
  <si>
    <t>PSH US Equity</t>
  </si>
  <si>
    <t>PGIM Short Duration High Yie</t>
  </si>
  <si>
    <t>PGIM SHORT DURATION HIGH YLD</t>
  </si>
  <si>
    <t>VSB CN Equity</t>
  </si>
  <si>
    <t>先锋领航加拿大短期债券指数ET</t>
  </si>
  <si>
    <t>VANGUARD CANADIAN ST BD ETF</t>
  </si>
  <si>
    <t>CTUD/U CN Equity</t>
  </si>
  <si>
    <t>CIBC 2026 US Investment Grad</t>
  </si>
  <si>
    <t>KSMF221 IT Equity</t>
  </si>
  <si>
    <t>KSM ETF 00 Tel Bond-CPI Link</t>
  </si>
  <si>
    <t>KSM ETF TEL-CP51 IL</t>
  </si>
  <si>
    <t>JIII US Equity</t>
  </si>
  <si>
    <t>Janus Henderson Income ETF</t>
  </si>
  <si>
    <t>JNS HNDRSN INCM ETF</t>
  </si>
  <si>
    <t>TCHF87 IT Equity</t>
  </si>
  <si>
    <t>Tachlit SAL 00 CPI Linked Go</t>
  </si>
  <si>
    <t>TACH CPI LNK GOV BND 0-2Y</t>
  </si>
  <si>
    <t>VTIP US Equity</t>
  </si>
  <si>
    <t>领航短期通胀保护证券ETF</t>
  </si>
  <si>
    <t>VANGUARD SHORT-TERM TIPS</t>
  </si>
  <si>
    <t>CPLB US Equity</t>
  </si>
  <si>
    <t>NYLI MacKay Core Plus Bond E</t>
  </si>
  <si>
    <t>NYLI MACKAY CORE PLUS BOND</t>
  </si>
  <si>
    <t>NUAG US Equity</t>
  </si>
  <si>
    <t>Nuveen Enhanced Yield US Agg</t>
  </si>
  <si>
    <t>NUVEEN ENH YLD US AGGR BND</t>
  </si>
  <si>
    <t>EVMO US Equity</t>
  </si>
  <si>
    <t>Eaton Vance Mortgage Opportu</t>
  </si>
  <si>
    <t>EATON VANCE MORTGAGE OPP ETF</t>
  </si>
  <si>
    <t>BLTD US Equity</t>
  </si>
  <si>
    <t>Bluemonte Long Term Bond ETF</t>
  </si>
  <si>
    <t>BLUEMONTE LONG TERM BOND ETF</t>
  </si>
  <si>
    <t>MUSI US Equity</t>
  </si>
  <si>
    <t>AMERICAN CENT MUTLISEC INCOM</t>
  </si>
  <si>
    <t>XFLX CN Equity</t>
  </si>
  <si>
    <t>ISHARES FLE MY INCETF CAD-HE</t>
  </si>
  <si>
    <t>MAAA CN Equity</t>
  </si>
  <si>
    <t>Mackenzie AAA CLO ETF</t>
  </si>
  <si>
    <t>MACKENZIE AAA CLO ETF</t>
  </si>
  <si>
    <t>BSJV US Equity</t>
  </si>
  <si>
    <t>Invesco BulletShares 2031 Hi</t>
  </si>
  <si>
    <t>INVESCO BULLETSHARES 2031 HY</t>
  </si>
  <si>
    <t>CDLB CN Equity</t>
  </si>
  <si>
    <t>CI Doubleline Total Return B</t>
  </si>
  <si>
    <t>CI DL TOTAL RETURN BOND USD</t>
  </si>
  <si>
    <t>HYBB US Equity</t>
  </si>
  <si>
    <t>iShares BB Rated Corporate B</t>
  </si>
  <si>
    <t>ISHARES BB RATED CORP BOND</t>
  </si>
  <si>
    <t>RINF US Equity</t>
  </si>
  <si>
    <t>ProShares通胀预期ETF</t>
  </si>
  <si>
    <t>PROSHARES INFLATION EXPECTAT</t>
  </si>
  <si>
    <t>NCPB US Equity</t>
  </si>
  <si>
    <t>Nuveen Core Plus Bond ETF</t>
  </si>
  <si>
    <t>NUVEEN CORE PLUS BOND ETF</t>
  </si>
  <si>
    <t>551060 CH Equity</t>
  </si>
  <si>
    <t>中银上证AAA科技创新公司债交</t>
  </si>
  <si>
    <t>BO SS AA SC-TC IN CR BN ETF</t>
  </si>
  <si>
    <t>511190 CH Equity</t>
  </si>
  <si>
    <t>海富通上证基准做市公司债交易</t>
  </si>
  <si>
    <t>HFT SSE MKE-MAK COR BD ETF</t>
  </si>
  <si>
    <t>DXO CN Equity</t>
  </si>
  <si>
    <t>Dynamic Active Crossover Bon</t>
  </si>
  <si>
    <t>DYNAMIC ACTIVE CROSSOVER BON</t>
  </si>
  <si>
    <t>159396 CH Equity</t>
  </si>
  <si>
    <t>博时深证基准做市信用债交易型</t>
  </si>
  <si>
    <t>BOS SZ MAR-MAK CRE BND ETF</t>
  </si>
  <si>
    <t>CLOI US Equity</t>
  </si>
  <si>
    <t>VanEck CLO ETF</t>
  </si>
  <si>
    <t>VANECK CLO ETF</t>
  </si>
  <si>
    <t>MTA FP Equity</t>
  </si>
  <si>
    <t>东方汇理欧元政府债券1-3年</t>
  </si>
  <si>
    <t>AM EURO GOV BOND 1-3Y-ETF A</t>
  </si>
  <si>
    <t>PCLO US Equity</t>
  </si>
  <si>
    <t>Virtus SEIX AAA Private Cred</t>
  </si>
  <si>
    <t>VIRTUS SEIX AAA PRV CR CLO</t>
  </si>
  <si>
    <t>CGUI US Equity</t>
  </si>
  <si>
    <t>Capital Group Ultra Short In</t>
  </si>
  <si>
    <t>CAP GROUP ULTRA SHORT INCOME</t>
  </si>
  <si>
    <t>RXRGEX GR Equity</t>
  </si>
  <si>
    <t>iShares安硕eb.rexx德国国债UC</t>
  </si>
  <si>
    <t>ISHAR EB.REXX GVT GERMANY DE</t>
  </si>
  <si>
    <t>FLSD CN Equity</t>
  </si>
  <si>
    <t>Franklin Canadian Short Term</t>
  </si>
  <si>
    <t>FRANKLIN CANADIAN SHT TRM BN</t>
  </si>
  <si>
    <t>QEBL CN Equity</t>
  </si>
  <si>
    <t>Mackenzie Emerging Markets L</t>
  </si>
  <si>
    <t>MACKENZIE EMERG MKT CUR BOND</t>
  </si>
  <si>
    <t>FCOR US Equity</t>
  </si>
  <si>
    <t>富达企业债券ETF</t>
  </si>
  <si>
    <t>FIDELITY CORPORATE BOND ETF</t>
  </si>
  <si>
    <t>VTC US Equity</t>
  </si>
  <si>
    <t>Vanguard Total Corporate Bon</t>
  </si>
  <si>
    <t>VANGUARD TOTAL CORPORATE BND</t>
  </si>
  <si>
    <t>IUFR/U CN Equity</t>
  </si>
  <si>
    <t>Invesco US Treasury Floating</t>
  </si>
  <si>
    <t>INVESCO US TREASURY FRN</t>
  </si>
  <si>
    <t>VSC CN Equity</t>
  </si>
  <si>
    <t>领航加拿大短期公司债券指数ET</t>
  </si>
  <si>
    <t>VANGUARD CANADIAN SHORT-TERM</t>
  </si>
  <si>
    <t>JMTG US Equity</t>
  </si>
  <si>
    <t>JPMorgan Mortgage-Backed Sec</t>
  </si>
  <si>
    <t>MORTGAGE-BACKED SECURITIES</t>
  </si>
  <si>
    <t>HMP CN Equity</t>
  </si>
  <si>
    <t>Global X Active Canadian Mun</t>
  </si>
  <si>
    <t>GLOBAL X ACTIVE CANADIAN MUN</t>
  </si>
  <si>
    <t>TBCG CN Equity</t>
  </si>
  <si>
    <t>TD Target 2027 Investment Gr</t>
  </si>
  <si>
    <t>TD TGT 2027 INV GR BD</t>
  </si>
  <si>
    <t>GEMD US Equity</t>
  </si>
  <si>
    <t>Goldman Sachs Access Emergin</t>
  </si>
  <si>
    <t>GOLDMAN ACCESS EM USD BOND</t>
  </si>
  <si>
    <t>ETFES35 GR Equity</t>
  </si>
  <si>
    <t>FTCA US Equity</t>
  </si>
  <si>
    <t>Franklin California Municipa</t>
  </si>
  <si>
    <t>FRANKLIN CA MUNI INC ETF</t>
  </si>
  <si>
    <t>UKG5 LN Equity</t>
  </si>
  <si>
    <t>L&amp;G UK Gilt 0-5 Year UCITS E</t>
  </si>
  <si>
    <t>L&amp;G UK GILT 0-5Y UCITS ETF</t>
  </si>
  <si>
    <t>511060 CH Equity</t>
  </si>
  <si>
    <t>海富通上证5年期地方政府债交</t>
  </si>
  <si>
    <t>HFT SSE 5Y LOCAL GOVT BD ETF</t>
  </si>
  <si>
    <t>BBLB US Equity</t>
  </si>
  <si>
    <t>JPMorgan BetaBuilders US Tre</t>
  </si>
  <si>
    <t>JPM BETA US TR 20+ YR ETF</t>
  </si>
  <si>
    <t>DXBC CN Equity</t>
  </si>
  <si>
    <t>Dynamic Active Canadian Bond</t>
  </si>
  <si>
    <t>DYNAMIC ACTIVE CDN BOND ETF</t>
  </si>
  <si>
    <t>XTLH CN Equity</t>
  </si>
  <si>
    <t>iShares 20 + Year US Treasur</t>
  </si>
  <si>
    <t>ISHARES 20+ YR US TR BD C H</t>
  </si>
  <si>
    <t>EVTR US Equity</t>
  </si>
  <si>
    <t>Eaton Vance Total Return Bon</t>
  </si>
  <si>
    <t>EATON VANCE TOTAL RETURN</t>
  </si>
  <si>
    <t>BOND CN Equity</t>
  </si>
  <si>
    <t>Evolve Enhanced Yield Bond F</t>
  </si>
  <si>
    <t>EVOLVE ENHANCED YLD BND FUND</t>
  </si>
  <si>
    <t>USIG US Equity</t>
  </si>
  <si>
    <t>iShares安硕广泛美元投资级公</t>
  </si>
  <si>
    <t>ISHARES BROAD USD INVESTMENT</t>
  </si>
  <si>
    <t>BSJW US Equity</t>
  </si>
  <si>
    <t>Invesco BulletShares 2032 Hi</t>
  </si>
  <si>
    <t>INVESCO BULLETSHARES 2032 HY</t>
  </si>
  <si>
    <t>EMB US Equity</t>
  </si>
  <si>
    <t>ISHARES JP MORGAN USD EMERGI</t>
  </si>
  <si>
    <t>MYMG US Equity</t>
  </si>
  <si>
    <t>State Street My2027 Municipa</t>
  </si>
  <si>
    <t>STATE STREET MY2027 MUNICIPA</t>
  </si>
  <si>
    <t>PLUS CN Equity</t>
  </si>
  <si>
    <t>Manulife Strategic Income Pl</t>
  </si>
  <si>
    <t>ML STRATEGIC INC PLUS FUND</t>
  </si>
  <si>
    <t>FLXR US Equity</t>
  </si>
  <si>
    <t>TCW Flexible Income ETF</t>
  </si>
  <si>
    <t>TCW FLEXIBLE INCOME ETF</t>
  </si>
  <si>
    <t>TBUF/U CN Equity</t>
  </si>
  <si>
    <t>TD Target 2026 US Investment</t>
  </si>
  <si>
    <t>TD TGT 2026 US INV GR BD</t>
  </si>
  <si>
    <t>ICOR AU Equity</t>
  </si>
  <si>
    <t>iShares Core Corporate Bond</t>
  </si>
  <si>
    <t>ISHARES CORE CORP BOND ETF</t>
  </si>
  <si>
    <t>BYLD CN Equity</t>
  </si>
  <si>
    <t>Manulife Smart Enhanced Yiel</t>
  </si>
  <si>
    <t>MANULIFE SMART YLD B ETF</t>
  </si>
  <si>
    <t>VABS US Equity</t>
  </si>
  <si>
    <t>Virtus Newfleet Securitized</t>
  </si>
  <si>
    <t>VIRTUS NWFLT SECR INC ETF-UI</t>
  </si>
  <si>
    <t>VBG CN Equity</t>
  </si>
  <si>
    <t>Vanguard Global ex-U.S. Aggr</t>
  </si>
  <si>
    <t>VANGUARD GLOBAL EX-US AGGREG</t>
  </si>
  <si>
    <t>UCRD US Equity</t>
  </si>
  <si>
    <t>VictoryShares Corporate Bond</t>
  </si>
  <si>
    <t>VICTORYSHARES CORPORATE BOND</t>
  </si>
  <si>
    <t>0117L0 KS Equity</t>
  </si>
  <si>
    <t>Samsung KODEX 26-12 Financia</t>
  </si>
  <si>
    <t>SAMSUNG KX 2612 FIBD AA- ACT</t>
  </si>
  <si>
    <t>JCPB US Equity</t>
  </si>
  <si>
    <t>JPMorgan Core Plus Bond ETF</t>
  </si>
  <si>
    <t>JPMORGAN CORE PLUS BOND ETF</t>
  </si>
  <si>
    <t>BBCB US Equity</t>
  </si>
  <si>
    <t>JPMorgan BetaBuilders USD In</t>
  </si>
  <si>
    <t>JPMORGAN BETABUILDERS USD IN</t>
  </si>
  <si>
    <t>FLOT AU Equity</t>
  </si>
  <si>
    <t>VanEck Australian Floating R</t>
  </si>
  <si>
    <t>VANECK AUSTRALIAN FLOATING R</t>
  </si>
  <si>
    <t>TBUG/U CN Equity</t>
  </si>
  <si>
    <t>TD Target 2027 US Investment</t>
  </si>
  <si>
    <t>TD TGT 2027 US INV GR BD</t>
  </si>
  <si>
    <t>ECRP3 FP Equity</t>
  </si>
  <si>
    <t>Amundi EUR Corporate Bond 0-</t>
  </si>
  <si>
    <t>AM EUR CORP BOND 0-3 C</t>
  </si>
  <si>
    <t>TOTR US Equity</t>
  </si>
  <si>
    <t>T Rowe Price Total Return ET</t>
  </si>
  <si>
    <t>T ROWE PRICE TOTAL RETURN ET</t>
  </si>
  <si>
    <t>ASHU GR Equity</t>
  </si>
  <si>
    <t>AXA IM Short Duration Income</t>
  </si>
  <si>
    <t>AXA SH DUR ETF USACC</t>
  </si>
  <si>
    <t>FLMB US Equity</t>
  </si>
  <si>
    <t>Franklin Municipal Green Bon</t>
  </si>
  <si>
    <t>FRANKLIN MUNICIPAL GREEN BON</t>
  </si>
  <si>
    <t>NCLO US Equity</t>
  </si>
  <si>
    <t>Nuveen AA-BBB CLO ETF</t>
  </si>
  <si>
    <t>NUVEEN AA-BBB CLO ETF</t>
  </si>
  <si>
    <t>SN1RLRG IN Equity</t>
  </si>
  <si>
    <t>SBI NIFTY 1D Rate Liquid ETF</t>
  </si>
  <si>
    <t>SBI NIFT 1D RATE LIQ ETF-RG</t>
  </si>
  <si>
    <t>511110 CH Equity</t>
  </si>
  <si>
    <t>易方达上证基准做市公司债交易</t>
  </si>
  <si>
    <t>E FND SSE MRK-MAK COR BN ETF</t>
  </si>
  <si>
    <t>455660 KS Equity</t>
  </si>
  <si>
    <t>KIM ACE US High Yield Active</t>
  </si>
  <si>
    <t>KIM ACE US HIGH YIELD ACTIVE</t>
  </si>
  <si>
    <t>ICME AU Equity</t>
  </si>
  <si>
    <t>iShares Credit Income Active</t>
  </si>
  <si>
    <t>ISHARES CREDIT INCOME ACTIVE</t>
  </si>
  <si>
    <t>KSMF37 IT Equity</t>
  </si>
  <si>
    <t>KSM ETF 00 Tel Gov-Shekel 0-</t>
  </si>
  <si>
    <t>KSMETF TEL GOV SHEK 0-2</t>
  </si>
  <si>
    <t>VACF AU Equity</t>
  </si>
  <si>
    <t>Vanguard Australian Corporat</t>
  </si>
  <si>
    <t>VANGUARD AUST CORP FI INDEX</t>
  </si>
  <si>
    <t>EUNS GR Equity</t>
  </si>
  <si>
    <t>iShares安硕欧元公司债除金融1</t>
  </si>
  <si>
    <t>ISHARES EUR CORP BOND EX-FIN</t>
  </si>
  <si>
    <t>TCHF91 IT Equity</t>
  </si>
  <si>
    <t>Tachlit SAL 00 Short Term Tr</t>
  </si>
  <si>
    <t>TACHLIT SHRT TERM TRSRY BILL</t>
  </si>
  <si>
    <t>GRON GR Equity</t>
  </si>
  <si>
    <t>iShares EUR Green Bond UCITS</t>
  </si>
  <si>
    <t>ISHARES EUR GREEN BOND UCITS</t>
  </si>
  <si>
    <t>BSCT US Equity</t>
  </si>
  <si>
    <t>Invesco BulletShares 2029 Co</t>
  </si>
  <si>
    <t>INVESCO BULLETSHARES 2029 CB</t>
  </si>
  <si>
    <t>FTMN US Equity</t>
  </si>
  <si>
    <t>Franklin Minnesota Municipal</t>
  </si>
  <si>
    <t>FR MINNESOTA MUNI INC ETF</t>
  </si>
  <si>
    <t>NSCC CN Equity</t>
  </si>
  <si>
    <t>NBI Sustainable Canadian Cor</t>
  </si>
  <si>
    <t>NBI SUSTAINABLE CA CORP BOND</t>
  </si>
  <si>
    <t>SJNK US Equity</t>
  </si>
  <si>
    <t>道富SPDR彭博短期高收益债券ET</t>
  </si>
  <si>
    <t>SS SPDR BB ST HI YIELD ETF</t>
  </si>
  <si>
    <t>IGB CN Equity</t>
  </si>
  <si>
    <t>Purpose Global Bond Class</t>
  </si>
  <si>
    <t>PURPOSE GLOBAL BOND CLASS</t>
  </si>
  <si>
    <t>IBMP US Equity</t>
  </si>
  <si>
    <t>iShares iBonds Dec 2027 Term</t>
  </si>
  <si>
    <t>ISHARES IBONDS DEC 2027 TERM</t>
  </si>
  <si>
    <t>NUHY US Equity</t>
  </si>
  <si>
    <t>Nuveen ESG High Yield Corpor</t>
  </si>
  <si>
    <t>NUVEEN ESG HI YLD CORP BND</t>
  </si>
  <si>
    <t>AVGB US Equity</t>
  </si>
  <si>
    <t>Avantis Credit ETF</t>
  </si>
  <si>
    <t>AVANTIS CREDIT ETF</t>
  </si>
  <si>
    <t>KSMF43 IT Equity</t>
  </si>
  <si>
    <t>KSM ETF 00 Tel Gov T-Bills M</t>
  </si>
  <si>
    <t>KSM ETF TEL GOV T-BIL</t>
  </si>
  <si>
    <t>ZFL CN Equity</t>
  </si>
  <si>
    <t>BMO长期联邦债券指数ETF</t>
  </si>
  <si>
    <t>BMO LONG FEDERAL BOND INDEX</t>
  </si>
  <si>
    <t>FJ7E GR Equity</t>
  </si>
  <si>
    <t>UmweltBank UCITS-ETF - Green</t>
  </si>
  <si>
    <t>UMWELTBANK U ETF-G &amp; SB EUR</t>
  </si>
  <si>
    <t>JEMB US Equity</t>
  </si>
  <si>
    <t>Janus Henderson Emerging Mar</t>
  </si>
  <si>
    <t>JH EM DEBT HARD CURRENCY ETF</t>
  </si>
  <si>
    <t>LQTI US Equity</t>
  </si>
  <si>
    <t>FT Vest Investment Grade &amp; T</t>
  </si>
  <si>
    <t>FT VEST INVST GRD TRGT I ETF</t>
  </si>
  <si>
    <t>CFIETFLP CI Equity</t>
  </si>
  <si>
    <t>Fondo de Inversion ETF Singu</t>
  </si>
  <si>
    <t>FI ETF SINGULAR LARGO PLAZO</t>
  </si>
  <si>
    <t>DLIQGRW IN Equity</t>
  </si>
  <si>
    <t>DSP BSE Liquid Rate ETF</t>
  </si>
  <si>
    <t>DSP BSE LIQUID RATE ETF-ETF</t>
  </si>
  <si>
    <t>MINT LN Equity</t>
  </si>
  <si>
    <t>PIMCO美元短到期UCITS ETF</t>
  </si>
  <si>
    <t>PIMCO US DOLLAR SHORT MATUR</t>
  </si>
  <si>
    <t>XSTB CN Equity</t>
  </si>
  <si>
    <t>iShares ESG Aware Canadian S</t>
  </si>
  <si>
    <t>ISHARES ESG AWARE CANADIAN S</t>
  </si>
  <si>
    <t>511200 CH Equity</t>
  </si>
  <si>
    <t>华夏上证基准做市公司债交易型</t>
  </si>
  <si>
    <t>CHINAAMC SSE MM CP BD ETF</t>
  </si>
  <si>
    <t>VNLA US Equity</t>
  </si>
  <si>
    <t>Janus Henderson Short Durati</t>
  </si>
  <si>
    <t>JANUS HENDERSON SHORT DURATI</t>
  </si>
  <si>
    <t>VGB AU Equity</t>
  </si>
  <si>
    <t>Vanguard澳大利亚国债指数ETF</t>
  </si>
  <si>
    <t>VANGUARD AUS GOVT BD ETF</t>
  </si>
  <si>
    <t>TUSI US Equity</t>
  </si>
  <si>
    <t>Touchstone Ultra Short Incom</t>
  </si>
  <si>
    <t>TOUCHSTONE ULTRA SHORT INCOM</t>
  </si>
  <si>
    <t>BNDI US Equity</t>
  </si>
  <si>
    <t>NEOS Enhanced Income Aggrega</t>
  </si>
  <si>
    <t>NEOS ENHANCED INC AGG BD ETF</t>
  </si>
  <si>
    <t>TABD US Equity</t>
  </si>
  <si>
    <t>Transamerica Bond Active ETF</t>
  </si>
  <si>
    <t>TRANSAMERICA BOND ACTIVE ETF</t>
  </si>
  <si>
    <t>CNB FP Equity</t>
  </si>
  <si>
    <t>Amundi EUR Corporate Bond ex</t>
  </si>
  <si>
    <t>AMUNDI EUR CORPORATE BOND EX</t>
  </si>
  <si>
    <t>DYNGFIF CN Equity</t>
  </si>
  <si>
    <t>Dynamic Global Fixed Income</t>
  </si>
  <si>
    <t>DYNAMIC GLB FI FUND-F</t>
  </si>
  <si>
    <t>JFIX AU Equity</t>
  </si>
  <si>
    <t>Janus Henderson Australian F</t>
  </si>
  <si>
    <t>JH AUS FIXED INTRST ACT ETF</t>
  </si>
  <si>
    <t>ZN1RLET IN Equity</t>
  </si>
  <si>
    <t>Zerodha Nifty 1D Rate Liquid</t>
  </si>
  <si>
    <t>ZERODHA NIFTY 1D RATE LIQUID</t>
  </si>
  <si>
    <t>TCLB CN Equity</t>
  </si>
  <si>
    <t>TD Canadian Long Term Federa</t>
  </si>
  <si>
    <t>TD CANADIAN LONG TERM FEDERA</t>
  </si>
  <si>
    <t>ETFGS10 GR Equity</t>
  </si>
  <si>
    <t>Deka DB EUROGOV Germany 10+</t>
  </si>
  <si>
    <t>DEKA DB EUROGOV GERMANY 10+</t>
  </si>
  <si>
    <t>BTP13 IM Equity</t>
  </si>
  <si>
    <t>AMUNDI ITL GV BOND 1-3Y INC</t>
  </si>
  <si>
    <t>QUID LN Equity</t>
  </si>
  <si>
    <t>PIMCO英镑短到期UCITS ETF</t>
  </si>
  <si>
    <t>PIMCO STERLING SHORT MATURIT</t>
  </si>
  <si>
    <t>PULS US Equity</t>
  </si>
  <si>
    <t>PGIM Ultra Short Bond ETF</t>
  </si>
  <si>
    <t>PGIM ULTRA SHORT BOND ETF</t>
  </si>
  <si>
    <t>LDCU LN Equity</t>
  </si>
  <si>
    <t>PIMCO优势美元低久期公司债UCI</t>
  </si>
  <si>
    <t>PIMCO ADV US LW DR CRP BD-UI</t>
  </si>
  <si>
    <t>TCHF97 IT Equity</t>
  </si>
  <si>
    <t>Tachlit SAL 00 Tel Bond CPI</t>
  </si>
  <si>
    <t>TACH SAL TEL BOND CPI LNK SC</t>
  </si>
  <si>
    <t>XB35 GR Equity</t>
  </si>
  <si>
    <t>X TARGET MAT 35 EUR CORP 1D</t>
  </si>
  <si>
    <t>LDCE GR Equity</t>
  </si>
  <si>
    <t>PIMCO优势欧元低久期公司债UCI</t>
  </si>
  <si>
    <t>PIMCO ADV ER LW DR CRP BD-EI</t>
  </si>
  <si>
    <t>BAFIN1L IN Equity</t>
  </si>
  <si>
    <t>Bajaj Finserv Nifty 1D Rate</t>
  </si>
  <si>
    <t>BAJAJ FINSERV NIFTY 1D RT GR</t>
  </si>
  <si>
    <t>HTRB US Equity</t>
  </si>
  <si>
    <t>Hartford Total Return Bond E</t>
  </si>
  <si>
    <t>HARTFORD TTL RTRN BND ETF</t>
  </si>
  <si>
    <t>STBF US Equity</t>
  </si>
  <si>
    <t>Performance Trust Short Term</t>
  </si>
  <si>
    <t>PERF TRUST SHORT TERM BD ETF</t>
  </si>
  <si>
    <t>TAFL US Equity</t>
  </si>
  <si>
    <t>AB Tax-Aware Long Municipal</t>
  </si>
  <si>
    <t>AB TAX AWARE LONG MUNI</t>
  </si>
  <si>
    <t>AINP US Equity</t>
  </si>
  <si>
    <t>Allspring Income Plus ETF</t>
  </si>
  <si>
    <t>ALLSPRING INCOME PLUS ETF</t>
  </si>
  <si>
    <t>H1DRTLQ IN Equity</t>
  </si>
  <si>
    <t>HDFC Nifty 1D Rate Liquid ET</t>
  </si>
  <si>
    <t>HDFC NIFTY 1D RATE LIQUID ET</t>
  </si>
  <si>
    <t>MAN1DRL IN Equity</t>
  </si>
  <si>
    <t>Mirae Asset Nifty 1D Rate Li</t>
  </si>
  <si>
    <t>MIRAE ASSET NIF 1D RT LQ ETF</t>
  </si>
  <si>
    <t>USHY AU Equity</t>
  </si>
  <si>
    <t>Global X USD High Yield Bond</t>
  </si>
  <si>
    <t>GLO X USD HIG YIE BO CUR HE</t>
  </si>
  <si>
    <t>OZBD AU Equity</t>
  </si>
  <si>
    <t>Betashares Australian Compos</t>
  </si>
  <si>
    <t>BETASHARES AU COMPOSI BD ETF</t>
  </si>
  <si>
    <t>475260 KS Equity</t>
  </si>
  <si>
    <t>KIM ACE Feb Rollover Corpora</t>
  </si>
  <si>
    <t>KIM ACE FEB ROLLV CORP BD AC</t>
  </si>
  <si>
    <t>CLOEUA SW Equity</t>
  </si>
  <si>
    <t>UBS EUR AAA CLO UCITS ETF</t>
  </si>
  <si>
    <t>CTUE/U CN Equity</t>
  </si>
  <si>
    <t>CIBC 2027 US Investment Grad</t>
  </si>
  <si>
    <t>ELFD GR Equity</t>
  </si>
  <si>
    <t>Deka Eurozone Rendite Plus 1</t>
  </si>
  <si>
    <t>DEKA EUROZN RENDITE+ 1-10</t>
  </si>
  <si>
    <t>PAYM CN Equity</t>
  </si>
  <si>
    <t>Global X Mid-Term Government</t>
  </si>
  <si>
    <t>GLOBAL X MT GVN BD PREM YLD</t>
  </si>
  <si>
    <t>NTGC CN Equity</t>
  </si>
  <si>
    <t>NBI Target 2028 Investment G</t>
  </si>
  <si>
    <t>NBI T 2028 INVEST GD BD FUND</t>
  </si>
  <si>
    <t>BJLM GR Equity</t>
  </si>
  <si>
    <t>BNP EASY EUR GOV ESG ENH</t>
  </si>
  <si>
    <t>BOXA US Equity</t>
  </si>
  <si>
    <t>Alpha Architect Aggregate Bo</t>
  </si>
  <si>
    <t>ALPHA ARCHITECT AGG BOND ETF</t>
  </si>
  <si>
    <t>MFSB US Equity</t>
  </si>
  <si>
    <t>MFS Active Core Plus Bond ET</t>
  </si>
  <si>
    <t>MFS ACTIVE CORE PLUS BOND</t>
  </si>
  <si>
    <t>RLB CN Equity</t>
  </si>
  <si>
    <t>SHNF1DL IN Equity</t>
  </si>
  <si>
    <t>Shriram Nifty 1D Rate Liquid</t>
  </si>
  <si>
    <t>SHRIRAM NIFTY 1D RT ETF</t>
  </si>
  <si>
    <t>DFSD US Equity</t>
  </si>
  <si>
    <t>Dimensional Short-Duration F</t>
  </si>
  <si>
    <t>DIMENSIONAL SHORT DURATION</t>
  </si>
  <si>
    <t>NPRF CN Equity</t>
  </si>
  <si>
    <t>NBI Active Canadian Preferre</t>
  </si>
  <si>
    <t>NBI ACTIVE CANADIAN PFD ETF</t>
  </si>
  <si>
    <t>NBND CN Equity</t>
  </si>
  <si>
    <t>Ninepoint Diversified Bond F</t>
  </si>
  <si>
    <t>NINEPOINT DIVERSIFIED BOND</t>
  </si>
  <si>
    <t>CRXP US Equity</t>
  </si>
  <si>
    <t>Columbia Core Plus Bond ETF</t>
  </si>
  <si>
    <t>COLUMBIA CORE PLUS BOND ETF</t>
  </si>
  <si>
    <t>FLRT US Equity</t>
  </si>
  <si>
    <t>Pacer Aristotle Pacific Floa</t>
  </si>
  <si>
    <t>PACER ARISTOTLE PACIFIC FLOA</t>
  </si>
  <si>
    <t>RGQQ CN Equity</t>
  </si>
  <si>
    <t>RBC Target 2028 Canadian Gov</t>
  </si>
  <si>
    <t>RBC TARGET 2028 CANADIAN GOV</t>
  </si>
  <si>
    <t>AFIX US Equity</t>
  </si>
  <si>
    <t>Allspring Broad Market Core</t>
  </si>
  <si>
    <t>ALLSPRING BRD MRKT CORE BND</t>
  </si>
  <si>
    <t>VSCF IM Equity</t>
  </si>
  <si>
    <t>Vanguard EUR Corporate 1-3 Y</t>
  </si>
  <si>
    <t>VANG E CORP 1-3 B EA</t>
  </si>
  <si>
    <t>BKAG US Equity</t>
  </si>
  <si>
    <t>BNY Mellon Core Bond ETF</t>
  </si>
  <si>
    <t>BNY MELLON CORE BOND ETF</t>
  </si>
  <si>
    <t>FTOH US Equity</t>
  </si>
  <si>
    <t>Franklin Ohio Municipal Inco</t>
  </si>
  <si>
    <t>FR OHIO MUNI INC ETF</t>
  </si>
  <si>
    <t>HYGW US Equity</t>
  </si>
  <si>
    <t>Ishares High Yield Corporate</t>
  </si>
  <si>
    <t>ISHARES HY CORP BD BUYWR ETF</t>
  </si>
  <si>
    <t>GSST US Equity</t>
  </si>
  <si>
    <t>Goldman Sachs Ultra Short Bo</t>
  </si>
  <si>
    <t>GOLDMAN SACHS ULTRA SHORT BO</t>
  </si>
  <si>
    <t>30BB AU Equity</t>
  </si>
  <si>
    <t>Betashares 2030 Fixed Term C</t>
  </si>
  <si>
    <t>BS 2030 CORP BOND ETF</t>
  </si>
  <si>
    <t>WABF US Equity</t>
  </si>
  <si>
    <t>Western Asset Bond ETF</t>
  </si>
  <si>
    <t>WESTERN ASSET BOND ETF</t>
  </si>
  <si>
    <t>EDGF US Equity</t>
  </si>
  <si>
    <t>3EDGE Dynamic Fixed Income E</t>
  </si>
  <si>
    <t>3EDGE DYNAMIC FIXED INCM ETF</t>
  </si>
  <si>
    <t>XEML GR Equity</t>
  </si>
  <si>
    <t>Xtrackers II JP Morgan EM Lo</t>
  </si>
  <si>
    <t>X JPM EM LOCAL GOV BOND 1D</t>
  </si>
  <si>
    <t>TIP5 LN Equity</t>
  </si>
  <si>
    <t>iShares II plc - iShares USD</t>
  </si>
  <si>
    <t>ISHARES USD TIPS 0-5</t>
  </si>
  <si>
    <t>RGQR CN Equity</t>
  </si>
  <si>
    <t>RBC Target 2029 Canadian Gov</t>
  </si>
  <si>
    <t>RBC TARGET 2029 CANADIAN GOV</t>
  </si>
  <si>
    <t>TMNL US Equity</t>
  </si>
  <si>
    <t>T Rowe Price Long Municipal</t>
  </si>
  <si>
    <t>T ROWE PRICE LG MUNI INC ETF</t>
  </si>
  <si>
    <t>GRN1DRL IN Equity</t>
  </si>
  <si>
    <t>GROWW NIFTY 1D Rate Liquid E</t>
  </si>
  <si>
    <t>GR NIF 1D RATE LIQ ETF</t>
  </si>
  <si>
    <t>IBDU US Equity</t>
  </si>
  <si>
    <t>ISHARES IBONDS DEC 2029 TERM</t>
  </si>
  <si>
    <t>LDRH US Equity</t>
  </si>
  <si>
    <t>iShares iBonds 1-5 Year High</t>
  </si>
  <si>
    <t>ISH IBONDS 1-5Y HY &amp; INC LAD</t>
  </si>
  <si>
    <t>UEDD NA Equity</t>
  </si>
  <si>
    <t>安硕美元超短期债券ESG SRI UC</t>
  </si>
  <si>
    <t>ISHARES USD ULTRASHORT BOND</t>
  </si>
  <si>
    <t>CSBGE3 SW Equity</t>
  </si>
  <si>
    <t>iShares安硕欧元国债1-3年UCIT</t>
  </si>
  <si>
    <t>ISHARES EURO GOVT BOND 1-3Y</t>
  </si>
  <si>
    <t>ZPS CN Equity</t>
  </si>
  <si>
    <t>BMO短期省级债券指数ETF</t>
  </si>
  <si>
    <t>BMO SHORT PROVINCIAL BOND IN</t>
  </si>
  <si>
    <t>HBRD AU Equity</t>
  </si>
  <si>
    <t>Betashares Australian Hybrid</t>
  </si>
  <si>
    <t>BETASHARES ACTIVE AUS HYB AC</t>
  </si>
  <si>
    <t>XZE5 GR Equity</t>
  </si>
  <si>
    <t>Xtrackers II EUR Corporate B</t>
  </si>
  <si>
    <t>X EUR CORP SD SRI PAB 1C</t>
  </si>
  <si>
    <t>UKCO LN Equity</t>
  </si>
  <si>
    <t>SPDR彭博英镑公司债UCITS ETF</t>
  </si>
  <si>
    <t>SPDR BBG STERLING CORPORATE</t>
  </si>
  <si>
    <t>EMD5 LN Equity</t>
  </si>
  <si>
    <t>L&amp;G Emerging Markets Governm</t>
  </si>
  <si>
    <t>L&amp;G EMR MRKT GB 0-5Y SCR-USD</t>
  </si>
  <si>
    <t>DUSB US Equity</t>
  </si>
  <si>
    <t>Dimensional Ultrashort Fixed</t>
  </si>
  <si>
    <t>DIMENSION ULTRASHORT FI ETF</t>
  </si>
  <si>
    <t>EHBD GR Equity</t>
  </si>
  <si>
    <t>Invesco Euro Corporate Hybri</t>
  </si>
  <si>
    <t>INVESCO EUR CORP HYBRID DIST</t>
  </si>
  <si>
    <t>FBND US Equity</t>
  </si>
  <si>
    <t>富达总债券ETF</t>
  </si>
  <si>
    <t>FIDELITY TOTAL BOND ETF</t>
  </si>
  <si>
    <t>551300 CH Equity</t>
  </si>
  <si>
    <t>摩根上证AAA科技创新公司债交</t>
  </si>
  <si>
    <t>JPM SE AAA S-TC IN CR BN ETF</t>
  </si>
  <si>
    <t>BUXX US Equity</t>
  </si>
  <si>
    <t>Strive Enhanced Income Short</t>
  </si>
  <si>
    <t>STRIVE ENHANCED INCOME SHORT</t>
  </si>
  <si>
    <t>IBGB US Equity</t>
  </si>
  <si>
    <t>iShares iBonds Dec 2045 Term</t>
  </si>
  <si>
    <t>ISHARES IBONDS DEC 2045 TT</t>
  </si>
  <si>
    <t>CLF CN Equity</t>
  </si>
  <si>
    <t>安硕1-5年阶梯式政府债券指数E</t>
  </si>
  <si>
    <t>ISHARES 1-5 YEAR LADDERED GO</t>
  </si>
  <si>
    <t>FLRN US Equity</t>
  </si>
  <si>
    <t>道富SPDR彭博投资级浮动利率ET</t>
  </si>
  <si>
    <t>SS SPDR BB IG FLOAT RT ETF</t>
  </si>
  <si>
    <t>IBID US Equity</t>
  </si>
  <si>
    <t>iShares iBonds Oct 2027 Term</t>
  </si>
  <si>
    <t>ISHARES IBONDS OCT 2027 TT</t>
  </si>
  <si>
    <t>EVHY US Equity</t>
  </si>
  <si>
    <t>Eaton Vance High Yield ETF</t>
  </si>
  <si>
    <t>EATON VANCE HIGH YIELD ETF</t>
  </si>
  <si>
    <t>BSJR US Equity</t>
  </si>
  <si>
    <t>Invesco BulletShares 2027 Hi</t>
  </si>
  <si>
    <t>INVESCO BULLETSHARES 2027 HY</t>
  </si>
  <si>
    <t>ICPI US Equity</t>
  </si>
  <si>
    <t>iShares 0-1 Year TIPS Bond E</t>
  </si>
  <si>
    <t>ISHARES 0-1 YR TIPS BOND ETF</t>
  </si>
  <si>
    <t>XHYF US Equity</t>
  </si>
  <si>
    <t>BONDBLOXX USD HY BOND F REIT</t>
  </si>
  <si>
    <t>XSE CN Equity</t>
  </si>
  <si>
    <t>iShares Conservative Strateg</t>
  </si>
  <si>
    <t>ISHARES CONSRV STRGIC FI ETF</t>
  </si>
  <si>
    <t>RQP CN Equity</t>
  </si>
  <si>
    <t>RBC Target 2027 Canadian Cor</t>
  </si>
  <si>
    <t>RBC TARGET 2027 CANADIAN COR</t>
  </si>
  <si>
    <t>JHCR US Equity</t>
  </si>
  <si>
    <t>John Hancock Core Bond ETF</t>
  </si>
  <si>
    <t>JOHN HANCOCK CORE BOND ETF</t>
  </si>
  <si>
    <t>159395 CH Equity</t>
  </si>
  <si>
    <t>大成深证基准做市信用债交易型</t>
  </si>
  <si>
    <t>DACH SZSE MAR-MA CRD BND ETF</t>
  </si>
  <si>
    <t>JMST US Equity</t>
  </si>
  <si>
    <t>JPMorgan Ultra-Short Municip</t>
  </si>
  <si>
    <t>JPM ULTRA-SHORT MUNI INCOME</t>
  </si>
  <si>
    <t>CGCP US Equity</t>
  </si>
  <si>
    <t>Capital Group Core Plus Inco</t>
  </si>
  <si>
    <t>CAP GROUP CORE PLUS INCOME</t>
  </si>
  <si>
    <t>I28X GR Equity</t>
  </si>
  <si>
    <t>ISHA IBO DEC 2028 T CC ETF</t>
  </si>
  <si>
    <t>CAFR CN Equity</t>
  </si>
  <si>
    <t>CIBC ACTIVE INVST GR BND ETF</t>
  </si>
  <si>
    <t>159972 CH Equity</t>
  </si>
  <si>
    <t>鹏华中证5年期地方政府债交易</t>
  </si>
  <si>
    <t>PH CSI 5Y LCL GVNM BD ETF</t>
  </si>
  <si>
    <t>TBCH CN Equity</t>
  </si>
  <si>
    <t>TD Target 2028 Investment Gr</t>
  </si>
  <si>
    <t>TD TGT 2028 INV GR BD</t>
  </si>
  <si>
    <t>GBPC LN Equity</t>
  </si>
  <si>
    <t>L&amp;G GBP Corporate Bond Scree</t>
  </si>
  <si>
    <t>L&amp;G GBP CORPOR BND SCRN-GBPD</t>
  </si>
  <si>
    <t>XHYH US Equity</t>
  </si>
  <si>
    <t>BONDBLOXX USD HY BOND HEALTH</t>
  </si>
  <si>
    <t>TBUX US Equity</t>
  </si>
  <si>
    <t>T Rowe Price Ultra Short-Ter</t>
  </si>
  <si>
    <t>T ROWE PRICE ULTRA SHORT-TER</t>
  </si>
  <si>
    <t>159397 CH Equity</t>
  </si>
  <si>
    <t>广发深证基准做市信用债交易型</t>
  </si>
  <si>
    <t>GF SZSE MKE-MAK CRD BD ETF</t>
  </si>
  <si>
    <t>DXV CN Equity</t>
  </si>
  <si>
    <t>Dynamic Active Ultra Short T</t>
  </si>
  <si>
    <t>DYNAMIC ACT UL SH TRM BN ETF</t>
  </si>
  <si>
    <t>TAT NA Equity</t>
  </si>
  <si>
    <t>VanEck iBoxx EUR Sovereign C</t>
  </si>
  <si>
    <t>VANECK EUR SVRN CAP AAA-AA</t>
  </si>
  <si>
    <t>MQDB AU Equity</t>
  </si>
  <si>
    <t>Macquarie Dynamic Bond Activ</t>
  </si>
  <si>
    <t>MACQUARIE DYNAMIC ACTIV ETF</t>
  </si>
  <si>
    <t>SLXX LN Equity</t>
  </si>
  <si>
    <t>iShares安硕核心英镑公司债UCI</t>
  </si>
  <si>
    <t>ISHARES CORE GBP CORP</t>
  </si>
  <si>
    <t>IBGA US Equity</t>
  </si>
  <si>
    <t>iShares iBonds Dec 2044 Term</t>
  </si>
  <si>
    <t>ISHARES IBONDS DEC 2044 ETF</t>
  </si>
  <si>
    <t>MINT US Equity</t>
  </si>
  <si>
    <t>PIMCO增强型短期到期主动型ETF</t>
  </si>
  <si>
    <t>PIMCO ENHANCED SHORT MATURIT</t>
  </si>
  <si>
    <t>MIG US Equity</t>
  </si>
  <si>
    <t>VanEck Moody's Analytics IG</t>
  </si>
  <si>
    <t>VANECK MOODY'S ANALYTICS IG</t>
  </si>
  <si>
    <t>USFR US Equity</t>
  </si>
  <si>
    <t>WisdomTree浮动利率国债基金</t>
  </si>
  <si>
    <t>WISDOMTREE FLOATING RATE TRE</t>
  </si>
  <si>
    <t>FYUI LN Equity</t>
  </si>
  <si>
    <t>Fidelity USD HY Corp Bond Re</t>
  </si>
  <si>
    <t>FI US HY CO BD RE EN P UE-IN</t>
  </si>
  <si>
    <t>CGSD US Equity</t>
  </si>
  <si>
    <t>CAP GROUP SHORT DURATION</t>
  </si>
  <si>
    <t>IBGK US Equity</t>
  </si>
  <si>
    <t>iShares iBonds Dec 2054 Term</t>
  </si>
  <si>
    <t>ISHARES IBONDS DEC 2054 ETF</t>
  </si>
  <si>
    <t>JPIE US Equity</t>
  </si>
  <si>
    <t>JPMorgan Income ETF</t>
  </si>
  <si>
    <t>JPMORGAN INCOME ETF</t>
  </si>
  <si>
    <t>JAAA LN Equity</t>
  </si>
  <si>
    <t>Janus Henderson USD AAA CLO</t>
  </si>
  <si>
    <t>JANUS HEN USD AAA CLO USD A</t>
  </si>
  <si>
    <t>AHYB US Equity</t>
  </si>
  <si>
    <t>American Century Select High</t>
  </si>
  <si>
    <t>AMERICAN CENTURY SELECT HY</t>
  </si>
  <si>
    <t>SDCP US Equity</t>
  </si>
  <si>
    <t>VIRTUS NEWFLEET SD</t>
  </si>
  <si>
    <t>GBND US Equity</t>
  </si>
  <si>
    <t>Goldman Sachs Core Bond ETF</t>
  </si>
  <si>
    <t>GOLDMAN SACHS CORE BOND ETF</t>
  </si>
  <si>
    <t>SRIC3 FP Equity</t>
  </si>
  <si>
    <t>BNPP ESY CBP PAB1-3Y UCS-EEI</t>
  </si>
  <si>
    <t>MTFF79 IT Equity</t>
  </si>
  <si>
    <t>MTF Sal 00 Tel Bond CPI-Link</t>
  </si>
  <si>
    <t>MTF SAL TEL BOND CPI-LNKED A</t>
  </si>
  <si>
    <t>SBND US Equity</t>
  </si>
  <si>
    <t>Columbia Short Duration Bond</t>
  </si>
  <si>
    <t>COLUMBIA SHRT DUR BND ETF</t>
  </si>
  <si>
    <t>SUSC US Equity</t>
  </si>
  <si>
    <t>iShares ESG Aware USD Corpor</t>
  </si>
  <si>
    <t>ISHARES ESG AWARE USD CORPOR</t>
  </si>
  <si>
    <t>511220 CH Equity</t>
  </si>
  <si>
    <t>上证城投债交易型开放式指数证</t>
  </si>
  <si>
    <t>SSE PLEDGE URBAN INVE BD ETF</t>
  </si>
  <si>
    <t>UTIP AU Equity</t>
  </si>
  <si>
    <t>Betashares Inflation-Protect</t>
  </si>
  <si>
    <t>BS INFLA P US TB CCY HGD ETF</t>
  </si>
  <si>
    <t>CFIETFCD CI Equity</t>
  </si>
  <si>
    <t>ETF SINGULAR CHILE CORTA DUR</t>
  </si>
  <si>
    <t>AAA US Equity</t>
  </si>
  <si>
    <t>Alternative Access First Pri</t>
  </si>
  <si>
    <t>ALTERNATIVE ACCESS FIRST PRI</t>
  </si>
  <si>
    <t>551500 CH Equity</t>
  </si>
  <si>
    <t>易方达中证AAA科技创新公司债</t>
  </si>
  <si>
    <t>E FD CSI AAA ST INN COR ETF</t>
  </si>
  <si>
    <t>IB28 GR Equity</t>
  </si>
  <si>
    <t>ISHRS IBND DEC 28 EUR CORP</t>
  </si>
  <si>
    <t>TCHF110 IT Equity</t>
  </si>
  <si>
    <t>Tachlit Sal 00 Tel Bond Floa</t>
  </si>
  <si>
    <t>TACH SAL TEL BOND FLOATING</t>
  </si>
  <si>
    <t>APCB US Equity</t>
  </si>
  <si>
    <t>Activepassive Core Bond ETF</t>
  </si>
  <si>
    <t>ACTIVEPASSIVE CORE BOND ETF</t>
  </si>
  <si>
    <t>APLU US Equity</t>
  </si>
  <si>
    <t>Allspring Core Plus ETF</t>
  </si>
  <si>
    <t>ALLSPRING CORE PLUS ETF</t>
  </si>
  <si>
    <t>NUSB US Equity</t>
  </si>
  <si>
    <t>Nuveen Ultra Short Income ET</t>
  </si>
  <si>
    <t>NUVEEN ULTRA SHORT INCOME</t>
  </si>
  <si>
    <t>KSMF36 IT Equity</t>
  </si>
  <si>
    <t>KSMETF TEL GOV CPI-LIN2-5</t>
  </si>
  <si>
    <t>MTGP US Equity</t>
  </si>
  <si>
    <t>WisdomTree Mortgage Plus Bon</t>
  </si>
  <si>
    <t>WISDOMTREE MTGE PLUS BOND</t>
  </si>
  <si>
    <t>XXV US Equity</t>
  </si>
  <si>
    <t>Simplify Ancorato Target 25</t>
  </si>
  <si>
    <t>SIMPLIFY ANCORATO TRG 25 DIS</t>
  </si>
  <si>
    <t>TCHF25 IT Equity</t>
  </si>
  <si>
    <t>TACHLIT CPI LNK GOV BOND 2-5</t>
  </si>
  <si>
    <t>XSI CN Equity</t>
  </si>
  <si>
    <t>iShares Short Term Strategic</t>
  </si>
  <si>
    <t>ISHARES SH TRM STR FIX INC</t>
  </si>
  <si>
    <t>RBIL US Equity</t>
  </si>
  <si>
    <t>F/m Ultrashort Treasury Infl</t>
  </si>
  <si>
    <t>US TREASURY ULTRA SHORT TIPS</t>
  </si>
  <si>
    <t>FLCP CN Equity</t>
  </si>
  <si>
    <t>Franklin Canadian Core Plus</t>
  </si>
  <si>
    <t>FRANKLIN CANA CORE PL F-FCI</t>
  </si>
  <si>
    <t>ULST US Equity</t>
  </si>
  <si>
    <t>道富超短期债券ETF</t>
  </si>
  <si>
    <t>SS ULTRA SHORT TM BOND ETF</t>
  </si>
  <si>
    <t>VSGF IM Equity</t>
  </si>
  <si>
    <t>Vanguard EUR Eurozone Govern</t>
  </si>
  <si>
    <t>VANG E EZ G 1-3 YR B E A</t>
  </si>
  <si>
    <t>GSY US Equity</t>
  </si>
  <si>
    <t>Invesco Ultra Short Duration</t>
  </si>
  <si>
    <t>INVESCO ULTRA SHORT DURATION</t>
  </si>
  <si>
    <t>EVSD US Equity</t>
  </si>
  <si>
    <t>Eaton Vance Short Duration I</t>
  </si>
  <si>
    <t>EATON VANCE SHRT DUR INC</t>
  </si>
  <si>
    <t>FTMA US Equity</t>
  </si>
  <si>
    <t>Franklin Massachusetts Munic</t>
  </si>
  <si>
    <t>FR MASSACHUSETTS MUN INC ETF</t>
  </si>
  <si>
    <t>QLTA US Equity</t>
  </si>
  <si>
    <t>iShares安硕Aaa-A级公司债ETF</t>
  </si>
  <si>
    <t>ISHARES AAA - A RATED CORPOR</t>
  </si>
  <si>
    <t>475280 KS Equity</t>
  </si>
  <si>
    <t>KIM ACE Aug Rollover Corpora</t>
  </si>
  <si>
    <t>KIM ACE AUG ROLVR CORP BD AC</t>
  </si>
  <si>
    <t>MYCL US Equity</t>
  </si>
  <si>
    <t>State Street My2032 Corporat</t>
  </si>
  <si>
    <t>STATE STREET MY2032 CORPORAT</t>
  </si>
  <si>
    <t>00981B TT Equity</t>
  </si>
  <si>
    <t>FSITC USD High Yield Premium</t>
  </si>
  <si>
    <t>FSITC USD HIGH YLD P INC BD</t>
  </si>
  <si>
    <t>UTN5GSC IN Equity</t>
  </si>
  <si>
    <t>UTI Nifty 5 yr Benchmark G-S</t>
  </si>
  <si>
    <t>UTI NIFTY 5 YR B G-SEC ETF</t>
  </si>
  <si>
    <t>MTFF6 IT Equity</t>
  </si>
  <si>
    <t>MTF SAL 00 CPI-Linked Gov Bo</t>
  </si>
  <si>
    <t>MTF CPI-LINKED GOV BOND 2-5Y</t>
  </si>
  <si>
    <t>PSDM US Equity</t>
  </si>
  <si>
    <t>PGIM SHORT DURATION MULTI-SE</t>
  </si>
  <si>
    <t>PGIM SHRT DURATION MS BD ETF</t>
  </si>
  <si>
    <t>MUB CN Equity</t>
  </si>
  <si>
    <t>Mackenzie Unconstrained Bond</t>
  </si>
  <si>
    <t>MACKENZIE UNCONSTRAINED BOND</t>
  </si>
  <si>
    <t>SITB CN Equity</t>
  </si>
  <si>
    <t>Scotia Canadian Bond Index T</t>
  </si>
  <si>
    <t>SCOTIA CANADIAN BOND INDEX T</t>
  </si>
  <si>
    <t>AUSM US Equity</t>
  </si>
  <si>
    <t>Allspring Ultra Short Munici</t>
  </si>
  <si>
    <t>ALLSPRING ULTRA SH MUNI ETF</t>
  </si>
  <si>
    <t>RGQP CN Equity</t>
  </si>
  <si>
    <t>RBC Target 2027 Canadian Gov</t>
  </si>
  <si>
    <t>RBC TARGET 2027 CANADIAN GOV</t>
  </si>
  <si>
    <t>AHYE FP Equity</t>
  </si>
  <si>
    <t>Amundi Euro High Yield Bond</t>
  </si>
  <si>
    <t>AMUNDI EURO HIGH YIELD BOND</t>
  </si>
  <si>
    <t>HTAX US Equity</t>
  </si>
  <si>
    <t>Nomura National High-Yield M</t>
  </si>
  <si>
    <t>NOMURA NATIONAL HIGH-YIELD M</t>
  </si>
  <si>
    <t>KSMF50 IT Equity</t>
  </si>
  <si>
    <t>KSM ETF 00 Short Tel Bond-40</t>
  </si>
  <si>
    <t>KSM ETF 00 SRT TB-40 CPI LNK</t>
  </si>
  <si>
    <t>IRCP LN Equity</t>
  </si>
  <si>
    <t>iShares安硕欧元公司债利率对</t>
  </si>
  <si>
    <t>ISH CR BIR HGD ES UETF-EI</t>
  </si>
  <si>
    <t>GRNB US Equity</t>
  </si>
  <si>
    <t>VanEck Green Bond ETF</t>
  </si>
  <si>
    <t>VANECK GREEN BOND ETF</t>
  </si>
  <si>
    <t>PSGF16 IT Equity</t>
  </si>
  <si>
    <t>IBI SAL 00 Tel Bond-CPI Link</t>
  </si>
  <si>
    <t>IBI SAL 00 TEL BO-CPI LNK IL</t>
  </si>
  <si>
    <t>MAGG US Equity</t>
  </si>
  <si>
    <t>Madison Aggregate Bond ETF</t>
  </si>
  <si>
    <t>MADISON AGGREGATE BOND ETF</t>
  </si>
  <si>
    <t>FIXD US Equity</t>
  </si>
  <si>
    <t>First Trust Smith Opportunis</t>
  </si>
  <si>
    <t>FIRST TRUST SMITH OPPORTUNIS</t>
  </si>
  <si>
    <t>VTEL US Equity</t>
  </si>
  <si>
    <t>Vanguard Long-Term Tax-Exemp</t>
  </si>
  <si>
    <t>VANGUARD LT TAX-EX BOND</t>
  </si>
  <si>
    <t>DCOR AU Equity</t>
  </si>
  <si>
    <t>Daintree Core Income Fund Ac</t>
  </si>
  <si>
    <t>DAINTREE CORE INCOME ACTIVE</t>
  </si>
  <si>
    <t>CALI US Equity</t>
  </si>
  <si>
    <t>iShares Short-Term Californi</t>
  </si>
  <si>
    <t>ISHRS SH-TRM CA MUNI ACT ETF</t>
  </si>
  <si>
    <t>AVIG US Equity</t>
  </si>
  <si>
    <t>Avantis Core Fixed Income ET</t>
  </si>
  <si>
    <t>AVANTIS CORE FIXED INCOME</t>
  </si>
  <si>
    <t>HCRB US Equity</t>
  </si>
  <si>
    <t>Hartford Core Bond ETF</t>
  </si>
  <si>
    <t>HARTFORD CORE BOND ETF</t>
  </si>
  <si>
    <t>IHHY AU Equity</t>
  </si>
  <si>
    <t>iShares Global High Yield Bo</t>
  </si>
  <si>
    <t>ISHARES GLB HIGH YLD BD A HG</t>
  </si>
  <si>
    <t>RMOP US Equity</t>
  </si>
  <si>
    <t>Rockefeller Opportunistic Mu</t>
  </si>
  <si>
    <t>ROCKEFELLER OPPORT MUNI ETF</t>
  </si>
  <si>
    <t>MTFF112 IT Equity</t>
  </si>
  <si>
    <t>MTF SAL 00 Tel Bond-CPI Link</t>
  </si>
  <si>
    <t>MTF SAL TELBND-CPI 1-3 IL</t>
  </si>
  <si>
    <t>GBLF CN Equity</t>
  </si>
  <si>
    <t>GuardBonds TM 1-3 Year Ladde</t>
  </si>
  <si>
    <t>CVSB US Equity</t>
  </si>
  <si>
    <t>Calvert Ultra-Short Investme</t>
  </si>
  <si>
    <t>CALVERT ULT-SHRT INV GRD ETF</t>
  </si>
  <si>
    <t>TIPS LN Equity</t>
  </si>
  <si>
    <t>SPDR Bloomberg U.S. TIPS  UC</t>
  </si>
  <si>
    <t>SPDR BBG US TIPS</t>
  </si>
  <si>
    <t>GOVI LN Equity</t>
  </si>
  <si>
    <t>PIMCO Advantage Global Gover</t>
  </si>
  <si>
    <t>PIMCO ADV GG BOND UCITS ETF</t>
  </si>
  <si>
    <t>FAMSF3 IM Equity</t>
  </si>
  <si>
    <t>FAM MS EU IS P-S X FF 1-3Y-A</t>
  </si>
  <si>
    <t>JGST LN Equity</t>
  </si>
  <si>
    <t>JPMorgan GBP Ultra-Short Inc</t>
  </si>
  <si>
    <t>JPM GBP ULTSHRT INC ACT ETF</t>
  </si>
  <si>
    <t>496020 KS Equity</t>
  </si>
  <si>
    <t>WOORI WON Short Term Bond Ac</t>
  </si>
  <si>
    <t>WOORI WON S-TERM BD ACT ETF</t>
  </si>
  <si>
    <t>EMH5 LN Equity</t>
  </si>
  <si>
    <t>SPDR ICE美银0-5年新兴市场美</t>
  </si>
  <si>
    <t>SPDR 0-5 EM USD GOVERNMENT</t>
  </si>
  <si>
    <t>IGSB US Equity</t>
  </si>
  <si>
    <t>iShares安硕1-5年投资级公司债</t>
  </si>
  <si>
    <t>ISHARES 1-5Y INV GRADE CORP</t>
  </si>
  <si>
    <t>JPST LN Equity</t>
  </si>
  <si>
    <t>JPMorgan USD Ultra-Short Inc</t>
  </si>
  <si>
    <t>JPM USD ULTSHRT INC ACT ETF</t>
  </si>
  <si>
    <t>MYMF US Equity</t>
  </si>
  <si>
    <t>State Street My2026 Municipa</t>
  </si>
  <si>
    <t>STATE STREET MY2026 MUNICIPA</t>
  </si>
  <si>
    <t>HYSRI FP Equity</t>
  </si>
  <si>
    <t>BNP Paribas Easy EUR High Yi</t>
  </si>
  <si>
    <t>BNP EASY EUR HY SRI</t>
  </si>
  <si>
    <t>511070 CH Equity</t>
  </si>
  <si>
    <t>南方上证基准做市公司债交易型</t>
  </si>
  <si>
    <t>CHIN SOUT SSE MAR COR BN ETF</t>
  </si>
  <si>
    <t>ZUS/U CN Equity</t>
  </si>
  <si>
    <t>BMO Ultra Short-Term US Bond</t>
  </si>
  <si>
    <t>BMO ULTRA SHORT-TERM US BOND</t>
  </si>
  <si>
    <t>NJNK US Equity</t>
  </si>
  <si>
    <t>Columbia US High Yield ETF</t>
  </si>
  <si>
    <t>COLUMBIA US HIGH YIELD ETF</t>
  </si>
  <si>
    <t>IS15 LN Equity</t>
  </si>
  <si>
    <t>iShares安硕英镑1-5年UCITS ET</t>
  </si>
  <si>
    <t>ISHARES GBP CORP BOND 0-5YR</t>
  </si>
  <si>
    <t>RMBS AU Equity</t>
  </si>
  <si>
    <t>Vaneck Australian RMBS ETF</t>
  </si>
  <si>
    <t>VANECK AUSTRALIAN RMBS ETF</t>
  </si>
  <si>
    <t>VGHY US Equity</t>
  </si>
  <si>
    <t>Vanguard High-Yield Active E</t>
  </si>
  <si>
    <t>VANGUARD HIGH-YIELD ACT ETF</t>
  </si>
  <si>
    <t>GBF US Equity</t>
  </si>
  <si>
    <t>iShares安硕政府信用债券ETF</t>
  </si>
  <si>
    <t>ISHARES GOVERNMENT/CREDIT BO</t>
  </si>
  <si>
    <t>YIIG3 IM Equity</t>
  </si>
  <si>
    <t>YIS 1-3 Year Italian Governm</t>
  </si>
  <si>
    <t>YIS 1-3Y ITALIAN GOVT BD</t>
  </si>
  <si>
    <t>ODHY US Equity</t>
  </si>
  <si>
    <t>Obra Defensive High Yield ET</t>
  </si>
  <si>
    <t>OBRA DEFENSIVE HIGH</t>
  </si>
  <si>
    <t>PGBF AU Equity</t>
  </si>
  <si>
    <t>PIMCO Global Bond Active ETF</t>
  </si>
  <si>
    <t>PIMCO GLOBAL BOND ACTIVE ETF</t>
  </si>
  <si>
    <t>TFLO US Equity</t>
  </si>
  <si>
    <t>iShares安硕国债浮息券ETF</t>
  </si>
  <si>
    <t>ISHARES TREASURY FLOATING RA</t>
  </si>
  <si>
    <t>FTSM US Equity</t>
  </si>
  <si>
    <t>First Trust增强型短期限ETF</t>
  </si>
  <si>
    <t>FIRST TRUST ENH SHORT MAT FD</t>
  </si>
  <si>
    <t>IBHH US Equity</t>
  </si>
  <si>
    <t>iShares iBonds 2028 Term Hig</t>
  </si>
  <si>
    <t>ISHARES IBONDS 2028 TM HY IN</t>
  </si>
  <si>
    <t>LYFR CN Equity</t>
  </si>
  <si>
    <t>Lysander-Canso Floating Rate</t>
  </si>
  <si>
    <t>LYSANDER-CANSO FLOATING RATE</t>
  </si>
  <si>
    <t>ICSH US Equity</t>
  </si>
  <si>
    <t>安硕超短期债券积极ETF</t>
  </si>
  <si>
    <t>ISHARES ULTRA SHORT DURATION</t>
  </si>
  <si>
    <t>JPST US Equity</t>
  </si>
  <si>
    <t>JPMorgan Ultra-Short Income</t>
  </si>
  <si>
    <t>JPMORGAN ULTRA-SHORT INCOME</t>
  </si>
  <si>
    <t>GBFD CN Equity</t>
  </si>
  <si>
    <t>GuardBondsTM 2027 Investment</t>
  </si>
  <si>
    <t>GIGL US Equity</t>
  </si>
  <si>
    <t>Goldman Sachs Corporate Bond</t>
  </si>
  <si>
    <t>GLDMN SCHS CORP BOND ETF</t>
  </si>
  <si>
    <t>ID26 LN Equity</t>
  </si>
  <si>
    <t>iShares iBonds Dec 2026 Term</t>
  </si>
  <si>
    <t>ISHRS IBND DEC 26 CORP</t>
  </si>
  <si>
    <t>TCPB US Equity</t>
  </si>
  <si>
    <t>Thrivent Core Plus Bond ETF</t>
  </si>
  <si>
    <t>THRIVENT CORE PLUS BOND ETF</t>
  </si>
  <si>
    <t>SCHQ US Equity</t>
  </si>
  <si>
    <t>Schwab Long-Term U.S. Treasu</t>
  </si>
  <si>
    <t>SCHWAB LONG-TERM US TREASURY</t>
  </si>
  <si>
    <t>BSCS US Equity</t>
  </si>
  <si>
    <t>Invesco BulletShares 2028 Co</t>
  </si>
  <si>
    <t>INVESCO BULLETSHARES 2028 CB</t>
  </si>
  <si>
    <t>GIL5 LN Equity</t>
  </si>
  <si>
    <t>Amundi UK Government Bond 0-</t>
  </si>
  <si>
    <t>AM UK GOV BD 0-5Y-ETF D</t>
  </si>
  <si>
    <t>BS9A LN Equity</t>
  </si>
  <si>
    <t>Invesco BulletShares 2029 US</t>
  </si>
  <si>
    <t>IVZ BULLETSHARES 2029 USD A</t>
  </si>
  <si>
    <t>DFCF US Equity</t>
  </si>
  <si>
    <t>Dimensional Core Fixed Incom</t>
  </si>
  <si>
    <t>DIMENSIONAL CORE FIXED INC</t>
  </si>
  <si>
    <t>EMNT US Equity</t>
  </si>
  <si>
    <t>PIMCO Enhanced Short Maturit</t>
  </si>
  <si>
    <t>PIMCO ENHCD ST M-ACTIVE ESG</t>
  </si>
  <si>
    <t>BND CN Equity</t>
  </si>
  <si>
    <t>Purpose Global Bond Fund</t>
  </si>
  <si>
    <t>PURPOSE GLOBAL BOND FUND</t>
  </si>
  <si>
    <t>FLTR US Equity</t>
  </si>
  <si>
    <t>范达投资级浮息债ETF</t>
  </si>
  <si>
    <t>VANECK IG FLOATING RATE ETF</t>
  </si>
  <si>
    <t>MINN US Equity</t>
  </si>
  <si>
    <t>Mairs &amp; Power Minnesota Muni</t>
  </si>
  <si>
    <t>MAIRS &amp; POWER MN MUNI BOND</t>
  </si>
  <si>
    <t>VSDB US Equity</t>
  </si>
  <si>
    <t>Vanguard Short Duration Bond</t>
  </si>
  <si>
    <t>VANGUARD SHORT DUR BOND ETF</t>
  </si>
  <si>
    <t>VCSH US Equity</t>
  </si>
  <si>
    <t>先锋领航短期公司债ETF</t>
  </si>
  <si>
    <t>VANGUARD S/T CORP BOND ETF</t>
  </si>
  <si>
    <t>BS8A LN Equity</t>
  </si>
  <si>
    <t>Invesco BulletShares 2028 US</t>
  </si>
  <si>
    <t>IVZ BULLETSHARES 2028 USD A</t>
  </si>
  <si>
    <t>FOPC US Equity</t>
  </si>
  <si>
    <t>Frontier Asset Opportunistic</t>
  </si>
  <si>
    <t>FRONTIER AST OPORT CRDIT ETF</t>
  </si>
  <si>
    <t>BS6A LN Equity</t>
  </si>
  <si>
    <t>Invesco BulletShares 2026 US</t>
  </si>
  <si>
    <t>IVZ BULLETSHARES 2026 USD A</t>
  </si>
  <si>
    <t>HISF US Equity</t>
  </si>
  <si>
    <t>第一信托策略收益ETF</t>
  </si>
  <si>
    <t>FIRST TR HI INC STRAT FOC</t>
  </si>
  <si>
    <t>UNIY US Equity</t>
  </si>
  <si>
    <t>WisdomTree Voya Yield Enhanc</t>
  </si>
  <si>
    <t>WT VOYA YLD ENH USD UNIV BND</t>
  </si>
  <si>
    <t>V3GU LN Equity</t>
  </si>
  <si>
    <t>Vanguard ESG Global Corporat</t>
  </si>
  <si>
    <t>VANG ESG GC ETF USD H ACC</t>
  </si>
  <si>
    <t>IYLD AU Equity</t>
  </si>
  <si>
    <t>iShares Yield Plus ETF</t>
  </si>
  <si>
    <t>ISHARES YIELD PLUS ETF</t>
  </si>
  <si>
    <t>STPU LN Equity</t>
  </si>
  <si>
    <t>Amundi US Curve steepening 2</t>
  </si>
  <si>
    <t>AM US CURV STEEP 2-10Y-ETF A</t>
  </si>
  <si>
    <t>LONZ US Equity</t>
  </si>
  <si>
    <t>Pimco Senior Loan Active Exc</t>
  </si>
  <si>
    <t>PIMCO SENIOR LOAN ACTIVE ETF</t>
  </si>
  <si>
    <t>VUSB US Equity</t>
  </si>
  <si>
    <t>Vanguard Ultra Short Bond ET</t>
  </si>
  <si>
    <t>VANGUARD ULTRA SHORT BOND ET</t>
  </si>
  <si>
    <t>LGOV US Equity</t>
  </si>
  <si>
    <t>First Trust Long Duration Op</t>
  </si>
  <si>
    <t>FIRST TR LONG DURATION O-ETF</t>
  </si>
  <si>
    <t>GTOS US Equity</t>
  </si>
  <si>
    <t>Invesco Short Duration Total</t>
  </si>
  <si>
    <t>INVESCO SHORT DURATION TOTAL</t>
  </si>
  <si>
    <t>QEBH CN Equity</t>
  </si>
  <si>
    <t>Mackenzie Emerging Markets B</t>
  </si>
  <si>
    <t>MACKENZIE EM MKT BND CAD-HDG</t>
  </si>
  <si>
    <t>RXPXEX GR Equity</t>
  </si>
  <si>
    <t>ISH EB.REXX GVTGRMNY10.5 DE</t>
  </si>
  <si>
    <t>BSMR US Equity</t>
  </si>
  <si>
    <t>Invesco BulletShares 2027 Mu</t>
  </si>
  <si>
    <t>INVESCO BULLETSHARES 2027 MB</t>
  </si>
  <si>
    <t>3436 HK Equity</t>
  </si>
  <si>
    <t>HANG SENG CMS BLOOMBERG US T</t>
  </si>
  <si>
    <t>HS CMS BBG UST 1-3Y IDX ETF</t>
  </si>
  <si>
    <t>BBBI US Equity</t>
  </si>
  <si>
    <t>BondBloxx BBB Rated 5-10 Yea</t>
  </si>
  <si>
    <t>BBLX BBB  5-10Y CORPBOND ETF</t>
  </si>
  <si>
    <t>EMHC US Equity</t>
  </si>
  <si>
    <t>State Street SPDR Bloomberg</t>
  </si>
  <si>
    <t>SS SPDR BB EM USD BOND ETF</t>
  </si>
  <si>
    <t>159116 CH Equity</t>
  </si>
  <si>
    <t>工银瑞信中证AAA科技创新公司</t>
  </si>
  <si>
    <t>IC UB CS AA SC-TC IN CR ETF</t>
  </si>
  <si>
    <t>VUSI US Equity</t>
  </si>
  <si>
    <t>Voya Ultra Short Income ETF</t>
  </si>
  <si>
    <t>VOYA ULTRA SHORT INCOME ETF</t>
  </si>
  <si>
    <t>RAVI US Equity</t>
  </si>
  <si>
    <t>FlexShares超短期收益型基金</t>
  </si>
  <si>
    <t>FLEXSHARES ULTRA-SHORT INCOM</t>
  </si>
  <si>
    <t>ZTWO US Equity</t>
  </si>
  <si>
    <t>F/m 2-Year Investment Grade</t>
  </si>
  <si>
    <t>F/M 2-YEAR INV G CORP B ETF</t>
  </si>
  <si>
    <t>VCF AU Equity</t>
  </si>
  <si>
    <t>Vanguard International Credi</t>
  </si>
  <si>
    <t>VANGUARD INTL CR SEC IN HEDG</t>
  </si>
  <si>
    <t>VGLT US Equity</t>
  </si>
  <si>
    <t>领航长期国债ETF</t>
  </si>
  <si>
    <t>VANGUARD LONG-TERM TREASURY</t>
  </si>
  <si>
    <t>IAF AU Equity</t>
  </si>
  <si>
    <t>iShares安硕核心综合债券ETF基</t>
  </si>
  <si>
    <t>ISHARES CORE COMPOSITE BOND</t>
  </si>
  <si>
    <t>XSMB CN Equity</t>
  </si>
  <si>
    <t>iShares Core Canadian Short-</t>
  </si>
  <si>
    <t>ISHR CR CA S-M TRM U B I ETF</t>
  </si>
  <si>
    <t>PSGF13 IT Equity</t>
  </si>
  <si>
    <t>IBI SAL 00 Tel-Bond 40 IL</t>
  </si>
  <si>
    <t>IBI SAL 00 TEL-BOND 40 IL</t>
  </si>
  <si>
    <t>UYLD US Equity</t>
  </si>
  <si>
    <t>Angel Oak Ultrashort Income</t>
  </si>
  <si>
    <t>ANGEL OAK ULTRASHORT INCOME</t>
  </si>
  <si>
    <t>USTB US Equity</t>
  </si>
  <si>
    <t>VictoryShares Short-Term Bon</t>
  </si>
  <si>
    <t>VICTORYSHARES SHORT-TERM BON</t>
  </si>
  <si>
    <t>BEMB US Equity</t>
  </si>
  <si>
    <t>iShares J.P. Morgan Broad US</t>
  </si>
  <si>
    <t>ISHARES JPM BRD USD EM B ETF</t>
  </si>
  <si>
    <t>IGLT LN Equity</t>
  </si>
  <si>
    <t>iShares安硕核心英国金边债券U</t>
  </si>
  <si>
    <t>ISHARES CORE UK GILTS</t>
  </si>
  <si>
    <t>QSIG US Equity</t>
  </si>
  <si>
    <t>WisdomTree US Short Term Cor</t>
  </si>
  <si>
    <t>WISDOMTREE US SHORT TERM COR</t>
  </si>
  <si>
    <t>SPTL US Equity</t>
  </si>
  <si>
    <t>道富SPDR投资组合长期国债ETF</t>
  </si>
  <si>
    <t>SS SPDR PF LNG TRM TSY E-USD</t>
  </si>
  <si>
    <t>STRT CN Equity</t>
  </si>
  <si>
    <t>Manulife Strategic Income ET</t>
  </si>
  <si>
    <t>MANULIFE STRATEGC INC FD ETF</t>
  </si>
  <si>
    <t>USBD GR Equity</t>
  </si>
  <si>
    <t>AM GBL CORP BD ETF USD H C</t>
  </si>
  <si>
    <t>BKUI US Equity</t>
  </si>
  <si>
    <t>BNY Mellon Ultra Short Incom</t>
  </si>
  <si>
    <t>BNY MELLON ULTR SHRT INC ETF</t>
  </si>
  <si>
    <t>TYLD US Equity</t>
  </si>
  <si>
    <t>Cambria Tactical Yield ETF</t>
  </si>
  <si>
    <t>CAMBRIA TACTICAL YIELD ETF</t>
  </si>
  <si>
    <t>IUSB US Equity</t>
  </si>
  <si>
    <t>安硕核心全市场美元债券ETF</t>
  </si>
  <si>
    <t>ISHR CR UNVRSE USD BD ETF-UI</t>
  </si>
  <si>
    <t>GMOC US Equity</t>
  </si>
  <si>
    <t>GMO Ultra-Short Income ETF</t>
  </si>
  <si>
    <t>GMO ULTRA-SHORT INCOME ETF</t>
  </si>
  <si>
    <t>HYS IM Equity</t>
  </si>
  <si>
    <t>Amundi EUR Short Term High Y</t>
  </si>
  <si>
    <t>AMDI EUR ST HY CORP ESG INC</t>
  </si>
  <si>
    <t>SCHZ US Equity</t>
  </si>
  <si>
    <t>Schwab美国综合债券ETF</t>
  </si>
  <si>
    <t>SCHWAB US AGGREGATE BOND ETF</t>
  </si>
  <si>
    <t>PCMM US Equity</t>
  </si>
  <si>
    <t>BondBloxx Private Credit CLO</t>
  </si>
  <si>
    <t>BBLX PRIVATE CREDIT CLO ETF</t>
  </si>
  <si>
    <t>EIB3 GR Equity</t>
  </si>
  <si>
    <t>INVESCO EUR GOV BOND 1-3</t>
  </si>
  <si>
    <t>CTIP CN Equity</t>
  </si>
  <si>
    <t>CI US Treasury Inflation-Lin</t>
  </si>
  <si>
    <t>CI US TREASURY INFLATION-LIN</t>
  </si>
  <si>
    <t>SLSC CN Equity</t>
  </si>
  <si>
    <t>SUN Life Crescent Specialty</t>
  </si>
  <si>
    <t>SUN LIFE CRES SPEC PRV PL-F</t>
  </si>
  <si>
    <t>SPSB US Equity</t>
  </si>
  <si>
    <t>道富SPDR投资组合短期公司债ET</t>
  </si>
  <si>
    <t>SS SPDR P ST C CORP ETF</t>
  </si>
  <si>
    <t>SUSC LN Equity</t>
  </si>
  <si>
    <t>SPDR Bloomberg 0-3 Year U.S.</t>
  </si>
  <si>
    <t>SPDR BBG 0-3 US CORPORATE</t>
  </si>
  <si>
    <t>HYDW US Equity</t>
  </si>
  <si>
    <t>Xtrackers Low Beta High Yiel</t>
  </si>
  <si>
    <t>XTRS LOW BETA HI YIELD ETF</t>
  </si>
  <si>
    <t>DMX US Equity</t>
  </si>
  <si>
    <t>DoubleLine Multi-Sector Inco</t>
  </si>
  <si>
    <t>DOUBLELINE MULTI-SEC INC ETF</t>
  </si>
  <si>
    <t>PSQO US Equity</t>
  </si>
  <si>
    <t>Palmer Square Credit Opportu</t>
  </si>
  <si>
    <t>PLMR SQ CREDIT OPP ETF</t>
  </si>
  <si>
    <t>GEU3C FP Equity</t>
  </si>
  <si>
    <t>BNP JP ES EM GB 1-3 UE-UE EA</t>
  </si>
  <si>
    <t>SJLD US Equity</t>
  </si>
  <si>
    <t>Sanjac Alpha Low Duration Et</t>
  </si>
  <si>
    <t>SANJAC ALPH LOW DUR ETF</t>
  </si>
  <si>
    <t>STOT US Equity</t>
  </si>
  <si>
    <t>State Street DoubleLine Shor</t>
  </si>
  <si>
    <t>SS DL ST DUR TR TACT ETF</t>
  </si>
  <si>
    <t>LDRI US Equity</t>
  </si>
  <si>
    <t>iShares iBonds 1-5 Year Tips</t>
  </si>
  <si>
    <t>ISHRS IB 1-5 YEAR TIPS L ETF</t>
  </si>
  <si>
    <t>EUCL GR Equity</t>
  </si>
  <si>
    <t>iShares EUR AAA CLO Active U</t>
  </si>
  <si>
    <t>ISHARES EUR AAA CLO ACT ETF</t>
  </si>
  <si>
    <t>FLOT US Equity</t>
  </si>
  <si>
    <t>iShares安硕浮息债券ETF</t>
  </si>
  <si>
    <t>ISHARES FLOATING RATE BOND E</t>
  </si>
  <si>
    <t>DABS US Equity</t>
  </si>
  <si>
    <t>DoubleLine Asset-Backed Secu</t>
  </si>
  <si>
    <t>DOUBLELINE ASSET-BACKED ETF</t>
  </si>
  <si>
    <t>IU29 NA Equity</t>
  </si>
  <si>
    <t>ISHARES IBOND D29 HY CRP ETF</t>
  </si>
  <si>
    <t>MA13 FP Equity</t>
  </si>
  <si>
    <t>AM EU HR M-W G BD 1-3Y-ETF A</t>
  </si>
  <si>
    <t>CFIUSDE CI Equity</t>
  </si>
  <si>
    <t>Fondo De Inversion Etf Singu</t>
  </si>
  <si>
    <t>FI ETF SINGULAR CORTA D USD</t>
  </si>
  <si>
    <t>NEAR US Equity</t>
  </si>
  <si>
    <t>iShares短久期债券积极ETF</t>
  </si>
  <si>
    <t>ISHARES SH DBA ETF USD INC</t>
  </si>
  <si>
    <t>IBIC US Equity</t>
  </si>
  <si>
    <t>iShares iBonds Oct 2026 Term</t>
  </si>
  <si>
    <t>ISHARES IBONDS OCT 2026 TT</t>
  </si>
  <si>
    <t>ADFI US Equity</t>
  </si>
  <si>
    <t>Anfield Dynamic Fixed Income</t>
  </si>
  <si>
    <t>ANFIELD DYNAMIC FIXED INCOME</t>
  </si>
  <si>
    <t>MUSD/U CN Equity</t>
  </si>
  <si>
    <t>US Premium Cash Management F</t>
  </si>
  <si>
    <t>US PREMIUM CASH MANAGEM ETF</t>
  </si>
  <si>
    <t>MYCK US Equity</t>
  </si>
  <si>
    <t>State Street My2031 Corporat</t>
  </si>
  <si>
    <t>STATE STREET MY2031 CORPORAT</t>
  </si>
  <si>
    <t>PAB US Equity</t>
  </si>
  <si>
    <t>PGIM Active Aggregate Bond E</t>
  </si>
  <si>
    <t>PGIM ACT AGGRG BOND ETF</t>
  </si>
  <si>
    <t>DBND US Equity</t>
  </si>
  <si>
    <t>DoubleLine Opportunistic Cor</t>
  </si>
  <si>
    <t>DOUBLELINE OPPOR COR BND-USD</t>
  </si>
  <si>
    <t>DXG3 IM Equity</t>
  </si>
  <si>
    <t>ADX MSCI ER GOVERN BD 1-3-XE</t>
  </si>
  <si>
    <t>VDUC LN Equity</t>
  </si>
  <si>
    <t>Vanguard USD Corporate 1-3 Y</t>
  </si>
  <si>
    <t>VAND USDCP1-3 USDD</t>
  </si>
  <si>
    <t>551550 CH Equity</t>
  </si>
  <si>
    <t>华夏中证AAA科技创新公司债交</t>
  </si>
  <si>
    <t>CHINAAMC CSI AAA ST INN ETF</t>
  </si>
  <si>
    <t>BNDC US Equity</t>
  </si>
  <si>
    <t>Flexshares Core Select Bond</t>
  </si>
  <si>
    <t>FLEXSHARES CORE SELECT BOND</t>
  </si>
  <si>
    <t>CCRP US Equity</t>
  </si>
  <si>
    <t>Columbia Corporate Bond ETF</t>
  </si>
  <si>
    <t>COLUMBIA CORPORATE BOND ETF</t>
  </si>
  <si>
    <t>NUBD US Equity</t>
  </si>
  <si>
    <t>Nuveen ESG US Aggregate Bond</t>
  </si>
  <si>
    <t>NUVEEN ESG US AGGREGATE BOND</t>
  </si>
  <si>
    <t>FLDB US Equity</t>
  </si>
  <si>
    <t>Fidelity Low Duration Bond E</t>
  </si>
  <si>
    <t>FIDELITY LOW DURAT BND ETF</t>
  </si>
  <si>
    <t>PR CN Equity</t>
  </si>
  <si>
    <t>Lysander-Slater Preferred Sh</t>
  </si>
  <si>
    <t>LYSANDER-SLATER PFD SHARE</t>
  </si>
  <si>
    <t>CSHP US Equity</t>
  </si>
  <si>
    <t>iShares Enhanced Short-Term</t>
  </si>
  <si>
    <t>ISHARES ENHANCED STBA ETF</t>
  </si>
  <si>
    <t>AMUN US Equity</t>
  </si>
  <si>
    <t>abrdn Ultra Short Municipal</t>
  </si>
  <si>
    <t>ABRDN US MUNI A ETF</t>
  </si>
  <si>
    <t>UTHY US Equity</t>
  </si>
  <si>
    <t>F/m US Treasury 30 Year Bond</t>
  </si>
  <si>
    <t>F/M US TREASURY 30 YEAR BOND</t>
  </si>
  <si>
    <t>TPLS US Equity</t>
  </si>
  <si>
    <t>Thornburg Core Plus Bond ETF</t>
  </si>
  <si>
    <t>THORNBURG CORE PLUS BOND ETF</t>
  </si>
  <si>
    <t>FHIS CN Equity</t>
  </si>
  <si>
    <t>Franklin Canadian Ultra Shor</t>
  </si>
  <si>
    <t>FRANKLIN CANAD ULT SHT BD FD</t>
  </si>
  <si>
    <t>PULT US Equity</t>
  </si>
  <si>
    <t>Putnam ESG Ultra Short ETF</t>
  </si>
  <si>
    <t>PUTNAM ESG ULTRA SHORT ETF</t>
  </si>
  <si>
    <t>XYP1 GR Equity</t>
  </si>
  <si>
    <t>X IBOXX EURZ GOV YP 1-3 1C</t>
  </si>
  <si>
    <t>SLQD US Equity</t>
  </si>
  <si>
    <t>安硕0-5年投资级别公司债券ETF</t>
  </si>
  <si>
    <t>ISHARES 0-5 YR INV GRD CORP</t>
  </si>
  <si>
    <t>RXP1EX GR Equity</t>
  </si>
  <si>
    <t>ISHARES GVT DE 1.5-2.5 EUR D</t>
  </si>
  <si>
    <t>LYCT CN Equity</t>
  </si>
  <si>
    <t>Lysander-Canso Corporate Tre</t>
  </si>
  <si>
    <t>LYSANDER-CANSO CORP TREAS AC</t>
  </si>
  <si>
    <t>PTRB US Equity</t>
  </si>
  <si>
    <t>PGIM Total Return Bond ETF</t>
  </si>
  <si>
    <t>PGIM TOTAL RETURN BOND ETF</t>
  </si>
  <si>
    <t>SPPC GR Equity</t>
  </si>
  <si>
    <t>State Street Blackstone Euro</t>
  </si>
  <si>
    <t>SS BX EUR AAA CLO ETF</t>
  </si>
  <si>
    <t>CTBC CN Equity</t>
  </si>
  <si>
    <t>CIBC 2027 Investment Grade B</t>
  </si>
  <si>
    <t>YFFI US Equity</t>
  </si>
  <si>
    <t>Indexperts Yield Focused Fix</t>
  </si>
  <si>
    <t>INDEXPERTS YIELD FFI ETF</t>
  </si>
  <si>
    <t>475270 KS Equity</t>
  </si>
  <si>
    <t>KIM ACE May Rollover Corpora</t>
  </si>
  <si>
    <t>KIM ACE MAY ROLLV CORP BD AC</t>
  </si>
  <si>
    <t>RMCA US Equity</t>
  </si>
  <si>
    <t>Rockefeller California Munic</t>
  </si>
  <si>
    <t>ROCKEFELLER CA MUNI BND ETF</t>
  </si>
  <si>
    <t>IGEB US Equity</t>
  </si>
  <si>
    <t>iShares Investment Grade Sys</t>
  </si>
  <si>
    <t>ISHARES INVESTMENT GRADE SYS</t>
  </si>
  <si>
    <t>MYCG US Equity</t>
  </si>
  <si>
    <t>State Street My2027 Corporat</t>
  </si>
  <si>
    <t>STATE STREET MY2027 CORPORAT</t>
  </si>
  <si>
    <t>IBTG US Equity</t>
  </si>
  <si>
    <t>ISHARES IBONDS DEC 2026 TERM</t>
  </si>
  <si>
    <t>AGVT AU Equity</t>
  </si>
  <si>
    <t>Betashares Australian Govern</t>
  </si>
  <si>
    <t>BETASHARES AUS GOV BOND ETF</t>
  </si>
  <si>
    <t>SYSB US Equity</t>
  </si>
  <si>
    <t>iShares Systematic Bond ETF</t>
  </si>
  <si>
    <t>ISHARES SYSTEMATIC BOND ETF</t>
  </si>
  <si>
    <t>VCEB US Equity</t>
  </si>
  <si>
    <t>Vanguard ESG U.S. Corporate</t>
  </si>
  <si>
    <t>VANGUARD ESG US CORP BOND</t>
  </si>
  <si>
    <t>TRPA US Equity</t>
  </si>
  <si>
    <t>Hartford AAA CLO ETF</t>
  </si>
  <si>
    <t>HARTFORD AAA CLO ETF</t>
  </si>
  <si>
    <t>OACP US Equity</t>
  </si>
  <si>
    <t>OneAscent Core Plus Bond ETF</t>
  </si>
  <si>
    <t>ONEASCENT CORE PLUS BOND ETF</t>
  </si>
  <si>
    <t>473440 KS Equity</t>
  </si>
  <si>
    <t>KIM ACE Nov Rollover Corpora</t>
  </si>
  <si>
    <t>KIM ACE NOV ROLL CBOND ACT</t>
  </si>
  <si>
    <t>JPGB AU Equity</t>
  </si>
  <si>
    <t>JPMorgan Global Bond Active</t>
  </si>
  <si>
    <t>JPM GBL BOND ACT ETF AUD INC</t>
  </si>
  <si>
    <t>FEIG US Equity</t>
  </si>
  <si>
    <t>FlexShares ESG &amp; Climate Inv</t>
  </si>
  <si>
    <t>FLEXSHARES ESG IG CORP CORE</t>
  </si>
  <si>
    <t>PMNT CN Equity</t>
  </si>
  <si>
    <t>Pimco Global Short Maturity</t>
  </si>
  <si>
    <t>PIMCO GLOBAL SHORT MTY FUND</t>
  </si>
  <si>
    <t>XB28 GR Equity</t>
  </si>
  <si>
    <t>X TARGET MAT 28 EUR CORP 1D</t>
  </si>
  <si>
    <t>DEED US Equity</t>
  </si>
  <si>
    <t>First Trust Securitized Plus</t>
  </si>
  <si>
    <t>FIRST TRUST SECURITIZED PLUS</t>
  </si>
  <si>
    <t>ERND LN Equity</t>
  </si>
  <si>
    <t>iShares安硕美元超短债券UCITS</t>
  </si>
  <si>
    <t>ZFS CN Equity</t>
  </si>
  <si>
    <t>BMO短期联邦债券指数ETF</t>
  </si>
  <si>
    <t>BMO SHORT FEDERAL BOND INDEX</t>
  </si>
  <si>
    <t>XSTH CN Equity</t>
  </si>
  <si>
    <t>iShares 0-5 Year TIPS Bond I</t>
  </si>
  <si>
    <t>ISHARES 0-5 YR TIPS CAD-HDG</t>
  </si>
  <si>
    <t>GUMI US Equity</t>
  </si>
  <si>
    <t>Goldman Sachs Ultra Short Mu</t>
  </si>
  <si>
    <t>ULTRA SHORT MUNICIPAL INCOME</t>
  </si>
  <si>
    <t>MEAR US Equity</t>
  </si>
  <si>
    <t>iShares Short Maturity Munic</t>
  </si>
  <si>
    <t>ISHRS SHORT MAT MUNI ACT ETF</t>
  </si>
  <si>
    <t>SCUS US Equity</t>
  </si>
  <si>
    <t>Schwab Ultra-Short Income ET</t>
  </si>
  <si>
    <t>SCHWAB ULTRA-SHORT INC ETF</t>
  </si>
  <si>
    <t>PCS US Equity</t>
  </si>
  <si>
    <t>PGIM Corporate Bond 0-5 Year</t>
  </si>
  <si>
    <t>PGIM CORP BOND 0-5 YEAR ETF</t>
  </si>
  <si>
    <t>FM27 FP Equity</t>
  </si>
  <si>
    <t>Amundi Fixed Maturity 2027 E</t>
  </si>
  <si>
    <t>AMDI FX2027 EUGOVBB  ACC</t>
  </si>
  <si>
    <t>FLCO US Equity</t>
  </si>
  <si>
    <t>Franklin Investment Grade Co</t>
  </si>
  <si>
    <t>FRANKLIN INVESTMENT GRADE CO</t>
  </si>
  <si>
    <t>KSMF205 IT Equity</t>
  </si>
  <si>
    <t>KSM TEL BOND-CPI LINKED A</t>
  </si>
  <si>
    <t>BOND AU Equity</t>
  </si>
  <si>
    <t>State Street SPDR S&amp;P/ASX iB</t>
  </si>
  <si>
    <t>STSR SPDR S&amp;P/AS IBAU BD ETF</t>
  </si>
  <si>
    <t>AGGA US Equity</t>
  </si>
  <si>
    <t>EA Astoria Dynamic Core US F</t>
  </si>
  <si>
    <t>EA AS DY CR US FI IN ETF-USD</t>
  </si>
  <si>
    <t>X13G FP Equity</t>
  </si>
  <si>
    <t>AM EURO LR IG GV BD 1-3Y ACC</t>
  </si>
  <si>
    <t>SGIG LN Equity</t>
  </si>
  <si>
    <t>Schroder Global Investment G</t>
  </si>
  <si>
    <t>SCH GLO INV GR CB AC UCI ETF</t>
  </si>
  <si>
    <t>PSGF22 IT Equity</t>
  </si>
  <si>
    <t>IBI SAL 00 TEL BOND-CPI LN A</t>
  </si>
  <si>
    <t>QIG US Equity</t>
  </si>
  <si>
    <t>WisdomTree US Corporate Bond</t>
  </si>
  <si>
    <t>WISDOMTREE US CORPORATE BOND</t>
  </si>
  <si>
    <t>PCY US Equity</t>
  </si>
  <si>
    <t>景顺新兴市场主权债ETF</t>
  </si>
  <si>
    <t>INVESCO EMERGING MARKETS SOV</t>
  </si>
  <si>
    <t>ZTRE US Equity</t>
  </si>
  <si>
    <t>F/m 3-Year Investment Grade</t>
  </si>
  <si>
    <t>F/M 3-YEAR INV GR CORP B ETF</t>
  </si>
  <si>
    <t>MYCM US Equity</t>
  </si>
  <si>
    <t>State Street My2033 Corporat</t>
  </si>
  <si>
    <t>STATE STREET MY2033 CORPORAT</t>
  </si>
  <si>
    <t>SKOR US Equity</t>
  </si>
  <si>
    <t>FLEXSHARES CREDIT-SCORED US</t>
  </si>
  <si>
    <t>SMTH US Equity</t>
  </si>
  <si>
    <t>Alps Smith Core Plus Bond ET</t>
  </si>
  <si>
    <t>ALPS SMTH COR BD PLUS ETF</t>
  </si>
  <si>
    <t>IBDX US Equity</t>
  </si>
  <si>
    <t>ISHARES IBONDS DEC 2032 TC</t>
  </si>
  <si>
    <t>488980 KS Equity</t>
  </si>
  <si>
    <t>Shinhan SOL 26-12 Credit Bon</t>
  </si>
  <si>
    <t>SH 26-12 CRDT BD AA- ACT ETF</t>
  </si>
  <si>
    <t>BIL US Equity</t>
  </si>
  <si>
    <t>道富SPDR彭博1-3个月美国国库</t>
  </si>
  <si>
    <t>SS SPDR BB 1-3M T-BILL ETF</t>
  </si>
  <si>
    <t>HRLF13 IT Equity</t>
  </si>
  <si>
    <t>Harel Sal 00 Tel Bond 40</t>
  </si>
  <si>
    <t>HAREL SAL 00 TEL BOND 40</t>
  </si>
  <si>
    <t>HTAB US Equity</t>
  </si>
  <si>
    <t>Hartford Schroders Tax-Aware</t>
  </si>
  <si>
    <t>HARTFORD SCHRODERS TAX AWARE</t>
  </si>
  <si>
    <t>LWGB GR Equity</t>
  </si>
  <si>
    <t>Amundi Euro Government Low D</t>
  </si>
  <si>
    <t>AM EUR GOV LD GR BD UCITS C</t>
  </si>
  <si>
    <t>KSMF148 IT Equity</t>
  </si>
  <si>
    <t>KSM ETF 00 Short Tel Bond-Yi</t>
  </si>
  <si>
    <t>KSM ETF SHO TEL-YLD</t>
  </si>
  <si>
    <t>BBBS US Equity</t>
  </si>
  <si>
    <t>BondBloxx BBB Rated 1-5 Year</t>
  </si>
  <si>
    <t>BBLX BBB 1-5Y CORP BOND ETF</t>
  </si>
  <si>
    <t>IBDV US Equity</t>
  </si>
  <si>
    <t>ISHARES IBONDS DEC 2030 CORP</t>
  </si>
  <si>
    <t>SPAB US Equity</t>
  </si>
  <si>
    <t>道富SPDR投资组合综合债券ETF</t>
  </si>
  <si>
    <t>SS SPDR P AGG BOND ETF</t>
  </si>
  <si>
    <t>THFSX I2 Equity</t>
  </si>
  <si>
    <t>Janus Henderson Global High</t>
  </si>
  <si>
    <t>JH FA HY PAB SEKH A</t>
  </si>
  <si>
    <t>ZHOG US Equity</t>
  </si>
  <si>
    <t>F/m Opportunistic Income ETF</t>
  </si>
  <si>
    <t>F/M OPPORTUNISTIC INC</t>
  </si>
  <si>
    <t>RUST CN Equity</t>
  </si>
  <si>
    <t>RBC Canadian Ultra Short Ter</t>
  </si>
  <si>
    <t>RBC CA ULTRA SRT TERM BD ETF</t>
  </si>
  <si>
    <t>IIGD US Equity</t>
  </si>
  <si>
    <t>Invesco Investment Grade Def</t>
  </si>
  <si>
    <t>INVESCO INV GRADE DEFENSIVE</t>
  </si>
  <si>
    <t>AGG US Equity</t>
  </si>
  <si>
    <t>iShares安硕核心美国综合债券E</t>
  </si>
  <si>
    <t>ISHARES CORE U.S. AGGREGATE</t>
  </si>
  <si>
    <t>KSMF218 IT Equity</t>
  </si>
  <si>
    <t>KSM ETF TEL-BCL AA-AAA IL</t>
  </si>
  <si>
    <t>GXIG US Equity</t>
  </si>
  <si>
    <t>Global X Investment Grade Co</t>
  </si>
  <si>
    <t>GLOBAL X IG CORP BOND ETF</t>
  </si>
  <si>
    <t>LIAE US Equity</t>
  </si>
  <si>
    <t>LifeX 2050 Inflation-Protect</t>
  </si>
  <si>
    <t>LIFEX 2050 INF-PRT LONG-INC</t>
  </si>
  <si>
    <t>MYCF US Equity</t>
  </si>
  <si>
    <t>State Street My2026 Corporat</t>
  </si>
  <si>
    <t>STATE STREET MY2026 CORPORAT</t>
  </si>
  <si>
    <t>ARCM US Equity</t>
  </si>
  <si>
    <t>Arrow Reserve Capital Manage</t>
  </si>
  <si>
    <t>ARROW RESERVE CAP MGMT ETF</t>
  </si>
  <si>
    <t>SGOV US Equity</t>
  </si>
  <si>
    <t>iShares 0-3 Month Treasury B</t>
  </si>
  <si>
    <t>ISHARES 0-3 MONTH TREASURY B</t>
  </si>
  <si>
    <t>BTOT US Equity</t>
  </si>
  <si>
    <t>iShares Total USD Fixed Inco</t>
  </si>
  <si>
    <t>ISHARES TOTL USD F I MAR ETF</t>
  </si>
  <si>
    <t>159115 CH Equity</t>
  </si>
  <si>
    <t>华安中证AAA科技创新公司债交</t>
  </si>
  <si>
    <t>HUAAN CSI A S-T INC B ETF</t>
  </si>
  <si>
    <t>CPAG US Equity</t>
  </si>
  <si>
    <t>F/m Compoundr U.S. Aggregate</t>
  </si>
  <si>
    <t>F/M COM US AGG BOND ETF</t>
  </si>
  <si>
    <t>XBAT GR Equity</t>
  </si>
  <si>
    <t>Xtrackers II目标到期日2029年</t>
  </si>
  <si>
    <t>XTM ITSP 29 1C</t>
  </si>
  <si>
    <t>XIG CN Equity</t>
  </si>
  <si>
    <t>iShares安硕美国投资级公司债</t>
  </si>
  <si>
    <t>ISHARES U.S. IG CORPORATE BO</t>
  </si>
  <si>
    <t>BSCW US Equity</t>
  </si>
  <si>
    <t>Invesco BulletShares 2032 Co</t>
  </si>
  <si>
    <t>INVESCO BULLETSHARES 2032 CB</t>
  </si>
  <si>
    <t>LFBE US Equity</t>
  </si>
  <si>
    <t>LifeX 2065 Longevity Income</t>
  </si>
  <si>
    <t>LIFEX 2065 LONGEVITY INCOME</t>
  </si>
  <si>
    <t>TRSY US Equity</t>
  </si>
  <si>
    <t>Xtrackers US 0-1 Year Treasu</t>
  </si>
  <si>
    <t>XTRACKERS US 0-1 YR TREASURY</t>
  </si>
  <si>
    <t>29BB AU Equity</t>
  </si>
  <si>
    <t>Betashares 2029 Fixed Term C</t>
  </si>
  <si>
    <t>BS 2029 FT CORP BOND ETF</t>
  </si>
  <si>
    <t>SDFI US Equity</t>
  </si>
  <si>
    <t>AB Short Duration Income ETF</t>
  </si>
  <si>
    <t>AB SHORT DURATION INCOME ETF</t>
  </si>
  <si>
    <t>GCOR US Equity</t>
  </si>
  <si>
    <t>Goldman Sachs Access US Aggr</t>
  </si>
  <si>
    <t>GOLDMAN SACHS ACCESS US AGG</t>
  </si>
  <si>
    <t>RQO CN Equity</t>
  </si>
  <si>
    <t>RBC Target 2026 Canadian Cor</t>
  </si>
  <si>
    <t>RBC TAR 26 CAN COR BO IN ETF</t>
  </si>
  <si>
    <t>KSMFK1 IT Equity</t>
  </si>
  <si>
    <t>KSM ETF 00 KOSHER Tel Bond-6</t>
  </si>
  <si>
    <t>KSM ETF 00 KSR TB-60 CPI LNK</t>
  </si>
  <si>
    <t>CPLS US Equity</t>
  </si>
  <si>
    <t>AB Core Plus Bond ETF</t>
  </si>
  <si>
    <t>AB CORE PLUS BOND ETF</t>
  </si>
  <si>
    <t>COEMUA1 ID Equity</t>
  </si>
  <si>
    <t>CO Eurizon SLJ EM Bond Strat</t>
  </si>
  <si>
    <t>CO ER SLJ EM UCITS ETF-A1EUR</t>
  </si>
  <si>
    <t>PAYS CN Equity</t>
  </si>
  <si>
    <t>Global X Short-Term Governme</t>
  </si>
  <si>
    <t>GLOBAL X SHORT-TERM GBPY ETF</t>
  </si>
  <si>
    <t>CGCB US Equity</t>
  </si>
  <si>
    <t>Capital Group Core Bond ETF</t>
  </si>
  <si>
    <t>CAP GROUP CORE BOND</t>
  </si>
  <si>
    <t>OPER US Equity</t>
  </si>
  <si>
    <t>Clearshares Ultra-Short Matu</t>
  </si>
  <si>
    <t>CLEARSHARES ULTRA-SHORT MATU</t>
  </si>
  <si>
    <t>LFDR US Equity</t>
  </si>
  <si>
    <t>LifeX Durable Income ETF</t>
  </si>
  <si>
    <t>LIFEX DURABLE INCOME ETF</t>
  </si>
  <si>
    <t>GLTS LN Equity</t>
  </si>
  <si>
    <t>SPDR彭博1-5年金边债UCITS ETF</t>
  </si>
  <si>
    <t>SPDR BBG 1-5 GILT</t>
  </si>
  <si>
    <t>GBP5 LN Equity</t>
  </si>
  <si>
    <t>L&amp;G GBP Corporate Bond 0-5 Y</t>
  </si>
  <si>
    <t>L&amp;G GBP COR BD0-5Y SC UC-GBP</t>
  </si>
  <si>
    <t>UEF6 GR Equity</t>
  </si>
  <si>
    <t>瑞银卢森堡基金解决方案-彭博</t>
  </si>
  <si>
    <t>UBS ETF B. EUR AR.LIQ.C. 1-5</t>
  </si>
  <si>
    <t>491230 KS Equity</t>
  </si>
  <si>
    <t>Hanwha PLUS Government Bonds</t>
  </si>
  <si>
    <t>HW PLUS GOV BOND MM ACT ETF</t>
  </si>
  <si>
    <t>TAGG US Equity</t>
  </si>
  <si>
    <t>T Rowe Price QM US Bond ETF</t>
  </si>
  <si>
    <t>T ROWE PRICE QM US BOND ETF</t>
  </si>
  <si>
    <t>GSIG US Equity</t>
  </si>
  <si>
    <t>GOLDMAN SACHS ACCESS INVESTM</t>
  </si>
  <si>
    <t>SCHI US Equity</t>
  </si>
  <si>
    <t>Schwab 5-10 Year Corporate B</t>
  </si>
  <si>
    <t>SCHWAB 5-10 YEAR CORPORATE B</t>
  </si>
  <si>
    <t>US03 NA Equity</t>
  </si>
  <si>
    <t>iShares USD Treasury Bond 0-</t>
  </si>
  <si>
    <t>ISHARES TREASURY BOND 0-3</t>
  </si>
  <si>
    <t>HBKU LN Equity</t>
  </si>
  <si>
    <t>HSBC Global Funds ICAV - Glo</t>
  </si>
  <si>
    <t>HSBC ICAV GLOBAL SUKUK ETF</t>
  </si>
  <si>
    <t>SHAG US Equity</t>
  </si>
  <si>
    <t>Wisdomtree Yield Enhanced US</t>
  </si>
  <si>
    <t>WSDMTREE YLD EN US ST AGG</t>
  </si>
  <si>
    <t>MORES10 IT Equity</t>
  </si>
  <si>
    <t>MORE SAL 00 Tel Bond 60 IL</t>
  </si>
  <si>
    <t>MORE SAL TEL BOND 60</t>
  </si>
  <si>
    <t>CSHI US Equity</t>
  </si>
  <si>
    <t>NEOS Enhanced Income 1-3 Mon</t>
  </si>
  <si>
    <t>NEOS ENHANCED INCOME 1-3 MON</t>
  </si>
  <si>
    <t>IGIB US Equity</t>
  </si>
  <si>
    <t>iShares安硕5-10年投资级公司</t>
  </si>
  <si>
    <t>ISHARES 5-10Y INV GRADE CORP</t>
  </si>
  <si>
    <t>EHYA NA Equity</t>
  </si>
  <si>
    <t>ISHARES EUR HIGH YIELD CORP</t>
  </si>
  <si>
    <t>0122W0 KS Equity</t>
  </si>
  <si>
    <t>KB RISE Nov2026 Term Credit</t>
  </si>
  <si>
    <t>KB RISE NOV2026 TERM CREDIT</t>
  </si>
  <si>
    <t>MYCN US Equity</t>
  </si>
  <si>
    <t>State Street My2034 Corporat</t>
  </si>
  <si>
    <t>STATE STREET MY2034 CORPORAT</t>
  </si>
  <si>
    <t>28BB AU Equity</t>
  </si>
  <si>
    <t>Betashares 2028 Fixed Term C</t>
  </si>
  <si>
    <t>BS 2028 FT CORP BOND ETF</t>
  </si>
  <si>
    <t>DANA US Equity</t>
  </si>
  <si>
    <t>Dana Limited Volatility ETF</t>
  </si>
  <si>
    <t>DANA LIMITED VOLATILITY ETF</t>
  </si>
  <si>
    <t>TREI LN Equity</t>
  </si>
  <si>
    <t>Invesco US Treasury Bond 0-1</t>
  </si>
  <si>
    <t>INVESCO US TRES 0-1 YR DIST</t>
  </si>
  <si>
    <t>TSYW US Equity</t>
  </si>
  <si>
    <t>Roundhill Treasury Bond Week</t>
  </si>
  <si>
    <t>ROUNDHILL TY BOND WP ETF</t>
  </si>
  <si>
    <t>464240 KS Equity</t>
  </si>
  <si>
    <t>Kiwoom Heroes 26-09 Term Cor</t>
  </si>
  <si>
    <t>KIW-HER-CORP-BND-TERM-ETF</t>
  </si>
  <si>
    <t>FHYS US Equity</t>
  </si>
  <si>
    <t>Federated Hermes Short Durat</t>
  </si>
  <si>
    <t>FED HERMES SHRT DUR HI YIELD</t>
  </si>
  <si>
    <t>JPHY LN Equity</t>
  </si>
  <si>
    <t>JPMorgan USD High Yield Bond</t>
  </si>
  <si>
    <t>JPM USD HY BOND UCITS ETF</t>
  </si>
  <si>
    <t>XB3511 BZ Equity</t>
  </si>
  <si>
    <t>Trend ETF IDEX B35 Classe de</t>
  </si>
  <si>
    <t>TREND ETF IDEX NTN-B 2035</t>
  </si>
  <si>
    <t>BND US Equity</t>
  </si>
  <si>
    <t>先锋领航总体债券市场ETF</t>
  </si>
  <si>
    <t>VANGUARD TOTAL BOND MARKET</t>
  </si>
  <si>
    <t>VGVT US Equity</t>
  </si>
  <si>
    <t>Vanguard Government Securiti</t>
  </si>
  <si>
    <t>VANGUARD GOVT SEC ACTIVE ETF</t>
  </si>
  <si>
    <t>LDRC US Equity</t>
  </si>
  <si>
    <t>iShares iBonds 1-5 Year Corp</t>
  </si>
  <si>
    <t>ISHARES IBONDS 1-5 CORP LAD</t>
  </si>
  <si>
    <t>VCOB US Equity</t>
  </si>
  <si>
    <t>Voya Core Bond ETF</t>
  </si>
  <si>
    <t>VOYA CORE BOND ETF</t>
  </si>
  <si>
    <t>TBLL US Equity</t>
  </si>
  <si>
    <t>Invesco Short Term Treasury</t>
  </si>
  <si>
    <t>INVESCO SHORT TERM TREASURY</t>
  </si>
  <si>
    <t>00945B TT Equity</t>
  </si>
  <si>
    <t>KGI US Premium Selection Hig</t>
  </si>
  <si>
    <t>KGI US PRMM SELT HY BOND ETF</t>
  </si>
  <si>
    <t>USFR LN Equity</t>
  </si>
  <si>
    <t>WisdomTree USD Floating Rate</t>
  </si>
  <si>
    <t>WT US FLTING RATE BND-USD</t>
  </si>
  <si>
    <t>LDUR US Equity</t>
  </si>
  <si>
    <t>PIMCO低久期主动型交易型开放</t>
  </si>
  <si>
    <t>PIMCO ENHANCED LOW DURATION</t>
  </si>
  <si>
    <t>IBDT US Equity</t>
  </si>
  <si>
    <t>ISHARES IBONDS DEC 2028 ETF</t>
  </si>
  <si>
    <t>IGBE LN Equity</t>
  </si>
  <si>
    <t>Invesco GBP Corporate Bond S</t>
  </si>
  <si>
    <t>IN GBP CO BD SC&amp;TI UCITS-AGB</t>
  </si>
  <si>
    <t>FLCB US Equity</t>
  </si>
  <si>
    <t>Franklin U.S. Core Bond ETF</t>
  </si>
  <si>
    <t>FRANKLIN U.S. CORE BOND ETF</t>
  </si>
  <si>
    <t>IS0P GR Equity</t>
  </si>
  <si>
    <t>iShares安硕西班牙国债UCITS E</t>
  </si>
  <si>
    <t>ISHARES SPAIN GOVT BND</t>
  </si>
  <si>
    <t>ZPR1 GR Equity</t>
  </si>
  <si>
    <t>SPDR Bloomberg 1-3 Month T-B</t>
  </si>
  <si>
    <t>SPDR BBG 1-3MO US TRES USDA</t>
  </si>
  <si>
    <t>BBIL LN Equity</t>
  </si>
  <si>
    <t>JPM BETA US TRES 0-1 USD UCT</t>
  </si>
  <si>
    <t>BBBB CN Equity</t>
  </si>
  <si>
    <t>Brompton Wellington Square I</t>
  </si>
  <si>
    <t>BRMPTN WLGTN SI GRD CLO ETF</t>
  </si>
  <si>
    <t>3411 HK Equity</t>
  </si>
  <si>
    <t>Premia J.P. Morgan Asia Cred</t>
  </si>
  <si>
    <t>PREMIA JACI USD BOND ETF</t>
  </si>
  <si>
    <t>CHESG SW Equity</t>
  </si>
  <si>
    <t>瑞银ETF CH -SBI AAA-BBB ESG</t>
  </si>
  <si>
    <t>UBS ETF SBI DOM. GOVERN. 3-7</t>
  </si>
  <si>
    <t>YIEL FP Equity</t>
  </si>
  <si>
    <t>Amundi EUR High Yield Corpor</t>
  </si>
  <si>
    <t>AMUNDI EURO HY CORP BND ESGI</t>
  </si>
  <si>
    <t>BSE8 GR Equity</t>
  </si>
  <si>
    <t>Invesco BulletShares 2028 EU</t>
  </si>
  <si>
    <t>IVZ BULLETSHARES 2028 EUR A</t>
  </si>
  <si>
    <t>VBIL US Equity</t>
  </si>
  <si>
    <t>Vanguard 0-3 Month Treasury</t>
  </si>
  <si>
    <t>VANGUARD 0-3M T-BILL ETF</t>
  </si>
  <si>
    <t>PSGF14 IT Equity</t>
  </si>
  <si>
    <t>IBI SAL 00 Tel-Bond 60 IL</t>
  </si>
  <si>
    <t>IBI SAL 00 TEL-BOND 60 IL</t>
  </si>
  <si>
    <t>BSCU US Equity</t>
  </si>
  <si>
    <t>Invesco BulletShares 2030 Co</t>
  </si>
  <si>
    <t>INVESCO BULLETSHARES 2030 CB</t>
  </si>
  <si>
    <t>VGUS US Equity</t>
  </si>
  <si>
    <t>Vanguard Ultra-Short Treasur</t>
  </si>
  <si>
    <t>VANGUARD ULTRA SHRT TREASURY</t>
  </si>
  <si>
    <t>BSCR US Equity</t>
  </si>
  <si>
    <t>Invesco BulletShares 2027 Co</t>
  </si>
  <si>
    <t>INVESCO BULLETSHARES 2027 CB</t>
  </si>
  <si>
    <t>ID28 LN Equity</t>
  </si>
  <si>
    <t>ISHRS IBNDS DEC 28 CORP</t>
  </si>
  <si>
    <t>VCIT US Equity</t>
  </si>
  <si>
    <t>领航中期公司债券ETF</t>
  </si>
  <si>
    <t>VANGUARD INT-TERM CORPORATE</t>
  </si>
  <si>
    <t>TBIL US Equity</t>
  </si>
  <si>
    <t>F/m US Treasury 3 Month Bill</t>
  </si>
  <si>
    <t>F/M US TREASURY 3M BILL ETF</t>
  </si>
  <si>
    <t>BT27 IM Equity</t>
  </si>
  <si>
    <t>Amundi Fixed Maturity 2027 I</t>
  </si>
  <si>
    <t>AMUNDI FIX MAT27 ITALY BTP G</t>
  </si>
  <si>
    <t>2623 JP Equity</t>
  </si>
  <si>
    <t>ISHARES EURO IG COR JPY HEDG</t>
  </si>
  <si>
    <t>EMBD US Equity</t>
  </si>
  <si>
    <t>Global X Emerging Markets Bo</t>
  </si>
  <si>
    <t>GLOBAL X EMERGING MARKETS BD</t>
  </si>
  <si>
    <t>UTWY US Equity</t>
  </si>
  <si>
    <t>F/m US Treasury 20 Year Bond</t>
  </si>
  <si>
    <t>F/M US TREASURY 20 YEAR BOND</t>
  </si>
  <si>
    <t>CLIP US Equity</t>
  </si>
  <si>
    <t>Global X 1-3 Month T-Bill ET</t>
  </si>
  <si>
    <t>GLOBAL X 1-3 MONTH T-BILL</t>
  </si>
  <si>
    <t>BSMQ US Equity</t>
  </si>
  <si>
    <t>Invesco BulletShares 2026 Mu</t>
  </si>
  <si>
    <t>INVESCO BULLETSHARES 2026 MB</t>
  </si>
  <si>
    <t>SCHJ US Equity</t>
  </si>
  <si>
    <t>Schwab 1-5 Year Corporate Bo</t>
  </si>
  <si>
    <t>SCHWAB 1-5 YR CORP BND ETF</t>
  </si>
  <si>
    <t>CLIP LN Equity</t>
  </si>
  <si>
    <t>Global X 1-3 Month T-Bill UC</t>
  </si>
  <si>
    <t>GX 1-3 MONTH T-BILL UCITS</t>
  </si>
  <si>
    <t>BSCY US Equity</t>
  </si>
  <si>
    <t>Invesco BulletShares 2034 Co</t>
  </si>
  <si>
    <t>INVESCO BULLETSHARES 2034 CB</t>
  </si>
  <si>
    <t>511010 CH Equity</t>
  </si>
  <si>
    <t>上证5年期国债交易型开放式指</t>
  </si>
  <si>
    <t>GUOTAI SSE 5-YR CHINA TREAS</t>
  </si>
  <si>
    <t>IBDS US Equity</t>
  </si>
  <si>
    <t>ISHRS IBNDS DEC 27 CORP ETF</t>
  </si>
  <si>
    <t>TFJL US Equity</t>
  </si>
  <si>
    <t>Innovator 20+ Year Treasury</t>
  </si>
  <si>
    <t>INNOVATOR 20 YR TREAS BOND 5</t>
  </si>
  <si>
    <t>A01U GR Equity</t>
  </si>
  <si>
    <t>AXA IM US Treasury 0-1 Year</t>
  </si>
  <si>
    <t>AXA IM US TR 0-1 Y UCITS-USD</t>
  </si>
  <si>
    <t>JEHY LN Equity</t>
  </si>
  <si>
    <t>JPMorgan EUR High Yield Bond</t>
  </si>
  <si>
    <t>JPM EUR HY BOND UCITS ETF</t>
  </si>
  <si>
    <t>ETFGS13 GR Equity</t>
  </si>
  <si>
    <t>Deka DB EUROGOV Germany 1-3</t>
  </si>
  <si>
    <t>DEKA DB EUROGOV GERMANY 1-3</t>
  </si>
  <si>
    <t>CHCORP SW Equity</t>
  </si>
  <si>
    <t>iShares安硕核心瑞士法郎公司</t>
  </si>
  <si>
    <t>ISHARES CORE CHF CORP BD CH</t>
  </si>
  <si>
    <t>551510 CH Equity</t>
  </si>
  <si>
    <t>华泰柏瑞中证AAA科技创新公司</t>
  </si>
  <si>
    <t>HU-PN CS AA-TC IN CR BN ETF</t>
  </si>
  <si>
    <t>DXBG CN Equity</t>
  </si>
  <si>
    <t>DYNAMIC GLOBAL FIXED INC FD</t>
  </si>
  <si>
    <t>DBXP GR Equity</t>
  </si>
  <si>
    <t>Xtrackers II欧元区国债1-3年U</t>
  </si>
  <si>
    <t>X EURZ GOVT BOND 1-3 1C</t>
  </si>
  <si>
    <t>440640 KS Equity</t>
  </si>
  <si>
    <t>KIM KINDEX Short term Bond A</t>
  </si>
  <si>
    <t>KIM KINDEX SH BD ALP ACV ETF</t>
  </si>
  <si>
    <t>551000 CH Equity</t>
  </si>
  <si>
    <t>博时上证AAA科技创新公司债交</t>
  </si>
  <si>
    <t>BSR SSE AAA SC-TC IC B ETF</t>
  </si>
  <si>
    <t>TIPU LN Equity</t>
  </si>
  <si>
    <t>Amundi US TIPS Government In</t>
  </si>
  <si>
    <t>AM US T GOV INF-LNK BD-ETF A</t>
  </si>
  <si>
    <t>TCHFK2 IT Equity</t>
  </si>
  <si>
    <t>Tachlit SAL 00 Kosher Tel Bo</t>
  </si>
  <si>
    <t>TACH KOSHER TEL BD-CPI SMCAP</t>
  </si>
  <si>
    <t>KSMF108 IT Equity</t>
  </si>
  <si>
    <t>KSM ETF TEL-BCLS</t>
  </si>
  <si>
    <t>MBIF MK Equity</t>
  </si>
  <si>
    <t>ABF马来西亚债券指数基金</t>
  </si>
  <si>
    <t>ABF MALAYSIA BOND INDEX FUND</t>
  </si>
  <si>
    <t>SOFR US Equity</t>
  </si>
  <si>
    <t>Amplify Samsung SOFR ETF</t>
  </si>
  <si>
    <t>AMPLIFY SAMSUNG SOFR ETF</t>
  </si>
  <si>
    <t>BILZ US Equity</t>
  </si>
  <si>
    <t>PIMCO Ultra Short Government</t>
  </si>
  <si>
    <t>PIMCO ULTRA SHRT GOVT ACTIVE</t>
  </si>
  <si>
    <t>XEB CN Equity</t>
  </si>
  <si>
    <t>HYS US Equity</t>
  </si>
  <si>
    <t>PIMCO 0-5年高收益公司债交易</t>
  </si>
  <si>
    <t>PIMCO 0-5 YEAR H/Y CORP BOND</t>
  </si>
  <si>
    <t>MTFF117 IT Equity</t>
  </si>
  <si>
    <t>MTF Sal 00 Tel Bond-CPI Link</t>
  </si>
  <si>
    <t>MTF SAL TELBND-CPI 5-15IL</t>
  </si>
  <si>
    <t>AGGS US Equity</t>
  </si>
  <si>
    <t>Harbor Disciplined Bond ETF</t>
  </si>
  <si>
    <t>HARBOR DISCIPLINED BOND ETF</t>
  </si>
  <si>
    <t>XSC CN Equity</t>
  </si>
  <si>
    <t>iShares Conservative Short T</t>
  </si>
  <si>
    <t>ISHARES CONSERV S-T FI ETF</t>
  </si>
  <si>
    <t>VDST LN Equity</t>
  </si>
  <si>
    <t>Vanguard US Treasury 0-1 Yea</t>
  </si>
  <si>
    <t>VANG USD 0-1YR TRBD USDA</t>
  </si>
  <si>
    <t>AK8E GR Equity</t>
  </si>
  <si>
    <t>Amundi Fixed Maturity 2028 E</t>
  </si>
  <si>
    <t>AMUNDI FIX MATU 28 EUGOV BND</t>
  </si>
  <si>
    <t>EYEG US Equity</t>
  </si>
  <si>
    <t>AB Corporate Bond ETF</t>
  </si>
  <si>
    <t>AB CORPORATE BOND ETF</t>
  </si>
  <si>
    <t>VGAB CN Equity</t>
  </si>
  <si>
    <t>Vanguard Global Aggregate Bo</t>
  </si>
  <si>
    <t>VANGUARD GBL AGG BOND INDEX</t>
  </si>
  <si>
    <t>00958B TT Equity</t>
  </si>
  <si>
    <t>SinoPac 15+ Year Investment</t>
  </si>
  <si>
    <t>SINOPAC 15+ YR IV US BK ESG</t>
  </si>
  <si>
    <t>GBIL US Equity</t>
  </si>
  <si>
    <t>Goldman Sachs Access Treasur</t>
  </si>
  <si>
    <t>GOLDMAN SACHS ACCESS TREASUR</t>
  </si>
  <si>
    <t>SPTU US Equity</t>
  </si>
  <si>
    <t>SPDR PORT ULTRA SHRT T-BILL</t>
  </si>
  <si>
    <t>XBIL US Equity</t>
  </si>
  <si>
    <t>F/m US Treasury 6 Month Bill</t>
  </si>
  <si>
    <t>F/M US TREASURY 6 MONTH BILL</t>
  </si>
  <si>
    <t>TCHF27 IT Equity</t>
  </si>
  <si>
    <t>Tachlit SAL 00 Tel Bond 60</t>
  </si>
  <si>
    <t>TACHLIT SAL TEL BOND 60</t>
  </si>
  <si>
    <t>MYCH US Equity</t>
  </si>
  <si>
    <t>State Street My2028 Corporat</t>
  </si>
  <si>
    <t>STATE STREET MY2028 CORPORAT</t>
  </si>
  <si>
    <t>XHLF US Equity</t>
  </si>
  <si>
    <t>BondBloxx Bloomberg Six Mont</t>
  </si>
  <si>
    <t>BONDBLOXX BBG 6 MTH US TREAS</t>
  </si>
  <si>
    <t>BAMU US Equity</t>
  </si>
  <si>
    <t>Brookstone Ultra-Short Bond</t>
  </si>
  <si>
    <t>BROOKSTONE ULTRASHRT BND ETF</t>
  </si>
  <si>
    <t>PFIG US Equity</t>
  </si>
  <si>
    <t>Invesco Fundamental Investme</t>
  </si>
  <si>
    <t>INVESCO FUNDAMENTAL INVESTME</t>
  </si>
  <si>
    <t>FCUB CN Equity</t>
  </si>
  <si>
    <t>Fidelity Core US Bond ETF</t>
  </si>
  <si>
    <t>FIDELITY CORE US BOND ETF</t>
  </si>
  <si>
    <t>GUTB/U CN Equity</t>
  </si>
  <si>
    <t>Guardian Ultra-Short US T-Bi</t>
  </si>
  <si>
    <t>SUSB US Equity</t>
  </si>
  <si>
    <t>iShares安硕ESG Aware 1-5年美</t>
  </si>
  <si>
    <t>ISHARES ESG AWARE 1-5 YEAR U</t>
  </si>
  <si>
    <t>JSCP US Equity</t>
  </si>
  <si>
    <t>JPMorgan Short Duration Core</t>
  </si>
  <si>
    <t>JPMORGAN SHORT DURATION CORE</t>
  </si>
  <si>
    <t>GLT5 LN Equity</t>
  </si>
  <si>
    <t>Invesco UK Gilt 1-5 Year UCI</t>
  </si>
  <si>
    <t>INVESCO UK GILT 1-5 DIST</t>
  </si>
  <si>
    <t>PWZ US Equity</t>
  </si>
  <si>
    <t>景顺加利福尼亚免AMT地方债ETF</t>
  </si>
  <si>
    <t>INVESCO CALIFORNIA AMT-FREE</t>
  </si>
  <si>
    <t>SPIB US Equity</t>
  </si>
  <si>
    <t>道富SPDR投资组合中期公司债券</t>
  </si>
  <si>
    <t>SS SPDR P INT C CORP ETF</t>
  </si>
  <si>
    <t>IG US Equity</t>
  </si>
  <si>
    <t>Principal Investment Grade C</t>
  </si>
  <si>
    <t>PRINCIPAL INV GR CRP ACT ETF</t>
  </si>
  <si>
    <t>PRIV US Equity</t>
  </si>
  <si>
    <t>SPDR SSGA IG Public &amp; Privat</t>
  </si>
  <si>
    <t>SPDR SSGA IG PUB&amp;PRIV CREDIT</t>
  </si>
  <si>
    <t>SHV US Equity</t>
  </si>
  <si>
    <t>安硕0-1年国债ETF</t>
  </si>
  <si>
    <t>ISHARES 0-1 YEAR TREASURY BO</t>
  </si>
  <si>
    <t>B29I GR Equity</t>
  </si>
  <si>
    <t>ISHAS IBO DEC 2029 T CC ETF</t>
  </si>
  <si>
    <t>LLDR US Equity</t>
  </si>
  <si>
    <t>Global X Long-Term Treasury</t>
  </si>
  <si>
    <t>GLOBAL X LONG-TERM TR LA ETF</t>
  </si>
  <si>
    <t>PBD CN Equity</t>
  </si>
  <si>
    <t>Purpose Total Return Bond Fu</t>
  </si>
  <si>
    <t>PURPOSE TOTAL RETURN BOND FD</t>
  </si>
  <si>
    <t>ELFF GR Equity</t>
  </si>
  <si>
    <t>Deka Euro Corporates 0-3 Liq</t>
  </si>
  <si>
    <t>DEKA EURO CORPORATES 0-3 LIQ</t>
  </si>
  <si>
    <t>0000Y0 KS Equity</t>
  </si>
  <si>
    <t>Heungkuk HK 26-12 Coporate B</t>
  </si>
  <si>
    <t>HEUNGKUK HK 26-12 COPORATE B</t>
  </si>
  <si>
    <t>2649 JP Equity</t>
  </si>
  <si>
    <t>iShares Ginnie Mae MBS JPY H</t>
  </si>
  <si>
    <t>ISHARES GINNIE MAE MBS JPY H</t>
  </si>
  <si>
    <t>OGSP US Equity</t>
  </si>
  <si>
    <t>Obra High Grade Structured P</t>
  </si>
  <si>
    <t>OBRA HIGH GRADE STRUCTURED</t>
  </si>
  <si>
    <t>HYPE GR Equity</t>
  </si>
  <si>
    <t>ISHARES EUR HGHYLD CORPB ESG</t>
  </si>
  <si>
    <t>AVSF US Equity</t>
  </si>
  <si>
    <t>Avantis Short-Term Fixed Inc</t>
  </si>
  <si>
    <t>AVANTIS SHORT-TERM FIXED INC</t>
  </si>
  <si>
    <t>XEZ7 GR Equity</t>
  </si>
  <si>
    <t>X EURZ GOVT BOND 7-10 ESG 1C</t>
  </si>
  <si>
    <t>SJNK LN Equity</t>
  </si>
  <si>
    <t>SPDR彭博美国高收益公司债评分</t>
  </si>
  <si>
    <t>SPDR BBG US HY CO SC UCI ETF</t>
  </si>
  <si>
    <t>159700 CH Equity</t>
  </si>
  <si>
    <t>南方中证AAA科技创新公司债交</t>
  </si>
  <si>
    <t>CH ST CSI AAA S-TC IN CB ETF</t>
  </si>
  <si>
    <t>PDFI AU Equity</t>
  </si>
  <si>
    <t>PIMCO Diversified Fixed Inte</t>
  </si>
  <si>
    <t>PIMCO DIVERSIFIED FI ACT ETF</t>
  </si>
  <si>
    <t>BILS US Equity</t>
  </si>
  <si>
    <t>SS SPDRB B 3-12M T-BILL ETF</t>
  </si>
  <si>
    <t>TCHF26 IT Equity</t>
  </si>
  <si>
    <t>Tachlit Sal 00 Tel Bond 40</t>
  </si>
  <si>
    <t>TACHLIT SAL 00 TEL BOND 40</t>
  </si>
  <si>
    <t>FISR US Equity</t>
  </si>
  <si>
    <t>State Street Fixed Income Se</t>
  </si>
  <si>
    <t>SS FI SECTOR ROTATION</t>
  </si>
  <si>
    <t>29ID NA Equity</t>
  </si>
  <si>
    <t>ISRS IBND DEC 2029 TERM ETF</t>
  </si>
  <si>
    <t>GLTY LN Equity</t>
  </si>
  <si>
    <t>SPDR彭博英国金边债UCITS ETF</t>
  </si>
  <si>
    <t>SPDR BBG UK GILT</t>
  </si>
  <si>
    <t>XG01 GR Equity</t>
  </si>
  <si>
    <t>Xtrackers II Germany Governm</t>
  </si>
  <si>
    <t>X GERMANY GOV BOND 0-1 1C</t>
  </si>
  <si>
    <t>FLDR US Equity</t>
  </si>
  <si>
    <t>Fidelity Low Duration Bond F</t>
  </si>
  <si>
    <t>FIDELITY LOW DURAT FACT ETF</t>
  </si>
  <si>
    <t>HRLF3 IT Equity</t>
  </si>
  <si>
    <t>Harel Sal 00 Tel Bond 20</t>
  </si>
  <si>
    <t>HAREL SAL 00 TEL BOND 20</t>
  </si>
  <si>
    <t>EAGG US Equity</t>
  </si>
  <si>
    <t>iShares安硕ESG Aware美国综合</t>
  </si>
  <si>
    <t>ISHARES ESG AWARE US AGGREGA</t>
  </si>
  <si>
    <t>0061Z0 KS Equity</t>
  </si>
  <si>
    <t>KB RISE Short Term Specializ</t>
  </si>
  <si>
    <t>KBRISE SHORT SP BANKB A ETF</t>
  </si>
  <si>
    <t>KSMF62 IT Equity</t>
  </si>
  <si>
    <t>KSMETF TELGOV CPI-LIN5-10</t>
  </si>
  <si>
    <t>SYB3 GR Equity</t>
  </si>
  <si>
    <t>SPDR彭博1-3年欧元国债UCITS E</t>
  </si>
  <si>
    <t>SPDR BBG 1-3 EURO GOVERNMENT</t>
  </si>
  <si>
    <t>AXBPSETF IN Equity</t>
  </si>
  <si>
    <t>Axis Nifty AAA Bond Plus SDL</t>
  </si>
  <si>
    <t>AXIS N AAA BOND PLUS SDL ETF</t>
  </si>
  <si>
    <t>CGSB CN Equity</t>
  </si>
  <si>
    <t>CI Global Short-Term Bond Fu</t>
  </si>
  <si>
    <t>CI GLB SH-TRM BD-ETF</t>
  </si>
  <si>
    <t>463290 KS Equity</t>
  </si>
  <si>
    <t>Hana 1Q Short-term Financial</t>
  </si>
  <si>
    <t>HANA 1Q ST-TM FICL BD AV ETF</t>
  </si>
  <si>
    <t>FSB CN Equity</t>
  </si>
  <si>
    <t>CI Enhanced Short Duration B</t>
  </si>
  <si>
    <t>CI ENHANCED SHORT DUR BOND</t>
  </si>
  <si>
    <t>BGRN US Equity</t>
  </si>
  <si>
    <t>iShares USD Green Bond ETF</t>
  </si>
  <si>
    <t>ISHARES USD GREEN BOND ETF</t>
  </si>
  <si>
    <t>IBDZ US Equity</t>
  </si>
  <si>
    <t>ISHARESIBONDSDEC2034TMCORP</t>
  </si>
  <si>
    <t>BAMB US Equity</t>
  </si>
  <si>
    <t>Brookstone Intermediate Bond</t>
  </si>
  <si>
    <t>BROOKSTONE INTERMD BOND ETF</t>
  </si>
  <si>
    <t>385550 KS Equity</t>
  </si>
  <si>
    <t>KB KBSTAR Active Korea Short</t>
  </si>
  <si>
    <t>KBSTAR ACT KR SH BD AA- ETF</t>
  </si>
  <si>
    <t>IU28 NA Equity</t>
  </si>
  <si>
    <t>ISHARE IBO DEC 2028 HYC ETF</t>
  </si>
  <si>
    <t>IMTB US Equity</t>
  </si>
  <si>
    <t>iShares Core 5-10 Year USD B</t>
  </si>
  <si>
    <t>ISHARES CORE 5-10 YEAR USD</t>
  </si>
  <si>
    <t>JG15 LN Equity</t>
  </si>
  <si>
    <t>JPMorgan BetaBuilders UK Gil</t>
  </si>
  <si>
    <t>JPM BETAB UKGIL15YR UCIT ETF</t>
  </si>
  <si>
    <t>FCSH US Equity</t>
  </si>
  <si>
    <t>FED HERMES SHORT DUR CORP</t>
  </si>
  <si>
    <t>BSCV US Equity</t>
  </si>
  <si>
    <t>Invesco Bulletshares 2031 Co</t>
  </si>
  <si>
    <t>INVESCO BULLETSHARES 2031 CB</t>
  </si>
  <si>
    <t>ETFES13 GR Equity</t>
  </si>
  <si>
    <t>DEKA IBOXX EUR LQD SOV D 1-3</t>
  </si>
  <si>
    <t>0131W0 KS Equity</t>
  </si>
  <si>
    <t>Hana 1Q Short Term Special B</t>
  </si>
  <si>
    <t>HANA 1Q ST SPEC BB ACTV ETF</t>
  </si>
  <si>
    <t>KSMF110 IT Equity</t>
  </si>
  <si>
    <t>KSM ETF 00 Tel Bond-Yields</t>
  </si>
  <si>
    <t>KSM ETF TEL-YLD</t>
  </si>
  <si>
    <t>PAYL CN Equity</t>
  </si>
  <si>
    <t>Global X Long-Term Governmen</t>
  </si>
  <si>
    <t>GLOBAL X LT GVN BD PREM YLD</t>
  </si>
  <si>
    <t>ICGB CN Equity</t>
  </si>
  <si>
    <t>Invesco Global Bond ETF</t>
  </si>
  <si>
    <t>INVESCO GLOBAL BOND ETF</t>
  </si>
  <si>
    <t>FSIG US Equity</t>
  </si>
  <si>
    <t>First Trust Limited Duration</t>
  </si>
  <si>
    <t>FT LTD DURATION INV GRADE</t>
  </si>
  <si>
    <t>ZSDB CN Equity</t>
  </si>
  <si>
    <t>BMO Short Term Discount Bond</t>
  </si>
  <si>
    <t>BMO SHORT TERM DISCOUNT BOND</t>
  </si>
  <si>
    <t>COVR GR Equity</t>
  </si>
  <si>
    <t>PIMCO Covered Bond UCITS ETF</t>
  </si>
  <si>
    <t>PIMCO COVERED BOND</t>
  </si>
  <si>
    <t>SRIUC FP Equity</t>
  </si>
  <si>
    <t>BNP PARI EE CB SRI FFD UE-UE</t>
  </si>
  <si>
    <t>RGQO CN Equity</t>
  </si>
  <si>
    <t>RBC Target 2026 Canadian Gov</t>
  </si>
  <si>
    <t>RBC TARGET 2026 CANADIAN GOV</t>
  </si>
  <si>
    <t>1497 JP Equity</t>
  </si>
  <si>
    <t>iShares USD High Yield Corpo</t>
  </si>
  <si>
    <t>ISHARES US HY CB JP HGD ETF</t>
  </si>
  <si>
    <t>KSMF40 IT Equity</t>
  </si>
  <si>
    <t>KSM ETF 00 Tel Bond-40 CPI L</t>
  </si>
  <si>
    <t>KSM ETF 00 TEL BN-40 CPI LNK</t>
  </si>
  <si>
    <t>0052T0 KS Equity</t>
  </si>
  <si>
    <t>Hana 1Q Mid-Short Term Credi</t>
  </si>
  <si>
    <t>HANA 1Q MID-SHORT TERM CREDI</t>
  </si>
  <si>
    <t>QASH CN Equity</t>
  </si>
  <si>
    <t>Mackenzie Canadian Ultra Sho</t>
  </si>
  <si>
    <t>MACKENZIE CANADIAN ULTRA SB</t>
  </si>
  <si>
    <t>BNDP US Equity</t>
  </si>
  <si>
    <t>Vanguard Core-Plus Bond Inde</t>
  </si>
  <si>
    <t>VG CORE-PLUS BOND INDX ETF</t>
  </si>
  <si>
    <t>PRSD US Equity</t>
  </si>
  <si>
    <t>State Street Short Duration</t>
  </si>
  <si>
    <t>SS SHRT DUR IG PUB&amp;PRIV CRED</t>
  </si>
  <si>
    <t>SUKC LN Equity</t>
  </si>
  <si>
    <t>SPDR彭博0-5年期英镑公司债UCI</t>
  </si>
  <si>
    <t>SPDR BBG 0-5 STERLING CORP</t>
  </si>
  <si>
    <t>PCI US Equity</t>
  </si>
  <si>
    <t>PGIM Corporate Bond 5-10 Yea</t>
  </si>
  <si>
    <t>PGIM CORPRT BOND 5-10 YR ETF</t>
  </si>
  <si>
    <t>IHYU LN Equity</t>
  </si>
  <si>
    <t>iShares安硕美元高收益公司债U</t>
  </si>
  <si>
    <t>ISHARES USD HY CORP USD DIST</t>
  </si>
  <si>
    <t>MNU/U CN Equity</t>
  </si>
  <si>
    <t>Purpose USD Cash Management</t>
  </si>
  <si>
    <t>PURPOSE USD CASH MGMT FUND</t>
  </si>
  <si>
    <t>YEAR US Equity</t>
  </si>
  <si>
    <t>AB Ultra Short Income ETF</t>
  </si>
  <si>
    <t>AB ULTRA SHORT INCOME ETF</t>
  </si>
  <si>
    <t>BSCQ US Equity</t>
  </si>
  <si>
    <t>Invesco BulletShares 2026 Co</t>
  </si>
  <si>
    <t>INVESCO BULLETSHARES 2026 CB</t>
  </si>
  <si>
    <t>AEBD AU Equity</t>
  </si>
  <si>
    <t>Betashares Ethical Australia</t>
  </si>
  <si>
    <t>BS ETHICAL AU BOND ETF</t>
  </si>
  <si>
    <t>0016X0 KS Equity</t>
  </si>
  <si>
    <t>Shinhan SOL Mid-Short Term C</t>
  </si>
  <si>
    <t>SH SOL MID-SHORTBOND ACT ETF</t>
  </si>
  <si>
    <t>ID27 LN Equity</t>
  </si>
  <si>
    <t>ISHRS D27 USD CORP UCITS ETF</t>
  </si>
  <si>
    <t>HYDP NA Equity</t>
  </si>
  <si>
    <t>ISHARES USD HYLD CRPBND ESG</t>
  </si>
  <si>
    <t>BDBT US Equity</t>
  </si>
  <si>
    <t>Bluemonte Core Bond ETF</t>
  </si>
  <si>
    <t>BLUEMONTE CORE BOND ETF</t>
  </si>
  <si>
    <t>GOVI US Equity</t>
  </si>
  <si>
    <t>Invesco Exchange-Traded Fund</t>
  </si>
  <si>
    <t>INVESCO EQUAL WEIGHT 0-30 YR</t>
  </si>
  <si>
    <t>H4ZK GR Equity</t>
  </si>
  <si>
    <t>HSBC ICAV EUR CAR GOV BD ETF</t>
  </si>
  <si>
    <t>495710 KS Equity</t>
  </si>
  <si>
    <t>BNK BNK 26-06 Public Finance</t>
  </si>
  <si>
    <t>BNK 26-06 FIN BOND ACTV ETF</t>
  </si>
  <si>
    <t>0139F0 KS Equity</t>
  </si>
  <si>
    <t>MIRAE ASSET TIGER DECEMBER M</t>
  </si>
  <si>
    <t>GXHY GR Equity</t>
  </si>
  <si>
    <t>Goldman Sachs EUR High Yield</t>
  </si>
  <si>
    <t>GOLDMAN EUR HY ACTIVE ETF</t>
  </si>
  <si>
    <t>DXDU/U CN Equity</t>
  </si>
  <si>
    <t>Dynamic Active US Discount B</t>
  </si>
  <si>
    <t>DYNAMIC ACTIVE US DIS BD ETF</t>
  </si>
  <si>
    <t>00953B TT Equity</t>
  </si>
  <si>
    <t>Capital BB-B Coupon Enhanced</t>
  </si>
  <si>
    <t>CP BB-B CP EH HI YL BD EX TD</t>
  </si>
  <si>
    <t>XFLB CN Equity</t>
  </si>
  <si>
    <t>iShares Core Canadian 15 + Y</t>
  </si>
  <si>
    <t>ISHARES CORE CANADIAN 15+ YR</t>
  </si>
  <si>
    <t>ZMUN US Equity</t>
  </si>
  <si>
    <t>F/m Ultrashort Tax-Free Muni</t>
  </si>
  <si>
    <t>F/M ULSH TX-FR MNCPL ETF-USD</t>
  </si>
  <si>
    <t>GBFC CN Equity</t>
  </si>
  <si>
    <t>GuardBondsTM 2026 Investment</t>
  </si>
  <si>
    <t>GUARDBONDS 2026 INV GRD BOND</t>
  </si>
  <si>
    <t>MBBB US Equity</t>
  </si>
  <si>
    <t>VanEck Moody's Analytics BBB</t>
  </si>
  <si>
    <t>VANECK MOODY'S ANALYTICS BBB</t>
  </si>
  <si>
    <t>2092 JP Equity</t>
  </si>
  <si>
    <t>NZAM ETF France Government B</t>
  </si>
  <si>
    <t>NZAM ETF FRANCE GOVBOND 7-10</t>
  </si>
  <si>
    <t>HYBL US Equity</t>
  </si>
  <si>
    <t>State Street Blackstone High</t>
  </si>
  <si>
    <t>SS BLACKSTONE HIGH INC ETF</t>
  </si>
  <si>
    <t>ACE27 FP Equity</t>
  </si>
  <si>
    <t>BNP ESY ENH EC DC2027 UCT-EI</t>
  </si>
  <si>
    <t>159200 CH Equity</t>
  </si>
  <si>
    <t>富国中证AAA科技创新公司债交</t>
  </si>
  <si>
    <t>FLGL CA SC-TC IN CR BD ETF</t>
  </si>
  <si>
    <t>OBIL US Equity</t>
  </si>
  <si>
    <t>F/m US Treasury 12 Month Bil</t>
  </si>
  <si>
    <t>F/M US TREASURY 12 MONTH BIL</t>
  </si>
  <si>
    <t>SLDR US Equity</t>
  </si>
  <si>
    <t>Global X Short-Term Treasury</t>
  </si>
  <si>
    <t>GLOBAL X SHORT-TERM TL ETF</t>
  </si>
  <si>
    <t>ESGF CN Equity</t>
  </si>
  <si>
    <t>BMO ESG US Corporate Bond He</t>
  </si>
  <si>
    <t>BMO ESG US CORPORATE BOND CA</t>
  </si>
  <si>
    <t>KSMF213 IT Equity</t>
  </si>
  <si>
    <t>KSM ETF INI GOV CL5YD IL</t>
  </si>
  <si>
    <t>XIGS CN Equity</t>
  </si>
  <si>
    <t>iShares 1-5 Year US IG Corpo</t>
  </si>
  <si>
    <t>ISHARES 1-5 YR US CORP-CAD H</t>
  </si>
  <si>
    <t>MTFFK55 IT Equity</t>
  </si>
  <si>
    <t>MTF Sal 00 Kosher Tel Bond 6</t>
  </si>
  <si>
    <t>MTF 00 KOSHER TEL BOND 60</t>
  </si>
  <si>
    <t>ISTB US Equity</t>
  </si>
  <si>
    <t>iShares安硕核心1-5年美元债券</t>
  </si>
  <si>
    <t>ISHARES CORE 1-5 YEAR USD BO</t>
  </si>
  <si>
    <t>159398 CH Equity</t>
  </si>
  <si>
    <t>天弘深证基准做市信用债交易型</t>
  </si>
  <si>
    <t>TIANH SZSE MAR CRD BND ETF</t>
  </si>
  <si>
    <t>MSTI US Equity</t>
  </si>
  <si>
    <t>Madison Short-Term Strategic</t>
  </si>
  <si>
    <t>MADISON SHRT TRM STR INC ETF</t>
  </si>
  <si>
    <t>BBAG US Equity</t>
  </si>
  <si>
    <t>JPMorgan BetaBuilders U.S. A</t>
  </si>
  <si>
    <t>JPMORGAN BETABUILDERS US AGG</t>
  </si>
  <si>
    <t>LFAW US Equity</t>
  </si>
  <si>
    <t>LifeX 2060 Longevity Income</t>
  </si>
  <si>
    <t>LIFEX 2060 LONGEVITY INCOME</t>
  </si>
  <si>
    <t>PCRB US Equity</t>
  </si>
  <si>
    <t>Putnam ESG Core Bond ETF</t>
  </si>
  <si>
    <t>PUTNAM ESG CORE BOND ETF</t>
  </si>
  <si>
    <t>NTGA CN Equity</t>
  </si>
  <si>
    <t>NBI Target 2026 Investment G</t>
  </si>
  <si>
    <t>NBI TARGET 2026 INVEST GB</t>
  </si>
  <si>
    <t>159112 CH Equity</t>
  </si>
  <si>
    <t>银华中证AAA科技创新公司债交</t>
  </si>
  <si>
    <t>YIN CS A SCI-TH IN CR BD ETF</t>
  </si>
  <si>
    <t>HBIL CN Equity</t>
  </si>
  <si>
    <t>Hamilton US T-Bill YIELD MAX</t>
  </si>
  <si>
    <t>HAMILTON US T-B YLD MAX ETF</t>
  </si>
  <si>
    <t>IBD US Equity</t>
  </si>
  <si>
    <t>Inspire Corporate Bond ETF</t>
  </si>
  <si>
    <t>INSPIRE CORPORATE BOND ETF</t>
  </si>
  <si>
    <t>130730 KS Equity</t>
  </si>
  <si>
    <t>KIWOOM KOSEF现金增强型ETF（</t>
  </si>
  <si>
    <t>KIWOOM KIWOOM ENHANCED CASH</t>
  </si>
  <si>
    <t>TIP1D SW Equity</t>
  </si>
  <si>
    <t>UBS Core BBG TIPS 1-10 UCITS</t>
  </si>
  <si>
    <t>UBS CR BBG TP 1-10 UCI-USD D</t>
  </si>
  <si>
    <t>XONE US Equity</t>
  </si>
  <si>
    <t>BondBloxx Bloomberg One Year</t>
  </si>
  <si>
    <t>BONDBLOXX BBG 1 DUR US TREAS</t>
  </si>
  <si>
    <t>BAAA CN Equity</t>
  </si>
  <si>
    <t>Brompton Wellington Square A</t>
  </si>
  <si>
    <t>BROMPTON WLGT SQ AAA CLO ETF</t>
  </si>
  <si>
    <t>ZST CN Equity</t>
  </si>
  <si>
    <t>BMO超短期债券ETF</t>
  </si>
  <si>
    <t>BMO ULT SH-TE BD ETF-CAD INC</t>
  </si>
  <si>
    <t>SYBD GR Equity</t>
  </si>
  <si>
    <t>SPDR彭博0-3年期欧元公司债UCI</t>
  </si>
  <si>
    <t>SPDR BLOOMBERG 0-3 YEAR EURO</t>
  </si>
  <si>
    <t>IHEB AU Equity</t>
  </si>
  <si>
    <t>iShares JP Morgan USD Emergi</t>
  </si>
  <si>
    <t>ISHARES JPM USD EM MK BD AUD</t>
  </si>
  <si>
    <t>WEEK US Equity</t>
  </si>
  <si>
    <t>Roundhill Weekly T-Bill ETF</t>
  </si>
  <si>
    <t>ROUNDHILL WEEKLY T-BILL ETF</t>
  </si>
  <si>
    <t>PRAB GR Equity</t>
  </si>
  <si>
    <t>AM PRI EU GO BD 0-1Y ETF-DRC</t>
  </si>
  <si>
    <t>BANK AU Equity</t>
  </si>
  <si>
    <t>Global X Australian Bank Cre</t>
  </si>
  <si>
    <t>GLOBAL X AUS BANK CREDIT ETF</t>
  </si>
  <si>
    <t>UBIL/U CN Equity</t>
  </si>
  <si>
    <t>Global X 0-3 Month US T-Bill</t>
  </si>
  <si>
    <t>GLOB X 0-3 M US T-BILL ETF-A</t>
  </si>
  <si>
    <t>UCSH/U CN Equity</t>
  </si>
  <si>
    <t>Global X USD High Interest S</t>
  </si>
  <si>
    <t>GLOBAL X USD HIGH INT SAV ET</t>
  </si>
  <si>
    <t>TUSD/U CN Equity</t>
  </si>
  <si>
    <t>TD US Cash Management ETF</t>
  </si>
  <si>
    <t>TD US CASH MANAGEMENT ETF</t>
  </si>
  <si>
    <t>GSOV GR Equity</t>
  </si>
  <si>
    <t>Franklin Sustainable Euro Gr</t>
  </si>
  <si>
    <t>FRK SUST EU GR SOV ETF</t>
  </si>
  <si>
    <t>LTTI US Equity</t>
  </si>
  <si>
    <t>FT Vest 20+ Year Treasury &amp;</t>
  </si>
  <si>
    <t>FT VEST 20 YR TSY &amp; TARG INC</t>
  </si>
  <si>
    <t>LAPR US Equity</t>
  </si>
  <si>
    <t>Innovator Premium Income 15</t>
  </si>
  <si>
    <t>INNOV PR INC 15 B ETF - APR</t>
  </si>
  <si>
    <t>VVSG CN Equity</t>
  </si>
  <si>
    <t>Vanguard Canadian Ultra-Shor</t>
  </si>
  <si>
    <t>VANGUARD CAD ULT-SHRT GB ETF</t>
  </si>
  <si>
    <t>159111 CH Equity</t>
  </si>
  <si>
    <t>天弘中证AAA科技创新公司债交</t>
  </si>
  <si>
    <t>TIA CSI AAA SCI-TC IN CR ETF</t>
  </si>
  <si>
    <t>FCBD US Equity</t>
  </si>
  <si>
    <t>Frontier Asset Core Bond ETF</t>
  </si>
  <si>
    <t>FRONTIER ASSET CORE BOND ETF</t>
  </si>
  <si>
    <t>XHY CN Equity</t>
  </si>
  <si>
    <t>iShares安硕美国高收益债券指</t>
  </si>
  <si>
    <t>ISHARES U.S. HIGH YIELD BOND</t>
  </si>
  <si>
    <t>458030 KS Equity</t>
  </si>
  <si>
    <t>WOORI WON Government and Spe</t>
  </si>
  <si>
    <t>WOORI WON GOVERNMENT AND SPE</t>
  </si>
  <si>
    <t>159816 CH Equity</t>
  </si>
  <si>
    <t>鹏华中证0-4年期地方政府债交</t>
  </si>
  <si>
    <t>PH CSI 0-4Y LOCAL GOV BD ETF</t>
  </si>
  <si>
    <t>CAPW CN Equity</t>
  </si>
  <si>
    <t>Capital Group World Bond Sel</t>
  </si>
  <si>
    <t>CAP GROUP WORLD BOND ETF</t>
  </si>
  <si>
    <t>HGAD LN Equity</t>
  </si>
  <si>
    <t>HSBC ICAV GLOBAL AGG BND ETF</t>
  </si>
  <si>
    <t>DHYD NA Equity</t>
  </si>
  <si>
    <t>ISHARES $ HIGH YIELD CORP BO</t>
  </si>
  <si>
    <t>CTBB CN Equity</t>
  </si>
  <si>
    <t>CIBC 2026 Investment Grade B</t>
  </si>
  <si>
    <t>IBTU LN Equity</t>
  </si>
  <si>
    <t>ISHARES US TREASURY 0-1YR</t>
  </si>
  <si>
    <t>MFT CN Equity</t>
  </si>
  <si>
    <t>Mackenzie Floating Rate Inco</t>
  </si>
  <si>
    <t>MACKENZIE FLOATING RATE INC</t>
  </si>
  <si>
    <t>DYNB US Equity</t>
  </si>
  <si>
    <t>Hartford Dynamic Bond ETF</t>
  </si>
  <si>
    <t>HARTFORD DYNAMIC BOND ETF</t>
  </si>
  <si>
    <t>DYFI US Equity</t>
  </si>
  <si>
    <t>IDX Dynamic Fixed Income ETF</t>
  </si>
  <si>
    <t>IDX DYNAMIC FIXED INCOME ETF</t>
  </si>
  <si>
    <t>IBDW US Equity</t>
  </si>
  <si>
    <t>ISHARES IBONDS DEC 2031 CORP</t>
  </si>
  <si>
    <t>BB3M LN Equity</t>
  </si>
  <si>
    <t>JPMorgan Betabuilders US Tre</t>
  </si>
  <si>
    <t>JPM BETA US TRE BD 0-3 USD A</t>
  </si>
  <si>
    <t>MYCO US Equity</t>
  </si>
  <si>
    <t>State Street My2035 Corporat</t>
  </si>
  <si>
    <t>STATE STREET MY2035 CORPORAT</t>
  </si>
  <si>
    <t>SDIG LN Equity</t>
  </si>
  <si>
    <t>iShares安硕短期公司债券UCITS</t>
  </si>
  <si>
    <t>ISHARES USD SHORT DUR USD D</t>
  </si>
  <si>
    <t>TLTX CN Equity</t>
  </si>
  <si>
    <t>Global X 20+ Year US Treasur</t>
  </si>
  <si>
    <t>GBL X 20+ YR US T BD INDX</t>
  </si>
  <si>
    <t>KSMF107 IT Equity</t>
  </si>
  <si>
    <t>KSM ETF TEL-BCL</t>
  </si>
  <si>
    <t>KCSH US Equity</t>
  </si>
  <si>
    <t>KraneShares Sustainable Ultr</t>
  </si>
  <si>
    <t>KRANESHARES SUST U S D I ETF</t>
  </si>
  <si>
    <t>TLH US Equity</t>
  </si>
  <si>
    <t>iShares安硕10-20年国债ETF</t>
  </si>
  <si>
    <t>ISHARES 10-20 YEAR TREASURY</t>
  </si>
  <si>
    <t>465780 KS Equity</t>
  </si>
  <si>
    <t>DB Mighty 26-09 Special Bond</t>
  </si>
  <si>
    <t>DB MIGHTY 26-09 SPL BD A ETF</t>
  </si>
  <si>
    <t>XFR CN Equity</t>
  </si>
  <si>
    <t>iShares安硕浮息债券指数ETF</t>
  </si>
  <si>
    <t>ISHARES FLOATING RATE INDEX</t>
  </si>
  <si>
    <t>KSMF18 IT Equity</t>
  </si>
  <si>
    <t>KSM ETF 00 Tel Bond-20 CPI L</t>
  </si>
  <si>
    <t>KSM ETF 00 TEL BN-20 CPI LNK</t>
  </si>
  <si>
    <t>QUB CN Equity</t>
  </si>
  <si>
    <t>Mackenzie US Aggregate Bond</t>
  </si>
  <si>
    <t>MACKENZIE US AGGR BOND CAD-H</t>
  </si>
  <si>
    <t>XAGH CN Equity</t>
  </si>
  <si>
    <t>iShares US Aggregate Bond In</t>
  </si>
  <si>
    <t>ISHARES US AGG-CAD HEDGED</t>
  </si>
  <si>
    <t>HRLF69 IT Equity</t>
  </si>
  <si>
    <t>HAREL SAL 00 TEL BOND YIELDS</t>
  </si>
  <si>
    <t>159600 CH Equity</t>
  </si>
  <si>
    <t>嘉实中证AAA科技创新公司债交</t>
  </si>
  <si>
    <t>HAR CS AA SC-TC IN CR BN ETF</t>
  </si>
  <si>
    <t>0092C0 KS Equity</t>
  </si>
  <si>
    <t>Shinhan SOL 27-12 Credit Bon</t>
  </si>
  <si>
    <t>SHINHAN SOL 27-12 CREDIT BON</t>
  </si>
  <si>
    <t>EIB7 GR Equity</t>
  </si>
  <si>
    <t>INVESCO EUR GOV BOND 5-7</t>
  </si>
  <si>
    <t>MTFF3 IT Equity</t>
  </si>
  <si>
    <t>MTF SAL 00 Tel-Bond 20</t>
  </si>
  <si>
    <t>MTF SAL TEL BOND 20</t>
  </si>
  <si>
    <t>278620 KS Equity</t>
  </si>
  <si>
    <t>Hanwha PLUS Active Short Ter</t>
  </si>
  <si>
    <t>HANWHA PLUS ACTIVE SHORT TER</t>
  </si>
  <si>
    <t>HYUS LN Equity</t>
  </si>
  <si>
    <t>ISH BROAD USD HY CORP USD D</t>
  </si>
  <si>
    <t>NSAV CN Equity</t>
  </si>
  <si>
    <t>Ninepoint Cash Management Fu</t>
  </si>
  <si>
    <t>NINEPOINT CASH MGMNT FND ETF</t>
  </si>
  <si>
    <t>KSMF126 IT Equity</t>
  </si>
  <si>
    <t>KSM ET 00 TL B-CPI LBW CO IL</t>
  </si>
  <si>
    <t>FM26 FP Equity</t>
  </si>
  <si>
    <t>Amundi Fixed Maturity 2026 E</t>
  </si>
  <si>
    <t>AMD FX2026 EUGOVBD C</t>
  </si>
  <si>
    <t>CAPM CN Equity</t>
  </si>
  <si>
    <t>Capital Group Multi-Sector I</t>
  </si>
  <si>
    <t>CAP GROUP MULTISECTOR ETF</t>
  </si>
  <si>
    <t>IBTH US Equity</t>
  </si>
  <si>
    <t>SHYL US Equity</t>
  </si>
  <si>
    <t>Xtrackers Short Duration Hig</t>
  </si>
  <si>
    <t>XTRACKERS SHRT DUR HIGH YIEL</t>
  </si>
  <si>
    <t>CBSU5 SW Equity</t>
  </si>
  <si>
    <t>UBS BBG MSCI US Liquid Corp</t>
  </si>
  <si>
    <t>UBS ETF US LIQCORPSU1-5 USDA</t>
  </si>
  <si>
    <t>EUN6 GR Equity</t>
  </si>
  <si>
    <t>iShares安硕欧元国债0-1年期UC</t>
  </si>
  <si>
    <t>ISHARES EURO GOVT 0-1YR</t>
  </si>
  <si>
    <t>GCTB CN Equity</t>
  </si>
  <si>
    <t>Guardian Ultra Short Canadia</t>
  </si>
  <si>
    <t>492500 KS Equity</t>
  </si>
  <si>
    <t>Hana 1Q Hyundai Motor Compan</t>
  </si>
  <si>
    <t>HANA 1Q HYUNDAI MOTOR COMPAN</t>
  </si>
  <si>
    <t>RCLO CN Equity</t>
  </si>
  <si>
    <t>RBC AAA CLO CAD Hedged ETF</t>
  </si>
  <si>
    <t>RBC AAA CLO CAD HEDGED ETF</t>
  </si>
  <si>
    <t>JUCY US Equity</t>
  </si>
  <si>
    <t>Aptus Enhanced Yield ETF</t>
  </si>
  <si>
    <t>APTUS ENHANCED YIELD ETF</t>
  </si>
  <si>
    <t>MYCI US Equity</t>
  </si>
  <si>
    <t>State Street My2029 Corporat</t>
  </si>
  <si>
    <t>STATE STREET MY2029 CORPORAT</t>
  </si>
  <si>
    <t>HYXF US Equity</t>
  </si>
  <si>
    <t>iShares ESG Advanced High Yi</t>
  </si>
  <si>
    <t>ISHARES ESG ADV HIGH YIELD</t>
  </si>
  <si>
    <t>TBJL US Equity</t>
  </si>
  <si>
    <t>INNOVATOR 20 YR T BOND 9 BUF</t>
  </si>
  <si>
    <t>JCL0 GR Equity</t>
  </si>
  <si>
    <t>Janus Henderson EUR AAA CLO</t>
  </si>
  <si>
    <t>JANUS HEN EUR AAA CLO EUR A</t>
  </si>
  <si>
    <t>KSMF41 IT Equity</t>
  </si>
  <si>
    <t>KSM ETF 00 Tel Bond-60 CPI L</t>
  </si>
  <si>
    <t>KSM ETF 00 TEL BN-60 CPI LNK</t>
  </si>
  <si>
    <t>IBHF US Equity</t>
  </si>
  <si>
    <t>iShares iBonds 2026 Term Hig</t>
  </si>
  <si>
    <t>ISHARES IBOND 2026 HY &amp; INC</t>
  </si>
  <si>
    <t>HSGG LN Equity</t>
  </si>
  <si>
    <t>HSBC Global Funds ICAV - HSB</t>
  </si>
  <si>
    <t>HSBC ICAV G ESG GOV BOND ETF</t>
  </si>
  <si>
    <t>EARN CN Equity</t>
  </si>
  <si>
    <t>Evolve Active Global Fixed I</t>
  </si>
  <si>
    <t>EVOLVE ACTIVE GLOBAL FIXED</t>
  </si>
  <si>
    <t>JPMB US Equity</t>
  </si>
  <si>
    <t>JPMorgan USD Emerging Market</t>
  </si>
  <si>
    <t>JPMORGAN USD EMERGING MARKET</t>
  </si>
  <si>
    <t>UBND US Equity</t>
  </si>
  <si>
    <t>VictoryShares Core Plus Bond</t>
  </si>
  <si>
    <t>VICTORYSHARES CORE PLUS BOND</t>
  </si>
  <si>
    <t>UITB US Equity</t>
  </si>
  <si>
    <t>VictoryShares Core Intermedi</t>
  </si>
  <si>
    <t>VICTORYSHARES CORE INTERMEDI</t>
  </si>
  <si>
    <t>FLGV US Equity</t>
  </si>
  <si>
    <t>Franklin U.S. Treasury Bond</t>
  </si>
  <si>
    <t>FRANKLIN U.S. TREASURY BOND</t>
  </si>
  <si>
    <t>122260 KS Equity</t>
  </si>
  <si>
    <t>Kiwoom KOSEF MSB ETF - 固定</t>
  </si>
  <si>
    <t>KIWOOM KIWOOM MSB ETF - FIXE</t>
  </si>
  <si>
    <t>LFAO US Equity</t>
  </si>
  <si>
    <t>LifeX 2055 Longevity Income</t>
  </si>
  <si>
    <t>LIFEX 2055 LONGEVITY INCOME</t>
  </si>
  <si>
    <t>480260 KS Equity</t>
  </si>
  <si>
    <t>MIRAE ASSET TIGER 27-04 CORP</t>
  </si>
  <si>
    <t>X03G GR Equity</t>
  </si>
  <si>
    <t>Xtrackers II德国国债UCITS ET</t>
  </si>
  <si>
    <t>X GERMANY GOV BOND 1C</t>
  </si>
  <si>
    <t>FAMEUS IM Equity</t>
  </si>
  <si>
    <t>Fineco AM MSCI EUR HY SRI P-</t>
  </si>
  <si>
    <t>FN AM MI ER HY SRI P-SR CB-A</t>
  </si>
  <si>
    <t>HRLF61 IT Equity</t>
  </si>
  <si>
    <t>Harel Sal 00 Tel Bond CPI Li</t>
  </si>
  <si>
    <t>HAREL SAL 00 TEL BND CPI LNK</t>
  </si>
  <si>
    <t>ZTEN US Equity</t>
  </si>
  <si>
    <t>F/m 10-Year Investment Grade</t>
  </si>
  <si>
    <t>F/M 10-YEAR INV G CORP B ETF</t>
  </si>
  <si>
    <t>IBDR US Equity</t>
  </si>
  <si>
    <t>HGVU LN Equity</t>
  </si>
  <si>
    <t>HSBC ICAV GL GOV BND ETF</t>
  </si>
  <si>
    <t>BSCX US Equity</t>
  </si>
  <si>
    <t>Invesco BulletShares 2033 Co</t>
  </si>
  <si>
    <t>INVESCO BULLETSHARES 2033 CB</t>
  </si>
  <si>
    <t>AEAE GR Equity</t>
  </si>
  <si>
    <t>AXA IM Euro Aggregate Bond O</t>
  </si>
  <si>
    <t>AXA EU AGG ETF EUACC</t>
  </si>
  <si>
    <t>FSEM LN Equity</t>
  </si>
  <si>
    <t>Fidelity ESG USD EM Bond UCI</t>
  </si>
  <si>
    <t>FID ESG USD EM BND UC ET-USD</t>
  </si>
  <si>
    <t>BLST US Equity</t>
  </si>
  <si>
    <t>Bluemonte Short Term Bond ET</t>
  </si>
  <si>
    <t>BLUEMONTE SHORT TERM BND ETF</t>
  </si>
  <si>
    <t>CGIN CN Equity</t>
  </si>
  <si>
    <t>CI Global Investment Grade E</t>
  </si>
  <si>
    <t>CI GLB INVSTMNT GRD ETF-CAD</t>
  </si>
  <si>
    <t>SDHY LN Equity</t>
  </si>
  <si>
    <t>iShares安硕美元短期高收益公</t>
  </si>
  <si>
    <t>ISHARES USD SHORT DUR HY CRP</t>
  </si>
  <si>
    <t>AGGY US Equity</t>
  </si>
  <si>
    <t>WisdomTree Yield Enhanced US</t>
  </si>
  <si>
    <t>WISDOMTREE YIELD ENHANCED US</t>
  </si>
  <si>
    <t>27IT NA Equity</t>
  </si>
  <si>
    <t>ISHRS IBD D27 T TREASURY ETF</t>
  </si>
  <si>
    <t>153130 KS Equity</t>
  </si>
  <si>
    <t>三星KODEX韩元现金ETF</t>
  </si>
  <si>
    <t>SAMSUNG KODEX KRW CASH ETF</t>
  </si>
  <si>
    <t>ERNE LN Equity</t>
  </si>
  <si>
    <t>iShares安硕欧元超短债券UCITS</t>
  </si>
  <si>
    <t>ISHARES EURO ULTRASHORT BOND</t>
  </si>
  <si>
    <t>ERNS LN Equity</t>
  </si>
  <si>
    <t>iShares安硕英镑超短期债券UCI</t>
  </si>
  <si>
    <t>ISHARES GBP ULTRASHORT BOND</t>
  </si>
  <si>
    <t>272560 KS Equity</t>
  </si>
  <si>
    <t>KB RISE Short-term KTB Activ</t>
  </si>
  <si>
    <t>KB RISE SHT-TERM KTB ACV ETF</t>
  </si>
  <si>
    <t>IBCA US Equity</t>
  </si>
  <si>
    <t>ISHARES IBONDS DEC 2035 TC</t>
  </si>
  <si>
    <t>IB27 GR Equity</t>
  </si>
  <si>
    <t>ISHRS D27 EUR CORP UCITS ETF</t>
  </si>
  <si>
    <t>VGSH US Equity</t>
  </si>
  <si>
    <t>领航短期国债ETF</t>
  </si>
  <si>
    <t>VANGUARD SHORT-TERM TREASURY</t>
  </si>
  <si>
    <t>551030 CH Equity</t>
  </si>
  <si>
    <t>鹏华上证AAA科技创新公司债交</t>
  </si>
  <si>
    <t>PN SS AAA SC-TC IN CR BN ETF</t>
  </si>
  <si>
    <t>CCLO CN Equity</t>
  </si>
  <si>
    <t>CIBC Income Advantage Fund</t>
  </si>
  <si>
    <t>CIBC INCOME ADVANTAGE ETF</t>
  </si>
  <si>
    <t>SHORT IM Equity</t>
  </si>
  <si>
    <t>UBS EUR Ultra-Short Bond Scr</t>
  </si>
  <si>
    <t>UBSETF EURUSSCR EUR ACC</t>
  </si>
  <si>
    <t>JE13 GR Equity</t>
  </si>
  <si>
    <t>JPM BETAB EURGV13YR UCIT ETF</t>
  </si>
  <si>
    <t>STXT US Equity</t>
  </si>
  <si>
    <t>Strive Total Return Bond ETF</t>
  </si>
  <si>
    <t>STRIVE TOTAL RETURN BOND ETF</t>
  </si>
  <si>
    <t>159649 CH Equity</t>
  </si>
  <si>
    <t>华安中债1-5年国开行债券交易</t>
  </si>
  <si>
    <t>HA CHINABD 1-5Y CDB BD ETF</t>
  </si>
  <si>
    <t>IBMO US Equity</t>
  </si>
  <si>
    <t>0091M0 KS Equity</t>
  </si>
  <si>
    <t>NH-Amundi HANARO 27-06 Corpo</t>
  </si>
  <si>
    <t>NH-AMUNDI HANARO 27-06 CORPO</t>
  </si>
  <si>
    <t>363510 KS Equity</t>
  </si>
  <si>
    <t>Shinhan SOL KIS Short-term M</t>
  </si>
  <si>
    <t>SHINHAN SOL KIS SHORT-TERM M</t>
  </si>
  <si>
    <t>JABS US Equity</t>
  </si>
  <si>
    <t>Janus Henderson Asset-Backed</t>
  </si>
  <si>
    <t>JANUS HDRSN ASS BKD SEC ETF</t>
  </si>
  <si>
    <t>214980 KS Equity</t>
  </si>
  <si>
    <t>Samsung KODEX KRW Cash Plus</t>
  </si>
  <si>
    <t>FRAR AU Equity</t>
  </si>
  <si>
    <t>Franklin Australian Absolute</t>
  </si>
  <si>
    <t>FRKLN AUST AB RET BD FD</t>
  </si>
  <si>
    <t>QHY US Equity</t>
  </si>
  <si>
    <t>WisdomTree US High Yield Cor</t>
  </si>
  <si>
    <t>WISDOMTREE US HIGH YIELD COR</t>
  </si>
  <si>
    <t>EUSB US Equity</t>
  </si>
  <si>
    <t>iShares ESG Advanced Univers</t>
  </si>
  <si>
    <t>ISHR ESG ADVN UNIVERSAL BD-$</t>
  </si>
  <si>
    <t>JBND US Equity</t>
  </si>
  <si>
    <t>JPMorgan Active Bond ETF</t>
  </si>
  <si>
    <t>JPMORGAN ACTIVE BOND ETF</t>
  </si>
  <si>
    <t>PFL CN Equity</t>
  </si>
  <si>
    <t>Invesco Canadian Government</t>
  </si>
  <si>
    <t>INVESCO CANADIAN GOVERNMENT</t>
  </si>
  <si>
    <t>SPTB US Equity</t>
  </si>
  <si>
    <t>SS SPDR P TREASURY ETF</t>
  </si>
  <si>
    <t>551900 CH Equity</t>
  </si>
  <si>
    <t>招商中证AAA科技创新公司债交</t>
  </si>
  <si>
    <t>CN MR CS AA SC-TC IN CR ETF</t>
  </si>
  <si>
    <t>CAAA US Equity</t>
  </si>
  <si>
    <t>First Trust AAA CMBS ETF</t>
  </si>
  <si>
    <t>FIRST TRUST AAA CMBS ETF-USD</t>
  </si>
  <si>
    <t>PSGFK1 IT Equity</t>
  </si>
  <si>
    <t>IBI SAL 00 Kosher Tel-Bond 6</t>
  </si>
  <si>
    <t>IBI SAL 00 KOHR TEL-BD 60 IL</t>
  </si>
  <si>
    <t>FCGB CN Equity</t>
  </si>
  <si>
    <t>Fidelity Global Core Plus Bo</t>
  </si>
  <si>
    <t>FIDELITY GLOBAL CORE PLUS BO</t>
  </si>
  <si>
    <t>QHY CN Equity</t>
  </si>
  <si>
    <t>Mackenzie US High Yield Bond</t>
  </si>
  <si>
    <t>MACKENZIE US HIGH YIELD BOND</t>
  </si>
  <si>
    <t>TBCF CN Equity</t>
  </si>
  <si>
    <t>TD Target 2026 Investment Gr</t>
  </si>
  <si>
    <t>TD TGT 2026 INV GR BD</t>
  </si>
  <si>
    <t>NBTR US Equity</t>
  </si>
  <si>
    <t>Neuberger Berman Total Retur</t>
  </si>
  <si>
    <t>NEUBERGER BERMAN TOT RB ETF</t>
  </si>
  <si>
    <t>ASIG NA Equity</t>
  </si>
  <si>
    <t>iShares Asia Investment Grad</t>
  </si>
  <si>
    <t>ISHARES ASIA IG CORP USD ACC</t>
  </si>
  <si>
    <t>196230 KS Equity</t>
  </si>
  <si>
    <t>KB RISE Short-Term MSB ETF -</t>
  </si>
  <si>
    <t>KB RISE SHORT-TE MS ETF-BOND</t>
  </si>
  <si>
    <t>RMNY US Equity</t>
  </si>
  <si>
    <t>Rockefeller New York Municip</t>
  </si>
  <si>
    <t>ROCKEFELLER NY MUNI BND ETF</t>
  </si>
  <si>
    <t>AFRN FP Equity</t>
  </si>
  <si>
    <t>Amundi Floating Rate Euro Co</t>
  </si>
  <si>
    <t>AMUNDI EUR FLOAT RATE CORP B</t>
  </si>
  <si>
    <t>ZMU CN Equity</t>
  </si>
  <si>
    <t>BMO Mid-Term US IG Corporate</t>
  </si>
  <si>
    <t>BMO MID US IG CORP HG TO CAD</t>
  </si>
  <si>
    <t>TBIL CN Equity</t>
  </si>
  <si>
    <t>Harvest Canadian T-Bill ETF</t>
  </si>
  <si>
    <t>CANADIAN T-BILL ETF</t>
  </si>
  <si>
    <t>159110 CH Equity</t>
  </si>
  <si>
    <t>万家深证AAA科技创新公司债交</t>
  </si>
  <si>
    <t>WAN SZ A SC-TCH IN CR BD ETF</t>
  </si>
  <si>
    <t>CSBGC3 SW Equity</t>
  </si>
  <si>
    <t>iShares安硕瑞士国内 1-3年期</t>
  </si>
  <si>
    <t>ISHARES SBIDG 0-3 CH</t>
  </si>
  <si>
    <t>NHYB CN Equity</t>
  </si>
  <si>
    <t>NBI High Yield Bond ETF</t>
  </si>
  <si>
    <t>NBI HIGH YIELD BOND ETF</t>
  </si>
  <si>
    <t>BSCZ US Equity</t>
  </si>
  <si>
    <t>Invesco BulletShares 2035 Co</t>
  </si>
  <si>
    <t>INVESCO BULLETSHARES 2035 CB</t>
  </si>
  <si>
    <t>BSJQ US Equity</t>
  </si>
  <si>
    <t>Invesco Bulletshares 2026 Hi</t>
  </si>
  <si>
    <t>INVESCO BULLETSHARES 2026 HY</t>
  </si>
  <si>
    <t>USSH US Equity</t>
  </si>
  <si>
    <t>WisdomTree 1-3 Year Laddered</t>
  </si>
  <si>
    <t>WISDOMTREE 1-3 Y LAD TRY FD</t>
  </si>
  <si>
    <t>HRLF227 IT Equity</t>
  </si>
  <si>
    <t>Harel Sal 00 Tel Bond - CPI</t>
  </si>
  <si>
    <t>HAREL SAL TEL-BCL BANK IL</t>
  </si>
  <si>
    <t>159400 CH Equity</t>
  </si>
  <si>
    <t>景顺长城深证AAA科技创新公司</t>
  </si>
  <si>
    <t>INV GRT WL S AAA S-T ICB ETF</t>
  </si>
  <si>
    <t>AK8G GR Equity</t>
  </si>
  <si>
    <t>Amundi Fixed Maturity 2027 G</t>
  </si>
  <si>
    <t>AMUNDI FIX MATU28 GERMAN BND</t>
  </si>
  <si>
    <t>TFLR US Equity</t>
  </si>
  <si>
    <t>T Rowe Price Floating Rate E</t>
  </si>
  <si>
    <t>T ROWE PRICE FLOATING RT ETF</t>
  </si>
  <si>
    <t>CORB US Equity</t>
  </si>
  <si>
    <t>AB Core Bond ETF</t>
  </si>
  <si>
    <t>AB CORE BOND ETF</t>
  </si>
  <si>
    <t>IBCQ GR Equity</t>
  </si>
  <si>
    <t>iShares安硕全球公司债欧元套</t>
  </si>
  <si>
    <t>ISHARES GLB CORP BD EUR-H</t>
  </si>
  <si>
    <t>FLRG GR Equity</t>
  </si>
  <si>
    <t>FRANK SU EUR GN BD UCITS ETF</t>
  </si>
  <si>
    <t>XB13 GR Equity</t>
  </si>
  <si>
    <t>Xtrackers II德国国债1-3年UCI</t>
  </si>
  <si>
    <t>X GERMANY GOV BOND 1-3 1D</t>
  </si>
  <si>
    <t>WSGB CN Equity</t>
  </si>
  <si>
    <t>Wealthsimple North American</t>
  </si>
  <si>
    <t>WEALTHSIMPLE NT AME GR BD ID</t>
  </si>
  <si>
    <t>FTSD US Equity</t>
  </si>
  <si>
    <t>富兰克林短期美国国债ETF</t>
  </si>
  <si>
    <t>FRANKLIN SHORT DURATION U.S.</t>
  </si>
  <si>
    <t>C3M FP Equity</t>
  </si>
  <si>
    <t>东方汇理ETF国债0-6个月欧元投</t>
  </si>
  <si>
    <t>AM EURO GOV BD 0-6 M ETF ACC</t>
  </si>
  <si>
    <t>KSMF1 IT Equity</t>
  </si>
  <si>
    <t>KSM ETF TEL-CP35</t>
  </si>
  <si>
    <t>ISXF LN Equity</t>
  </si>
  <si>
    <t>iShares安硕英镑除金融债UCITS</t>
  </si>
  <si>
    <t>ISHARES GBP CORP EX-FINANCL</t>
  </si>
  <si>
    <t>MNY CN Equity</t>
  </si>
  <si>
    <t>Purpose Cash Management Fund</t>
  </si>
  <si>
    <t>PURPOSE CASH MANAGEMENT FUND</t>
  </si>
  <si>
    <t>AGGG AU Equity</t>
  </si>
  <si>
    <t>iShares Core Global Aggregat</t>
  </si>
  <si>
    <t>ISHARES CORE GLB AB AUD H</t>
  </si>
  <si>
    <t>IGLS LN Equity</t>
  </si>
  <si>
    <t>iShares安硕英国金边债券0-5年</t>
  </si>
  <si>
    <t>ISHARES UK GILTS 0-5YR UCITS</t>
  </si>
  <si>
    <t>HRLF4 IT Equity</t>
  </si>
  <si>
    <t>Harel Sal 00 Tel Bond 60</t>
  </si>
  <si>
    <t>HAREL SAL 00 TEL BOND 60</t>
  </si>
  <si>
    <t>JEST GR Equity</t>
  </si>
  <si>
    <t>JPMorgan EUR Ultra-Short Inc</t>
  </si>
  <si>
    <t>JPM EUR ULTSHRT INC ACT ETF</t>
  </si>
  <si>
    <t>NUSA US Equity</t>
  </si>
  <si>
    <t>Nuveen ESG 1-5 Year US Aggre</t>
  </si>
  <si>
    <t>NUV ESG 1-5 YR US AB ETF-USD</t>
  </si>
  <si>
    <t>JU13 LN Equity</t>
  </si>
  <si>
    <t>JPM BETAB USTRE13YR UCIT ETF</t>
  </si>
  <si>
    <t>EGVD GR Equity</t>
  </si>
  <si>
    <t>Invesco EUR Government and R</t>
  </si>
  <si>
    <t>IN EU GO RE GR BD WE U E-EUR</t>
  </si>
  <si>
    <t>419890 KS Equity</t>
  </si>
  <si>
    <t>Kiwoom KIWOOM Short-Term Bon</t>
  </si>
  <si>
    <t>KIWOOM SHORT-TERM BD ESG ACT</t>
  </si>
  <si>
    <t>GBF NZ Equity</t>
  </si>
  <si>
    <t>Smart Global Bond ETF</t>
  </si>
  <si>
    <t>SMART GLOBAL BOND ETF</t>
  </si>
  <si>
    <t>BBSB US Equity</t>
  </si>
  <si>
    <t>JPM BETA US TR 1-3 YR ETF</t>
  </si>
  <si>
    <t>00741B TT Equity</t>
  </si>
  <si>
    <t>Fubon 1-5 Years US High Yiel</t>
  </si>
  <si>
    <t>FB 1-5YR US HIGH YIELD B</t>
  </si>
  <si>
    <t>ACBRGLT IN Equity</t>
  </si>
  <si>
    <t>Aditya Birla Sun Life CRISIL</t>
  </si>
  <si>
    <t>AB CRSL BRD GLT ETF</t>
  </si>
  <si>
    <t>ECR1 GR Equity</t>
  </si>
  <si>
    <t>AM EUR CORP B 0-1Y ESG - C</t>
  </si>
  <si>
    <t>EH1Y GR Equity</t>
  </si>
  <si>
    <t>iShares Broad EUR High Yield</t>
  </si>
  <si>
    <t>ISH BROAD EUR HY CORP EUR D</t>
  </si>
  <si>
    <t>TOTL US Equity</t>
  </si>
  <si>
    <t>道富Doubleline总回报策略ETF</t>
  </si>
  <si>
    <t>SS DOUBLELINE TR TACT ETF</t>
  </si>
  <si>
    <t>SCHO US Equity</t>
  </si>
  <si>
    <t>嘉信短期美国国债ETF</t>
  </si>
  <si>
    <t>SCHWAB SHORT-TERM US TREAS</t>
  </si>
  <si>
    <t>XB27 GR Equity</t>
  </si>
  <si>
    <t>X MAT SEP27 EUR CORP 1D</t>
  </si>
  <si>
    <t>RFCI US Equity</t>
  </si>
  <si>
    <t>RiverFront Dynamic Core Inco</t>
  </si>
  <si>
    <t>RIVERFRONT DYNAMIC CORE INC</t>
  </si>
  <si>
    <t>RPF CN Equity</t>
  </si>
  <si>
    <t>RBC Canadian Preferred Share</t>
  </si>
  <si>
    <t>RBC CANADIAN PFD SHARE ETF</t>
  </si>
  <si>
    <t>SHY US Equity</t>
  </si>
  <si>
    <t>iShares安硕1-3年期国债ETF</t>
  </si>
  <si>
    <t>ISHARES 1-3 YEAR TREASURY BO</t>
  </si>
  <si>
    <t>511580 CH Equity</t>
  </si>
  <si>
    <t>招商中证政策性金融债3-5年交</t>
  </si>
  <si>
    <t>CHN CSI TSY BD 0-3Y ETF</t>
  </si>
  <si>
    <t>JPST CN Equity</t>
  </si>
  <si>
    <t>JPMorgan US Ultra-Short Inco</t>
  </si>
  <si>
    <t>JPM ULTRA-SHORT IN ACT ETF</t>
  </si>
  <si>
    <t>XEZ5 GR Equity</t>
  </si>
  <si>
    <t>X EURZ GOVT BOND 5-7 ESG 1C</t>
  </si>
  <si>
    <t>JBND CN Equity</t>
  </si>
  <si>
    <t>JPMorgan US Bond Active ETF</t>
  </si>
  <si>
    <t>JPMORGAN US BOND ACTIVE ETF</t>
  </si>
  <si>
    <t>SUSU LN Equity</t>
  </si>
  <si>
    <t>iShares安硕美元公司债0-3年ES</t>
  </si>
  <si>
    <t>ISHARES $ CORP BOND 0-3YR ES</t>
  </si>
  <si>
    <t>159113 CH Equity</t>
  </si>
  <si>
    <t>大成中证AAA科技创新公司债交</t>
  </si>
  <si>
    <t>DC CSI AA SC-TC IN CR BN ETF</t>
  </si>
  <si>
    <t>LDRT US Equity</t>
  </si>
  <si>
    <t>iShares iBonds 1-5 Year Trea</t>
  </si>
  <si>
    <t>ISHARES IBOND 1-5 TREA LAD</t>
  </si>
  <si>
    <t>MULT US Equity</t>
  </si>
  <si>
    <t>Franklin Multisector Income</t>
  </si>
  <si>
    <t>FRANKLIN MULTISECTO INCO ETF</t>
  </si>
  <si>
    <t>BS0A LN Equity</t>
  </si>
  <si>
    <t>Invesco BulletShares 2030 US</t>
  </si>
  <si>
    <t>IVZ BULLETSHARES 2030 USD A</t>
  </si>
  <si>
    <t>USFI US Equity</t>
  </si>
  <si>
    <t>BrandywineGLOBAL US Fixed In</t>
  </si>
  <si>
    <t>BRANDYWINEGLOBAL U.S. FI ETF</t>
  </si>
  <si>
    <t>PLUS AU Equity</t>
  </si>
  <si>
    <t>VanEck Australian Corporate</t>
  </si>
  <si>
    <t>VANECK AUSTRALIAN CORPORATE</t>
  </si>
  <si>
    <t>IBDY US Equity</t>
  </si>
  <si>
    <t>ISHARES IBONDS DEC 2033 CORP</t>
  </si>
  <si>
    <t>USTYP SW Equity</t>
  </si>
  <si>
    <t>UBS USD Treasury Yield Plus</t>
  </si>
  <si>
    <t>UBS USD TR YIE PLU UCITS ETF</t>
  </si>
  <si>
    <t>TCHF138 IT Equity</t>
  </si>
  <si>
    <t>TACHLIT SAL TEL BOND CPI BNK</t>
  </si>
  <si>
    <t>FBGO CN Equity</t>
  </si>
  <si>
    <t>Franklin Brandywine Global I</t>
  </si>
  <si>
    <t>FRNKLN BRNDYWIN GLB IN OF-EC</t>
  </si>
  <si>
    <t>FIGB US Equity</t>
  </si>
  <si>
    <t>Fidelity Investment Grade Bo</t>
  </si>
  <si>
    <t>FIDELITY INVEST GRD BND ETF</t>
  </si>
  <si>
    <t>AESG AU Equity</t>
  </si>
  <si>
    <t>iSHARES GLB AGG BD ESG ETF</t>
  </si>
  <si>
    <t>TCHFK1 IT Equity</t>
  </si>
  <si>
    <t>TACHLIT SAL KOSHER TEL BND Y</t>
  </si>
  <si>
    <t>239660 KS Equity</t>
  </si>
  <si>
    <t>Hanwha Plus Credit Bond 50 E</t>
  </si>
  <si>
    <t>HANWHA PLUS CREDIT BOND 50 E</t>
  </si>
  <si>
    <t>PCON CN Equity</t>
  </si>
  <si>
    <t>Pimco Managed Conservative B</t>
  </si>
  <si>
    <t>PIMCO MANAGED CONSERVATIVE B</t>
  </si>
  <si>
    <t>MHYB CN Equity</t>
  </si>
  <si>
    <t>Mackenzie Global High Yield</t>
  </si>
  <si>
    <t>MACKENZIE GLOBAL HIGH YIELD</t>
  </si>
  <si>
    <t>TCHF41 IT Equity</t>
  </si>
  <si>
    <t>Tachlit Sal 00 Tel Bond Yiel</t>
  </si>
  <si>
    <t>TACHLIT SAL TEL BOND YIELDS</t>
  </si>
  <si>
    <t>PAUS AU Equity</t>
  </si>
  <si>
    <t>PIMCO Australian Bond Active</t>
  </si>
  <si>
    <t>PIMCO AUSTRALIAN BOND AT ETF</t>
  </si>
  <si>
    <t>UIMC GR Equity</t>
  </si>
  <si>
    <t>UBS BBG MSCI Euro Area Liqui</t>
  </si>
  <si>
    <t>UBS EUR L.C.S.US</t>
  </si>
  <si>
    <t>TRE3 LN Equity</t>
  </si>
  <si>
    <t>Invesco US Treasury 1-3 Year</t>
  </si>
  <si>
    <t>INVESCO US TRES 1-3 YR DIST</t>
  </si>
  <si>
    <t>2857 JP Equity</t>
  </si>
  <si>
    <t>iShares Germany Government B</t>
  </si>
  <si>
    <t>ISHARES GERMAN GVT BD ETF HG</t>
  </si>
  <si>
    <t>MTFF4 IT Equity</t>
  </si>
  <si>
    <t>MTF SAL 00 Tel-Bond 60</t>
  </si>
  <si>
    <t>MTF SAL TEL-BOND 60</t>
  </si>
  <si>
    <t>CSBGU3 SW Equity</t>
  </si>
  <si>
    <t>iShares安硕美元国债1-3年UCIT</t>
  </si>
  <si>
    <t>ISHARES TRSY 1-3YR USD ACC B</t>
  </si>
  <si>
    <t>0001S0 KS Equity</t>
  </si>
  <si>
    <t>MIRAE ASSET TIGER 26-04 CORP</t>
  </si>
  <si>
    <t>EMBE LN Equity</t>
  </si>
  <si>
    <t>ISHARES JPM USD EM BND EUR-H</t>
  </si>
  <si>
    <t>511360 CH Equity</t>
  </si>
  <si>
    <t>海富通中证短融交易型开放式指</t>
  </si>
  <si>
    <t>HFT CSI COMMERCIAL PAPER ETF</t>
  </si>
  <si>
    <t>RMIF US Equity</t>
  </si>
  <si>
    <t>LHA Risk-Managed Income ETF</t>
  </si>
  <si>
    <t>LHA RISK MANAGED INCOME ETF</t>
  </si>
  <si>
    <t>159650 CH Equity</t>
  </si>
  <si>
    <t>博时中债0-3年国开行债券交易</t>
  </si>
  <si>
    <t>BS CHINABD 0-3Y CDB BD ETF</t>
  </si>
  <si>
    <t>OBLI FP Equity</t>
  </si>
  <si>
    <t>Amundi PEA Euro Court Terme</t>
  </si>
  <si>
    <t>AMUNDI PEA EURO COURT TERME</t>
  </si>
  <si>
    <t>EUED GR Equity</t>
  </si>
  <si>
    <t>iShares EUR UltraShort Bond</t>
  </si>
  <si>
    <t>ISHARES EUR ULTRASHORT BOND</t>
  </si>
  <si>
    <t>SPTS US Equity</t>
  </si>
  <si>
    <t>道富SPDR投资组合短期美国国债</t>
  </si>
  <si>
    <t>SS SPDR P ST TERM TSY ETF</t>
  </si>
  <si>
    <t>TRS3 LN Equity</t>
  </si>
  <si>
    <t>SPDR彭博1-3年期美国国债UCITS</t>
  </si>
  <si>
    <t>SPDR BBG 1-3 US TREASURY</t>
  </si>
  <si>
    <t>BSV US Equity</t>
  </si>
  <si>
    <t>先锋领航短期债券ETF</t>
  </si>
  <si>
    <t>VANGUARD SHORT-TERM BOND ETF</t>
  </si>
  <si>
    <t>TCHF10 IT Equity</t>
  </si>
  <si>
    <t>Tachlit Sal 00 Tel Bond 20</t>
  </si>
  <si>
    <t>TACHLIT SAL 00 TEL BOND 20</t>
  </si>
  <si>
    <t>XTWO US Equity</t>
  </si>
  <si>
    <t>BondBloxx Bloomberg Two Year</t>
  </si>
  <si>
    <t>BONDBLOXX BBG 2Y US TSY ETF</t>
  </si>
  <si>
    <t>MYCJ US Equity</t>
  </si>
  <si>
    <t>State Street My2030 Corporat</t>
  </si>
  <si>
    <t>STATE STREET MY2030 CORPORAT</t>
  </si>
  <si>
    <t>CBIL CN Equity</t>
  </si>
  <si>
    <t>Global X 0-3 Month T-Bill ET</t>
  </si>
  <si>
    <t>GLOBAL X 0-3 MONTH T-BILL-A</t>
  </si>
  <si>
    <t>TCHF33 IT Equity</t>
  </si>
  <si>
    <t>Tachlit SAL 00 CPI-Linked Go</t>
  </si>
  <si>
    <t>TACHLIT SAL 00 CPI GV B 5-10</t>
  </si>
  <si>
    <t>NTGB CN Equity</t>
  </si>
  <si>
    <t>NBI Target 2027 Investment G</t>
  </si>
  <si>
    <t>NBI TAR 2027 INV GRA BO FUND</t>
  </si>
  <si>
    <t>2245 JP Equity</t>
  </si>
  <si>
    <t>NEXT FUNDS Bloomberg Germany</t>
  </si>
  <si>
    <t>NF GERMANY T BD 7-10 HDG ETF</t>
  </si>
  <si>
    <t>TUHY CN Equity</t>
  </si>
  <si>
    <t>TD Active US High Yield Bond</t>
  </si>
  <si>
    <t>TD ACTIVE US HIGH YIELD BOND</t>
  </si>
  <si>
    <t>VBND AU Equity</t>
  </si>
  <si>
    <t>VANGUARD GLB AGG BD IND(H)ET</t>
  </si>
  <si>
    <t>XUT3 LN Equity</t>
  </si>
  <si>
    <t>Xtrackers II美国国债1-3年UCI</t>
  </si>
  <si>
    <t>X US TREASURIES 1-3 1D</t>
  </si>
  <si>
    <t>EDEW GR Equity</t>
  </si>
  <si>
    <t>BNP Paribas Easy Bloomberg U</t>
  </si>
  <si>
    <t>BNP PARIBAS BBG US TRE 1-3</t>
  </si>
  <si>
    <t>159651 CH Equity</t>
  </si>
  <si>
    <t>国开债券ETF</t>
  </si>
  <si>
    <t>PA 0-3Y CDB BOND ETF</t>
  </si>
  <si>
    <t>LFAI US Equity</t>
  </si>
  <si>
    <t>LifeX 2050 Longevity Income</t>
  </si>
  <si>
    <t>LIFEX 2050 LONGEVITY INCOME</t>
  </si>
  <si>
    <t>PEU IM Equity</t>
  </si>
  <si>
    <t>景顺欧元现金3个月UCITS ETF</t>
  </si>
  <si>
    <t>INVESCO EURO CASH 3 MTH</t>
  </si>
  <si>
    <t>XCCC US Equity</t>
  </si>
  <si>
    <t>BondBloxx CCC-Rated USD High</t>
  </si>
  <si>
    <t>BONDBLOXX-CCC-USD HY CORP BD</t>
  </si>
  <si>
    <t>IBTI US Equity</t>
  </si>
  <si>
    <t>ISHARES IBONDS DEC 2028 TERM</t>
  </si>
  <si>
    <t>UTWO US Equity</t>
  </si>
  <si>
    <t>F/m US Treasury 2 Year Note</t>
  </si>
  <si>
    <t>F/M US TREASURY 2 YEAR NOTE</t>
  </si>
  <si>
    <t>VUDY LN Equity</t>
  </si>
  <si>
    <t>Vanguard US Treasury 1-3 Yea</t>
  </si>
  <si>
    <t>VANG US T 1-3 YR B ETF U D</t>
  </si>
  <si>
    <t>00981D TT Equity</t>
  </si>
  <si>
    <t>CTBC Value Strategy High Yie</t>
  </si>
  <si>
    <t>CTBC VAL STRA HIGH YLD BDACT</t>
  </si>
  <si>
    <t>USAG LN Equity</t>
  </si>
  <si>
    <t>SPDR彭博美国综合债券UCITS ET</t>
  </si>
  <si>
    <t>SPDR BBG US AGGREGATE</t>
  </si>
  <si>
    <t>IGCB US Equity</t>
  </si>
  <si>
    <t>TCW Corporate Bond ETF</t>
  </si>
  <si>
    <t>TCW CORPORATE BOND ETF</t>
  </si>
  <si>
    <t>IHCB AU Equity</t>
  </si>
  <si>
    <t>iShares Core Global Corporat</t>
  </si>
  <si>
    <t>ISHARES CORE GL CORP BD AUDH</t>
  </si>
  <si>
    <t>XE01 GR Equity</t>
  </si>
  <si>
    <t>X EURZ GOVT BOND 0-1 1C</t>
  </si>
  <si>
    <t>511150 CH Equity</t>
  </si>
  <si>
    <t>永赢上证AAA科技创新公司债交</t>
  </si>
  <si>
    <t>MAXW SSE A S-T INC B ETF</t>
  </si>
  <si>
    <t>XGIN GR Equity</t>
  </si>
  <si>
    <t>Xtrackers II全球通胀挂钩债券</t>
  </si>
  <si>
    <t>X GLOBAL INFL-LINKED 1C EUR</t>
  </si>
  <si>
    <t>CMBS US Equity</t>
  </si>
  <si>
    <t>iShares安硕CMBS ETF</t>
  </si>
  <si>
    <t>ISHARES CMBS ETF</t>
  </si>
  <si>
    <t>BAB US Equity</t>
  </si>
  <si>
    <t>景顺应税市政债券</t>
  </si>
  <si>
    <t>INVESCO TAXABLE MUNICIPAL BO</t>
  </si>
  <si>
    <t>MLN US Equity</t>
  </si>
  <si>
    <t>VanEck长期地方债ETF</t>
  </si>
  <si>
    <t>VANECK LONG MUNI ETF</t>
  </si>
  <si>
    <t>IBGM LN Equity</t>
  </si>
  <si>
    <t>iShares安硕欧元国债7-10年期U</t>
  </si>
  <si>
    <t>ISHARES EURO GOVT 7-10YR</t>
  </si>
  <si>
    <t>SCEC US Equity</t>
  </si>
  <si>
    <t>Sterling Capital Enhanced Co</t>
  </si>
  <si>
    <t>STERLING CAPITAL ENH CB ETF</t>
  </si>
  <si>
    <t>HRLFK41 IT Equity</t>
  </si>
  <si>
    <t>HAREL KOSHER TEL BOND 60</t>
  </si>
  <si>
    <t>SCCR US Equity</t>
  </si>
  <si>
    <t>Schwab Core Bond ETF</t>
  </si>
  <si>
    <t>SCHWAB CORE BOND ETF</t>
  </si>
  <si>
    <t>PEMD LN Equity</t>
  </si>
  <si>
    <t>Invesco Emerging Markets USD</t>
  </si>
  <si>
    <t>INVESCO EM USD BOND</t>
  </si>
  <si>
    <t>3141 HK Equity</t>
  </si>
  <si>
    <t>ChinaAMC Asia USD Investment</t>
  </si>
  <si>
    <t>CHINAAMC ASIA USD INVEST-HKD</t>
  </si>
  <si>
    <t>GILS LN Equity</t>
  </si>
  <si>
    <t>东方汇理核心英国国债UCITS ET</t>
  </si>
  <si>
    <t>AM CR UK GOVT BOND ETF DIST</t>
  </si>
  <si>
    <t>GLTP LN Equity</t>
  </si>
  <si>
    <t>Invesco UK Gilts UCITS ETF</t>
  </si>
  <si>
    <t>INVESCO UK GILT DIST</t>
  </si>
  <si>
    <t>DXBU CN Equity</t>
  </si>
  <si>
    <t>Dynamic Active US Investment</t>
  </si>
  <si>
    <t>DYNAMIC ACTIVE US IG BD ETF</t>
  </si>
  <si>
    <t>PJS1 GR Equity</t>
  </si>
  <si>
    <t>PIMCO欧元短到期UCITS ETF</t>
  </si>
  <si>
    <t>PIMCO EURO SHRT INC</t>
  </si>
  <si>
    <t>EMES LN Equity</t>
  </si>
  <si>
    <t>iShares JP Morgan Advanced U</t>
  </si>
  <si>
    <t>ISHARES JP MORGAN ADVANCED $</t>
  </si>
  <si>
    <t>ZSU CN Equity</t>
  </si>
  <si>
    <t>BMO Short-Term US IG Corpora</t>
  </si>
  <si>
    <t>BMO SHORT-TERM US IG CORPORA</t>
  </si>
  <si>
    <t>HYSA US Equity</t>
  </si>
  <si>
    <t>Bondbloxx USD High Yield Sec</t>
  </si>
  <si>
    <t>BONDBLOXX USD HY SEC ROTATON</t>
  </si>
  <si>
    <t>GOVT US Equity</t>
  </si>
  <si>
    <t>iShares安硕美国国债ETF</t>
  </si>
  <si>
    <t>ISHARES US TREASURY BOND ETF</t>
  </si>
  <si>
    <t>XTEN US Equity</t>
  </si>
  <si>
    <t>BondBloxx Bloomberg Ten Year</t>
  </si>
  <si>
    <t>BONDBLOXX BBG 10Y US TSY ETF</t>
  </si>
  <si>
    <t>FUIG LN Equity</t>
  </si>
  <si>
    <t>Fidelity USD Corp Bond Resea</t>
  </si>
  <si>
    <t>FIDELITY USD CORP BOND RESEA</t>
  </si>
  <si>
    <t>BSE6 GR Equity</t>
  </si>
  <si>
    <t>Invesco BulletShares 2026 EU</t>
  </si>
  <si>
    <t>IVZ BULLETSHARES 2026 EUR A</t>
  </si>
  <si>
    <t>IGCB LN Equity</t>
  </si>
  <si>
    <t>Invesco GBP Corporate Bond U</t>
  </si>
  <si>
    <t>INVESCO GBP CORPORATE BOND</t>
  </si>
  <si>
    <t>BMDL US Equity</t>
  </si>
  <si>
    <t>VictoryShares WestEnd Econom</t>
  </si>
  <si>
    <t>VS WE ECON CYCLE BOND ETF</t>
  </si>
  <si>
    <t>BCKT US Equity</t>
  </si>
  <si>
    <t>LifeX 2030 Income Bucket ETF</t>
  </si>
  <si>
    <t>LIFEX 2030 INCOME BUCKET ETF</t>
  </si>
  <si>
    <t>CFLX CN Equity</t>
  </si>
  <si>
    <t>CIBC Flexible Yield ETF CAD-</t>
  </si>
  <si>
    <t>CIBC FLEXIBLE YIELD ETF-CAD</t>
  </si>
  <si>
    <t>HYD US Equity</t>
  </si>
  <si>
    <t>范达高收益地方债ETF</t>
  </si>
  <si>
    <t>VANECK HIGH YIELD MUNI ETF</t>
  </si>
  <si>
    <t>QUIG CN Equity</t>
  </si>
  <si>
    <t>Mackenzie US Investment Grad</t>
  </si>
  <si>
    <t>MACKENZIE US INVESTMENT GRAD</t>
  </si>
  <si>
    <t>KSMF154 IT Equity</t>
  </si>
  <si>
    <t>KSM ETF 00 All-Bond Floating</t>
  </si>
  <si>
    <t>KSM ETF 00 AL-BN FLT SHKL IL</t>
  </si>
  <si>
    <t>ECMF GR Equity</t>
  </si>
  <si>
    <t>Invesco EUR Corporate Bond E</t>
  </si>
  <si>
    <t>INVESCO EUR CORPORATE BOND E</t>
  </si>
  <si>
    <t>CGHY CN Equity</t>
  </si>
  <si>
    <t>CI High Yield Bond Private P</t>
  </si>
  <si>
    <t>CI HIGH YIELD BOND PVT POOL</t>
  </si>
  <si>
    <t>FTRB US Equity</t>
  </si>
  <si>
    <t>Federated Hermes Total Retur</t>
  </si>
  <si>
    <t>FED HERMES TTL RTRN BND</t>
  </si>
  <si>
    <t>AGZ US Equity</t>
  </si>
  <si>
    <t>安硕机构债ETF</t>
  </si>
  <si>
    <t>ISHARES AGENCY BOND ETF</t>
  </si>
  <si>
    <t>FIIG US Equity</t>
  </si>
  <si>
    <t>First Trust Intermediate Dur</t>
  </si>
  <si>
    <t>FT INTERMED DUR IG CORP ETF</t>
  </si>
  <si>
    <t>00710B TT Equity</t>
  </si>
  <si>
    <t>Fuh Hwa 1-5 Yr High Yield ET</t>
  </si>
  <si>
    <t>FUH HWA 1-5 YR HIGH YLD ETF</t>
  </si>
  <si>
    <t>MTFF12 IT Equity</t>
  </si>
  <si>
    <t>MTF SAL 00 Tel Bond Yields</t>
  </si>
  <si>
    <t>MTF SAL TEL BOND YIELDS</t>
  </si>
  <si>
    <t>XYP0 GR Equity</t>
  </si>
  <si>
    <t>Xtrackers II iBoxx Eurozone</t>
  </si>
  <si>
    <t>X IBOXX EURZ GOV YP 0-1 1C</t>
  </si>
  <si>
    <t>0123S0 KS Equity</t>
  </si>
  <si>
    <t>NH-Amundi HANARO 26-12 Bank</t>
  </si>
  <si>
    <t>NH-AMUNDI HANARO 26-12 BANK</t>
  </si>
  <si>
    <t>US13 LN Equity</t>
  </si>
  <si>
    <t>东方汇理美国国债1-3年</t>
  </si>
  <si>
    <t>AMUNDI US TREASURY BOND 1-3Y</t>
  </si>
  <si>
    <t>UTRE US Equity</t>
  </si>
  <si>
    <t>F/m US Treasury 3 Year Note</t>
  </si>
  <si>
    <t>F/M US TREASURY 3 YEAR NOTE</t>
  </si>
  <si>
    <t>3478 HK Equity</t>
  </si>
  <si>
    <t>Premia BOCHK Saudi Arabia Go</t>
  </si>
  <si>
    <t>PREMIA BOCHK SAUDI AB GV</t>
  </si>
  <si>
    <t>551800 CH Equity</t>
  </si>
  <si>
    <t>国泰中证AAA科技创新公司债交</t>
  </si>
  <si>
    <t>GT CS AA SC-TC IN CR BN ETF</t>
  </si>
  <si>
    <t>473290 KS Equity</t>
  </si>
  <si>
    <t>SAMSUNG KODEX 26-12 Corporat</t>
  </si>
  <si>
    <t>SS KODEX 26-12 CORP BOND ETF</t>
  </si>
  <si>
    <t>GCOR GR Equity</t>
  </si>
  <si>
    <t>FRK SUST EU GR CRP 1-5 ETF</t>
  </si>
  <si>
    <t>LIFT US Equity</t>
  </si>
  <si>
    <t>LifeX 2028 Income Bucket ETF</t>
  </si>
  <si>
    <t>LIFEX 2028 INCOME BUCKET ETF</t>
  </si>
  <si>
    <t>VBU CN Equity</t>
  </si>
  <si>
    <t>Vanguard US Aggregate Bond I</t>
  </si>
  <si>
    <t>VANGUARD US AGGREGATE BOND I</t>
  </si>
  <si>
    <t>IBTJ US Equity</t>
  </si>
  <si>
    <t>0094K0 KS Equity</t>
  </si>
  <si>
    <t>MIRAE ASSET TIGER 28-04 CORP</t>
  </si>
  <si>
    <t>511030 CH Equity</t>
  </si>
  <si>
    <t>平安中债-中高等级公司债利差</t>
  </si>
  <si>
    <t>PA CHBD MHGSEEBI ETF FD</t>
  </si>
  <si>
    <t>DYLD US Equity</t>
  </si>
  <si>
    <t>LeaderShares Dynamic Yield E</t>
  </si>
  <si>
    <t>LEADERSHARES DYNAMIC YIELD E</t>
  </si>
  <si>
    <t>VGOV LN Equity</t>
  </si>
  <si>
    <t>Vanguard英国国债UCITS ETF</t>
  </si>
  <si>
    <t>VANG GBPGVBD GBPD</t>
  </si>
  <si>
    <t>RAAA CN Equity</t>
  </si>
  <si>
    <t>Corton Enhanced Income Fund</t>
  </si>
  <si>
    <t>CORTON ENHANCED INCOME FUND</t>
  </si>
  <si>
    <t>ICBU LN Equity</t>
  </si>
  <si>
    <t>iShares USD Intermediate Cre</t>
  </si>
  <si>
    <t>ISHARES INTRMD CREDIT BOND</t>
  </si>
  <si>
    <t>VAGS LN Equity</t>
  </si>
  <si>
    <t>VANG GLBAGG ETF GBP H ACC</t>
  </si>
  <si>
    <t>HAGE LN Equity</t>
  </si>
  <si>
    <t>HSBC ICAV GL AGG BD ESG ETF</t>
  </si>
  <si>
    <t>XTRE US Equity</t>
  </si>
  <si>
    <t>BondBloxx Bloomberg Three Ye</t>
  </si>
  <si>
    <t>BONDBLOXX BBG 3Y US TSY ETF</t>
  </si>
  <si>
    <t>IB26 GR Equity</t>
  </si>
  <si>
    <t>MUSA LN Equity</t>
  </si>
  <si>
    <t>M&amp;G US Treasury Bond Active</t>
  </si>
  <si>
    <t>M&amp;G UST BOND ACTIVE ETF</t>
  </si>
  <si>
    <t>00727B TT Equity</t>
  </si>
  <si>
    <t>Cathay High Yield ex China C</t>
  </si>
  <si>
    <t>CATH HIGH YD CH CASH CAP ETF</t>
  </si>
  <si>
    <t>VTG US Equity</t>
  </si>
  <si>
    <t>Vanguard Total Treasury ETF</t>
  </si>
  <si>
    <t>VANGUARD TOTAL TREASURY ETF</t>
  </si>
  <si>
    <t>GVI US Equity</t>
  </si>
  <si>
    <t>iShares安硕中间政府/信用债券</t>
  </si>
  <si>
    <t>ISHARES INTERMEDIATE GOVERNM</t>
  </si>
  <si>
    <t>XGBE GR Equity</t>
  </si>
  <si>
    <t>Xtrackers EUR Corporate Gree</t>
  </si>
  <si>
    <t>X EUR CORP GREEN BOND 1C</t>
  </si>
  <si>
    <t>0099L0 KS Equity</t>
  </si>
  <si>
    <t>KIM ACE High Grade Credit Bo</t>
  </si>
  <si>
    <t>KIM ACE HI CRDT BD AA- A ETF</t>
  </si>
  <si>
    <t>TCSH CN Equity</t>
  </si>
  <si>
    <t>TD Cash Management ETF</t>
  </si>
  <si>
    <t>TD CASH MANAGEMENT ETF</t>
  </si>
  <si>
    <t>TLTX US Equity</t>
  </si>
  <si>
    <t>Global X Treasury Bond Enhan</t>
  </si>
  <si>
    <t>GLOBAL X T BND ENH INC ETF</t>
  </si>
  <si>
    <t>HLPR CN Equity</t>
  </si>
  <si>
    <t>Global X Laddered Canadian P</t>
  </si>
  <si>
    <t>GLOBAL X LAD CAN PR SH IN CO</t>
  </si>
  <si>
    <t>551560 CH Equity</t>
  </si>
  <si>
    <t>兴业中证AAA科技创新公司债交</t>
  </si>
  <si>
    <t>CIB CSI AAA SCI-TE IN CO ETF</t>
  </si>
  <si>
    <t>LDDR US Equity</t>
  </si>
  <si>
    <t>LifeX 2035 Income Bucket ETF</t>
  </si>
  <si>
    <t>LIFEX 2035 INCOME BUCKET ETF</t>
  </si>
  <si>
    <t>DXP CN Equity</t>
  </si>
  <si>
    <t>Dynamic Active Preferred Sha</t>
  </si>
  <si>
    <t>DYNAMIC ACTIVE PREFERRED SHA</t>
  </si>
  <si>
    <t>WTBN US Equity</t>
  </si>
  <si>
    <t>WisdomTree Bianco Total Retu</t>
  </si>
  <si>
    <t>WISDOMTREE BIANCO TR FUND</t>
  </si>
  <si>
    <t>ALINMETF AB Equity</t>
  </si>
  <si>
    <t>Alinma Saudi Government Suku</t>
  </si>
  <si>
    <t>ALINMA SAUDI GOV SUKUK ETF</t>
  </si>
  <si>
    <t>00782B TT Equity</t>
  </si>
  <si>
    <t>Cathay Bloomberg 15+ Year Ut</t>
  </si>
  <si>
    <t>CATHAY BBG 15+ UTL BD ETF</t>
  </si>
  <si>
    <t>HBDC US Equity</t>
  </si>
  <si>
    <t>Hilton BDC Corporate Bond ET</t>
  </si>
  <si>
    <t>HILTON BDC CORP BOND ETF</t>
  </si>
  <si>
    <t>511160 CH Equity</t>
  </si>
  <si>
    <t>西藏东财中证1-3年国债交易型</t>
  </si>
  <si>
    <t>TIBE EAST CSI 1-3Y TR BN ETF</t>
  </si>
  <si>
    <t>551580 CH Equity</t>
  </si>
  <si>
    <t>泰康中证AAA科技创新公司债交</t>
  </si>
  <si>
    <t>TAI CSI AA S-TC IN CR BN ETF</t>
  </si>
  <si>
    <t>CAFX US Equity</t>
  </si>
  <si>
    <t>Congress Intermediate Bond E</t>
  </si>
  <si>
    <t>CONGRESS INTERMEDIATE BOND</t>
  </si>
  <si>
    <t>511120 CH Equity</t>
  </si>
  <si>
    <t>广发上证AAA科技创新公司债交</t>
  </si>
  <si>
    <t>GF SSE AAA ST INN COR BD ETF</t>
  </si>
  <si>
    <t>HSUV/U CN Equity</t>
  </si>
  <si>
    <t>Global X USD Cash Maximizer</t>
  </si>
  <si>
    <t>GLB X USD CASH MXMZ CORP ETF</t>
  </si>
  <si>
    <t>XGGB CN Equity</t>
  </si>
  <si>
    <t>iShares Global Government Bo</t>
  </si>
  <si>
    <t>ISHARES GLOBAL GOVERNMENT BO</t>
  </si>
  <si>
    <t>FCIG CN Equity</t>
  </si>
  <si>
    <t>Fidelity Global Investment G</t>
  </si>
  <si>
    <t>FIDELITY GLOBAL INV GR BOND</t>
  </si>
  <si>
    <t>ICBD NA Equity</t>
  </si>
  <si>
    <t>iShares Broad USD Corp Bond</t>
  </si>
  <si>
    <t>ISHARES BROAD CORP ETF</t>
  </si>
  <si>
    <t>VBND US Equity</t>
  </si>
  <si>
    <t>Vident美国债券策略ETF</t>
  </si>
  <si>
    <t>VIDENT US BOND STRAT ETF</t>
  </si>
  <si>
    <t>ILGB CN Equity</t>
  </si>
  <si>
    <t>IA Clarington Loomis Global</t>
  </si>
  <si>
    <t>IA CLARINGTON LOOMIS GL MS B</t>
  </si>
  <si>
    <t>NETF5YGL IN Equity</t>
  </si>
  <si>
    <t>Nippon India ETF Nifty 5 yr</t>
  </si>
  <si>
    <t>NIPPON INDIA ETF 5YR BHM G</t>
  </si>
  <si>
    <t>0007F0 KS Equity</t>
  </si>
  <si>
    <t>SAMSUNG KODEX 27-12 Corporat</t>
  </si>
  <si>
    <t>SS KDX 27-12 C BOND ACT ETF</t>
  </si>
  <si>
    <t>461270 KS Equity</t>
  </si>
  <si>
    <t>KIM ACE 26-06 Term Corporate</t>
  </si>
  <si>
    <t>KIM ACE 26-06 TERM CORP BOND</t>
  </si>
  <si>
    <t>00758B TT Equity</t>
  </si>
  <si>
    <t>Fuh Hwa 15 + YR Energy Bond</t>
  </si>
  <si>
    <t>FUH HWA 15+ ENERGY BOND ETF</t>
  </si>
  <si>
    <t>SJB US Equity</t>
  </si>
  <si>
    <t>ProShares做空高收益</t>
  </si>
  <si>
    <t>PROSHARES SHORT HIGH YIELD</t>
  </si>
  <si>
    <t>UESD LN Equity</t>
  </si>
  <si>
    <t>iShares GBP UltraShort Bond</t>
  </si>
  <si>
    <t>BIV US Equity</t>
  </si>
  <si>
    <t>先锋领航中期债券ETF</t>
  </si>
  <si>
    <t>VANGUARD INTERMEDIATE-TERM B</t>
  </si>
  <si>
    <t>RCB AU Equity</t>
  </si>
  <si>
    <t>罗素澳大利亚精选公司债ETF</t>
  </si>
  <si>
    <t>RUSSELL INVEST AUST SELECT C</t>
  </si>
  <si>
    <t>AGEB FP Equity</t>
  </si>
  <si>
    <t>Amundi USD Emerging Markets</t>
  </si>
  <si>
    <t>AM USD EMS GOV BOND ETF ACC</t>
  </si>
  <si>
    <t>PIFI US Equity</t>
  </si>
  <si>
    <t>ClearShares Piton Intermedia</t>
  </si>
  <si>
    <t>CLEARSHARES PITON INT FI ETF</t>
  </si>
  <si>
    <t>VMSB US Equity</t>
  </si>
  <si>
    <t>Voya Multi-Sector Income ETF</t>
  </si>
  <si>
    <t>VOYA MULTI-SECTOR INCOME ETF</t>
  </si>
  <si>
    <t>SYBJ GR Equity</t>
  </si>
  <si>
    <t>SPDR彭博欧洲高收益债券UCITS</t>
  </si>
  <si>
    <t>SPDR BBG EURO HIGH YIELD</t>
  </si>
  <si>
    <t>SEIX US Equity</t>
  </si>
  <si>
    <t>Virtus Seix Senior Loan ETF</t>
  </si>
  <si>
    <t>VIRTUS SEIX SENIOR LOAN ETF</t>
  </si>
  <si>
    <t>PVI US Equity</t>
  </si>
  <si>
    <t>景顺浮动利率市政收益ETF</t>
  </si>
  <si>
    <t>INVESCO FLOATING RATE MUNICI</t>
  </si>
  <si>
    <t>1GOV AU Equity</t>
  </si>
  <si>
    <t>VanEck 1-5 Year Australian G</t>
  </si>
  <si>
    <t>VANECK 1-5 YR AUS GOV BD ETF</t>
  </si>
  <si>
    <t>EU03 GR Equity</t>
  </si>
  <si>
    <t>iShares EUR Govt Bond 0-3 mo</t>
  </si>
  <si>
    <t>ISHARES EUR GOVT BOND 0-3 MO</t>
  </si>
  <si>
    <t>MGIL LN Equity</t>
  </si>
  <si>
    <t>M&amp;G UK Gilts Active UCITS ET</t>
  </si>
  <si>
    <t>M&amp;G UK GILTS ACTIVE U ETF</t>
  </si>
  <si>
    <t>SPSK US Equity</t>
  </si>
  <si>
    <t>SP Funds Dow Jones Global Su</t>
  </si>
  <si>
    <t>SP FUNDS DOW JONES GLOBAL SU</t>
  </si>
  <si>
    <t>438330 KS Equity</t>
  </si>
  <si>
    <t>Mirae Asset TIGER Investment</t>
  </si>
  <si>
    <t>MA TIGER INVT CORP BD AC ETF</t>
  </si>
  <si>
    <t>LAAA GR Equity</t>
  </si>
  <si>
    <t>Fair Oaks AAA CLO Fund // ET</t>
  </si>
  <si>
    <t>FAIR OAKS AAA CLO F-EUR DIST</t>
  </si>
  <si>
    <t>GENT US Equity</t>
  </si>
  <si>
    <t>Genter Capital Taxable Quali</t>
  </si>
  <si>
    <t>GENTER CAPITAL TAXABLE</t>
  </si>
  <si>
    <t>00985B TT Equity</t>
  </si>
  <si>
    <t>Capital ESG 0-5 Year BBB Cor</t>
  </si>
  <si>
    <t>CAPITAL ESG 0-5 YEAR BBB</t>
  </si>
  <si>
    <t>IUAG LN Equity</t>
  </si>
  <si>
    <t>iShares安硕美国综合债券UCITS</t>
  </si>
  <si>
    <t>ISHARES US AGG BND USD DIST</t>
  </si>
  <si>
    <t>2091 JP Equity</t>
  </si>
  <si>
    <t>NZAM ETF German Government B</t>
  </si>
  <si>
    <t>NZAM ETF GERMAN GOVBOND 7-10</t>
  </si>
  <si>
    <t>TUCP GR Equity</t>
  </si>
  <si>
    <t>Janus Henderson EUR Ultrasho</t>
  </si>
  <si>
    <t>JH ULTRASHORT PAB EUR A</t>
  </si>
  <si>
    <t>AK8F GR Equity</t>
  </si>
  <si>
    <t>AMUNDI FIXMAT28 EUGOV BND YI</t>
  </si>
  <si>
    <t>2554 JP Equity</t>
  </si>
  <si>
    <t>NEXT FUNDS Bloomberg US Inte</t>
  </si>
  <si>
    <t>NF US INTERMEDIATECORPIG HDG</t>
  </si>
  <si>
    <t>ZPR CN Equity</t>
  </si>
  <si>
    <t>BMO层级优先股指数ETF</t>
  </si>
  <si>
    <t>BMO LADDERED PREFERRED SHARE</t>
  </si>
  <si>
    <t>VETY LN Equity</t>
  </si>
  <si>
    <t>VANG EURGVBD EURD</t>
  </si>
  <si>
    <t>RDBH CN Equity</t>
  </si>
  <si>
    <t>RBC US Discount Bond Cad Hed</t>
  </si>
  <si>
    <t>RDBH US DSCNT BND CAD HEDGED</t>
  </si>
  <si>
    <t>IMBS LN Equity</t>
  </si>
  <si>
    <t>iShares安硕美国抵押贷款支持</t>
  </si>
  <si>
    <t>ISHARES US MBS USD DIST</t>
  </si>
  <si>
    <t>BSE7 GR Equity</t>
  </si>
  <si>
    <t>Invesco BulletShares 2027 EU</t>
  </si>
  <si>
    <t>IVZ BULLETSHARES 2027 EUR A</t>
  </si>
  <si>
    <t>EMBI FP Equity</t>
  </si>
  <si>
    <t>BNPP ESY JPM EM GD CMP-UE UA</t>
  </si>
  <si>
    <t>551520 CH Equity</t>
  </si>
  <si>
    <t>汇添富中证AAA科技创新公司债</t>
  </si>
  <si>
    <t>CHI UN CSI AAA ST IN CO ETF</t>
  </si>
  <si>
    <t>GTSB GR Equity</t>
  </si>
  <si>
    <t>Amundi Global Treasury Bond</t>
  </si>
  <si>
    <t>AM GLB TREAS BD ETF USD H C</t>
  </si>
  <si>
    <t>JRUB LN Equity</t>
  </si>
  <si>
    <t>JPMorgan USD IG Corporate Bo</t>
  </si>
  <si>
    <t>JPM USD IG CORP BND ACT ETF</t>
  </si>
  <si>
    <t>BNDS AU Equity</t>
  </si>
  <si>
    <t>Betashares Western Asset Aus</t>
  </si>
  <si>
    <t>BS WEST AUS BOND ACTIVE ETF</t>
  </si>
  <si>
    <t>H41R GR Equity</t>
  </si>
  <si>
    <t>HSBC ICAV GL CORP BND ETF</t>
  </si>
  <si>
    <t>XEZ3 GR Equity</t>
  </si>
  <si>
    <t>XTRCKRS II EGB 3-5 ESG ETF</t>
  </si>
  <si>
    <t>EVLN US Equity</t>
  </si>
  <si>
    <t>Eaton Vance Floating-Rate ET</t>
  </si>
  <si>
    <t>EATON VANCE FLOATING-RATE</t>
  </si>
  <si>
    <t>IEMB LN Equity</t>
  </si>
  <si>
    <t>ISHARES JPM USD EM BND USD D</t>
  </si>
  <si>
    <t>PFRL US Equity</t>
  </si>
  <si>
    <t>PGIM Floating Rate Income ET</t>
  </si>
  <si>
    <t>PGIM FLOATING RATE INCOME ET</t>
  </si>
  <si>
    <t>XB36 GR Equity</t>
  </si>
  <si>
    <t>XTRACKERS II TM SEP 36 ETF</t>
  </si>
  <si>
    <t>00788B TT Equity</t>
  </si>
  <si>
    <t>Yuanta US 10+ Investment Gra</t>
  </si>
  <si>
    <t>YUANTA US10+ IN UTIL BD ETF</t>
  </si>
  <si>
    <t>HYLS US Equity</t>
  </si>
  <si>
    <t>First Trust交易所交易基金IV</t>
  </si>
  <si>
    <t>FT TACTICAL HIGH YIELD ETF</t>
  </si>
  <si>
    <t>IBTK US Equity</t>
  </si>
  <si>
    <t>ISHARES IBONDS DEC 2030 TREA</t>
  </si>
  <si>
    <t>PCL0 GR Equity</t>
  </si>
  <si>
    <t>Palmer Square EUR CLO Senior</t>
  </si>
  <si>
    <t>PLMR SQR EUR CLO S DBT U ETF</t>
  </si>
  <si>
    <t>SBO SP Equity</t>
  </si>
  <si>
    <t>LionGlobal Short Duration Bo</t>
  </si>
  <si>
    <t>A LION SHORT BOND SGD</t>
  </si>
  <si>
    <t>RGB AU Equity</t>
  </si>
  <si>
    <t>罗素澳大利亚国债ETF</t>
  </si>
  <si>
    <t>RUSSELL INVEST AUST GOVT BON</t>
  </si>
  <si>
    <t>VAF AU Equity</t>
  </si>
  <si>
    <t>领航澳大利亚固定利率指数ETF</t>
  </si>
  <si>
    <t>VANGUARD AUST FI INTERST ETF</t>
  </si>
  <si>
    <t>USIG AU Equity</t>
  </si>
  <si>
    <t>Global X USD Corporate Bond</t>
  </si>
  <si>
    <t>GLO X USD COR BO CUR HED ETF</t>
  </si>
  <si>
    <t>FVSH GR Equity</t>
  </si>
  <si>
    <t>Franklin Euro Short Maturity</t>
  </si>
  <si>
    <t>FRANKLIN EUR SH MT UCITS ETF</t>
  </si>
  <si>
    <t>EIB5 GR Equity</t>
  </si>
  <si>
    <t>INVESCO EUR GOV BOND 3-5</t>
  </si>
  <si>
    <t>00937B TT Equity</t>
  </si>
  <si>
    <t>Capital ICE ESG 20+ Year BBB</t>
  </si>
  <si>
    <t>CAPITAL ICE ESG 20+ BBB US E</t>
  </si>
  <si>
    <t>SMB US Equity</t>
  </si>
  <si>
    <t>VanEck短期地方债ETF</t>
  </si>
  <si>
    <t>VANECK SHORT MUNI ETF</t>
  </si>
  <si>
    <t>XHYG GR Equity</t>
  </si>
  <si>
    <t>Xtrackers II EUR High Yield</t>
  </si>
  <si>
    <t>X EUR HY CORP BOND 1D</t>
  </si>
  <si>
    <t>GSXG GR Equity</t>
  </si>
  <si>
    <t>Goldman Sachs Global Green B</t>
  </si>
  <si>
    <t>GS GREEN BOND ETF - EUR H</t>
  </si>
  <si>
    <t>XGOV AU Equity</t>
  </si>
  <si>
    <t>VanEck 10+ Year Australian G</t>
  </si>
  <si>
    <t>VNCK 10+ YR AUS GOVT BD ETF</t>
  </si>
  <si>
    <t>0135Y0 KS Equity</t>
  </si>
  <si>
    <t>IBK ITF Mid-Term Bond AA- ab</t>
  </si>
  <si>
    <t>IBK ITF MID-TERM BOND AA- AB</t>
  </si>
  <si>
    <t>136340 KS Equity</t>
  </si>
  <si>
    <t>KB RISE信用债券证券ETF-债券</t>
  </si>
  <si>
    <t>KB RISE CREDIT BOND SECURITI</t>
  </si>
  <si>
    <t>IEI US Equity</t>
  </si>
  <si>
    <t>iShares安硕3-7年期国债ETF</t>
  </si>
  <si>
    <t>ISHARES 3-7 YEAR TREASURY BO</t>
  </si>
  <si>
    <t>IBHG US Equity</t>
  </si>
  <si>
    <t>iShares iBonds 2027 Term Hig</t>
  </si>
  <si>
    <t>ISHARES IBONDS 2027 HY INC</t>
  </si>
  <si>
    <t>5GOV AU Equity</t>
  </si>
  <si>
    <t>VanEck 5-10 Year Australian</t>
  </si>
  <si>
    <t>VNCK 5-10 YR AUS GOVT BD ETF</t>
  </si>
  <si>
    <t>114820 KS Equity</t>
  </si>
  <si>
    <t>未来资产TIGER韩国国债3 ETF</t>
  </si>
  <si>
    <t>MIRAE ASSET TIGER KTB 3Y ETF</t>
  </si>
  <si>
    <t>USDC LN Equity</t>
  </si>
  <si>
    <t>L&amp;G USD Corporate Bond Scree</t>
  </si>
  <si>
    <t>L&amp;G USD COR BD SCR UC-USDINC</t>
  </si>
  <si>
    <t>MLDR US Equity</t>
  </si>
  <si>
    <t>Global X Intermediate-Term T</t>
  </si>
  <si>
    <t>GLOBAL X INTERMTE TTL ETF</t>
  </si>
  <si>
    <t>114100 KS Equity</t>
  </si>
  <si>
    <t>KB RISE韩国国债ETF</t>
  </si>
  <si>
    <t>KB RISE KTB ETF</t>
  </si>
  <si>
    <t>00860B TT Equity</t>
  </si>
  <si>
    <t>Capital Ice 1-5 Year US Corp</t>
  </si>
  <si>
    <t>CAPITAL ICE 1-5 US CORP ETF</t>
  </si>
  <si>
    <t>00984B TT Equity</t>
  </si>
  <si>
    <t>United Enhanced Yield 15+ Ye</t>
  </si>
  <si>
    <t>UEY15+YS SG-A COR ETF</t>
  </si>
  <si>
    <t>KSMF161 IT Equity</t>
  </si>
  <si>
    <t>KSM ETF 0A iBoxx $ Corps Liq</t>
  </si>
  <si>
    <t>KSM ETF IBOXPHA1 CH</t>
  </si>
  <si>
    <t>SPPS GR Equity</t>
  </si>
  <si>
    <t>SPDR Bloomberg 0-3 Year Euro</t>
  </si>
  <si>
    <t>VGIT US Equity</t>
  </si>
  <si>
    <t>领航中期国债ETF</t>
  </si>
  <si>
    <t>VANGUARD INTERMEDIATE-TERM T</t>
  </si>
  <si>
    <t>EDEZ GR Equity</t>
  </si>
  <si>
    <t>BNP PARIBAS BBG US TREASURY</t>
  </si>
  <si>
    <t>GSEC10IE IN Equity</t>
  </si>
  <si>
    <t>ICICI Prudential Nifty 10 yr</t>
  </si>
  <si>
    <t>IPRU NIFTY 10Y BNCM GSEC ETF</t>
  </si>
  <si>
    <t>30ID NA Equity</t>
  </si>
  <si>
    <t>CLOD GR Equity</t>
  </si>
  <si>
    <t>Invesco EUR AAA CLO UCITS ET</t>
  </si>
  <si>
    <t>IVZ EUR AAA CLO</t>
  </si>
  <si>
    <t>DCP CN Equity</t>
  </si>
  <si>
    <t>Desjardins Canadian Preferre</t>
  </si>
  <si>
    <t>DESJARDINS CAD PREFERRED</t>
  </si>
  <si>
    <t>BBIB US Equity</t>
  </si>
  <si>
    <t>JPM BETA US TR 3-10 YR ETF</t>
  </si>
  <si>
    <t>UFIV US Equity</t>
  </si>
  <si>
    <t>F/m US Treasury 5 Year Note</t>
  </si>
  <si>
    <t>F/M US TREASURY 5 YEAR NOTE</t>
  </si>
  <si>
    <t>CFIETFCC CI Equity</t>
  </si>
  <si>
    <t>FI ETF SINGULAR CHILE CORPOR</t>
  </si>
  <si>
    <t>IHYG LN Equity</t>
  </si>
  <si>
    <t>iShares安硕欧元高收益公司债U</t>
  </si>
  <si>
    <t>ISHARES EURO HY CORP</t>
  </si>
  <si>
    <t>RSM AU Equity</t>
  </si>
  <si>
    <t>罗素澳大利亚半国债ETF</t>
  </si>
  <si>
    <t>RUSSELL INVEST AUST SEMI-GOV</t>
  </si>
  <si>
    <t>VGGF IM Equity</t>
  </si>
  <si>
    <t>Vanguard Global Government B</t>
  </si>
  <si>
    <t>VANG G GOV B ETF EHA</t>
  </si>
  <si>
    <t>XZHE GR Equity</t>
  </si>
  <si>
    <t>Xtrackers EUR High Yield Cor</t>
  </si>
  <si>
    <t>X ESG EUR HY CORP BOND 1C</t>
  </si>
  <si>
    <t>GOVT NA Equity</t>
  </si>
  <si>
    <t>iShares USD Treasury Bond UC</t>
  </si>
  <si>
    <t>ISHARES USD TRES BOND USD-D</t>
  </si>
  <si>
    <t>EIBB GR Equity</t>
  </si>
  <si>
    <t>INVESCO EUR GOV BOND</t>
  </si>
  <si>
    <t>GGAB AU Equity</t>
  </si>
  <si>
    <t>Betashares Geared Long Austr</t>
  </si>
  <si>
    <t>BET GE LONG AU GOV BO CO ETF</t>
  </si>
  <si>
    <t>SPTI US Equity</t>
  </si>
  <si>
    <t>道富SPDR投资组合中期美国国债</t>
  </si>
  <si>
    <t>SS SPDR P INT TERM TSY ETF</t>
  </si>
  <si>
    <t>29IT NA Equity</t>
  </si>
  <si>
    <t>ISHARES IBONDS DEC 2029 TRSY</t>
  </si>
  <si>
    <t>XFIV US Equity</t>
  </si>
  <si>
    <t>BondBloxx Bloomberg Five Yea</t>
  </si>
  <si>
    <t>BONDBLOXX BBG 5 YR US TREAS</t>
  </si>
  <si>
    <t>DDBB NA Equity</t>
  </si>
  <si>
    <t>iShares USD Development Bank</t>
  </si>
  <si>
    <t>ISHARES USD DEV BANK BD USDA</t>
  </si>
  <si>
    <t>MTFF9 IT Equity</t>
  </si>
  <si>
    <t>MTF CPI-LNKD GOV BOND 5-10Y</t>
  </si>
  <si>
    <t>USEB NA Equity</t>
  </si>
  <si>
    <t>iShares USD Corp Bond Enhanc</t>
  </si>
  <si>
    <t>ISHARES USD CB EA UCITS</t>
  </si>
  <si>
    <t>00849B TT Equity</t>
  </si>
  <si>
    <t>CTBC 0-5 Year AAA-BBB EM USD</t>
  </si>
  <si>
    <t>CT 05  AAA-BBB GOV BD EX-144</t>
  </si>
  <si>
    <t>XHYT US Equity</t>
  </si>
  <si>
    <t>BONDBLOXX USD HY BOND TMT</t>
  </si>
  <si>
    <t>HEGB LN Equity</t>
  </si>
  <si>
    <t>HSBC ICAV EURO GOVT BOND ETF</t>
  </si>
  <si>
    <t>PZT US Equity</t>
  </si>
  <si>
    <t>景顺纽约免AMT市政债券ETF</t>
  </si>
  <si>
    <t>INVESCO NEW YORK AMT-FREE MU</t>
  </si>
  <si>
    <t>00791B TT Equity</t>
  </si>
  <si>
    <t>Fuh Hwa 1-5 Year USD Credit</t>
  </si>
  <si>
    <t>FUH HWA 1-5 USD CREDIT ETF</t>
  </si>
  <si>
    <t>VIF AU Equity</t>
  </si>
  <si>
    <t>Vanguard International Fixed</t>
  </si>
  <si>
    <t>VANGUARD INTL FI INDEX HEDGE</t>
  </si>
  <si>
    <t>SCHR US Equity</t>
  </si>
  <si>
    <t>嘉信中期美国国债ETF</t>
  </si>
  <si>
    <t>SCHWAB INTERMEDIATE-TERM US</t>
  </si>
  <si>
    <t>438560 KS Equity</t>
  </si>
  <si>
    <t>Shinhan SOL Korea Treasury B</t>
  </si>
  <si>
    <t>SH SOL KR TRSRY BOND 3Y ETF</t>
  </si>
  <si>
    <t>IGB AU Equity</t>
  </si>
  <si>
    <t>iShares安硕国债ETF</t>
  </si>
  <si>
    <t>ISHARES TREASURY ETF</t>
  </si>
  <si>
    <t>JPMB LN Equity</t>
  </si>
  <si>
    <t>JPM USD EM SOV BD UCITS ETF</t>
  </si>
  <si>
    <t>336160 KS Equity</t>
  </si>
  <si>
    <t>KB RISE Financials Bond Acti</t>
  </si>
  <si>
    <t>KB RISE FIN BOND ACTIVE ETF</t>
  </si>
  <si>
    <t>OG35 GR Equity</t>
  </si>
  <si>
    <t>Ossiam Euro Government Bonds</t>
  </si>
  <si>
    <t>OSSIAM EUR GOV 3-5Y CAR RED</t>
  </si>
  <si>
    <t>MUNI LN Equity</t>
  </si>
  <si>
    <t>Invesco US Municipal Bond UC</t>
  </si>
  <si>
    <t>INVESCO US MUNICIPAL BOND</t>
  </si>
  <si>
    <t>00982B TT Equity</t>
  </si>
  <si>
    <t>Franklin Templeton SinoAm IC</t>
  </si>
  <si>
    <t>FT SINOAM ICE 20+ BBB US</t>
  </si>
  <si>
    <t>28IY GR Equity</t>
  </si>
  <si>
    <t>ISHARES IBONDS D28 T ITALY G</t>
  </si>
  <si>
    <t>MGB CN Equity</t>
  </si>
  <si>
    <t>Mackenzie Core Plus Global F</t>
  </si>
  <si>
    <t>MACKENZIE CORE PLUS GLOBAL F</t>
  </si>
  <si>
    <t>00862B TT Equity</t>
  </si>
  <si>
    <t>CTBC US 20+ Year BBB Corpora</t>
  </si>
  <si>
    <t>CTBC US 20+ YR BBB CORP BOND</t>
  </si>
  <si>
    <t>GOVG IM Equity</t>
  </si>
  <si>
    <t>Amundi Global Government Bon</t>
  </si>
  <si>
    <t>AM GLB GOV BND ETF EUR H DIS</t>
  </si>
  <si>
    <t>IBTM US Equity</t>
  </si>
  <si>
    <t>ISHARES IBNDS DEC 2032 TT</t>
  </si>
  <si>
    <t>KSMF42 IT Equity</t>
  </si>
  <si>
    <t>KSM ETF 00 Tel Gov-CPI Linke</t>
  </si>
  <si>
    <t>KSM ETF TEL GOV CPI-LIN</t>
  </si>
  <si>
    <t>HDBA LN Equity</t>
  </si>
  <si>
    <t>HSBC Global Funds ICAV - Sus</t>
  </si>
  <si>
    <t>HSBC ICAV SUS DEV BK BND ETF</t>
  </si>
  <si>
    <t>IBTP US Equity</t>
  </si>
  <si>
    <t>ISHARES IBONDS DEC 2034 ETF</t>
  </si>
  <si>
    <t>114470 KS Equity</t>
  </si>
  <si>
    <t>KIWOOM KOSEF 3年期韩国国债ET</t>
  </si>
  <si>
    <t>KIWOOM 3Y KTB ETF - FI</t>
  </si>
  <si>
    <t>EBND AU Equity</t>
  </si>
  <si>
    <t>VanEck Emerging Income Oppor</t>
  </si>
  <si>
    <t>VANECK EMERGING INCOME OPPOR</t>
  </si>
  <si>
    <t>V3RF LN Equity</t>
  </si>
  <si>
    <t>Vanguard ESG EUR Corporate B</t>
  </si>
  <si>
    <t>VANG ESG EUR CB ETF DIST</t>
  </si>
  <si>
    <t>GSEC5IET IN Equity</t>
  </si>
  <si>
    <t>ICICI Prudential Nifty 5 Yr</t>
  </si>
  <si>
    <t>ICICI NIFT 5 YR G-SEC ETF-G</t>
  </si>
  <si>
    <t>IBTO US Equity</t>
  </si>
  <si>
    <t>ISHARES IBONDS DEC 2033 TRES</t>
  </si>
  <si>
    <t>MOT5YGS IN Equity</t>
  </si>
  <si>
    <t>Motilal Oswal 5 Year G Sec E</t>
  </si>
  <si>
    <t>MOTILAL OSWAL 5YR G SEC-ETF</t>
  </si>
  <si>
    <t>3450 HK Equity</t>
  </si>
  <si>
    <t>Global X US Treasury 3-5 Yea</t>
  </si>
  <si>
    <t>GLOBAL X US TREAS 3-5 Y ETF</t>
  </si>
  <si>
    <t>TBF US Equity</t>
  </si>
  <si>
    <t>Proshares做空20年以上国债</t>
  </si>
  <si>
    <t>PROSHARES SHORT 20+ TREASURY</t>
  </si>
  <si>
    <t>IBTL US Equity</t>
  </si>
  <si>
    <t>ISHARES IBONDS DEC 2031 TERM</t>
  </si>
  <si>
    <t>FYEI GR Equity</t>
  </si>
  <si>
    <t>Fidelity EUR HY Corp Bond Re</t>
  </si>
  <si>
    <t>FI EU HY CO BD RE EN P UE-IN</t>
  </si>
  <si>
    <t>0141T0 KS Equity</t>
  </si>
  <si>
    <t>Shinhan SOL Mid Term Total B</t>
  </si>
  <si>
    <t>SHINHAN SOL MID TERM TOTAL B</t>
  </si>
  <si>
    <t>EFRN GR Equity</t>
  </si>
  <si>
    <t>iShares EUR Floating Rate Bo</t>
  </si>
  <si>
    <t>ISH EUR FLO RT BD AD UCIT-EU</t>
  </si>
  <si>
    <t>PLAN FP Equity</t>
  </si>
  <si>
    <t>Amundi Corporate Proceeds Bo</t>
  </si>
  <si>
    <t>AMDI CORP PROC BOND-ETF ACC</t>
  </si>
  <si>
    <t>BILADETF AB Equity</t>
  </si>
  <si>
    <t>Albilad Saudi Sovereign Suku</t>
  </si>
  <si>
    <t>ALBILAD SAUDI SOV SUKUK ETF</t>
  </si>
  <si>
    <t>XSVN US Equity</t>
  </si>
  <si>
    <t>BondBloxx Bloomberg Seven Ye</t>
  </si>
  <si>
    <t>BONDBLOXX BBG 7 YR US TREAS</t>
  </si>
  <si>
    <t>31ID NA Equity</t>
  </si>
  <si>
    <t>ISHARES IBNDS D 2031 T C ETF</t>
  </si>
  <si>
    <t>32ID NA Equity</t>
  </si>
  <si>
    <t>ISHARES IBONDS D 2032 TC ETF</t>
  </si>
  <si>
    <t>FTSL US Equity</t>
  </si>
  <si>
    <t>第一信托高级贷款ETF</t>
  </si>
  <si>
    <t>FIRST TRUST SENIOR LOAN ETF</t>
  </si>
  <si>
    <t>INFU FP Equity</t>
  </si>
  <si>
    <t>Amundi US Inflation Expectat</t>
  </si>
  <si>
    <t>AM US INFLN EXP 10Y-ETF ACC</t>
  </si>
  <si>
    <t>00959B TT Equity</t>
  </si>
  <si>
    <t>United 15+ Years BBB US Corp</t>
  </si>
  <si>
    <t>UNITED 15+YRS BBB US COP</t>
  </si>
  <si>
    <t>114460 KS Equity</t>
  </si>
  <si>
    <t>KIM ACE韩国TB ETF</t>
  </si>
  <si>
    <t>KIM ACE KOREA TB ETF</t>
  </si>
  <si>
    <t>VECP LN Equity</t>
  </si>
  <si>
    <t>Vanguard EUR Corporate Bond</t>
  </si>
  <si>
    <t>VANG EURCPBD EURD</t>
  </si>
  <si>
    <t>TPRF CN Equity</t>
  </si>
  <si>
    <t>TD Active Preferred Share ET</t>
  </si>
  <si>
    <t>TD ACTIVE PREFERRED SHAR ETF</t>
  </si>
  <si>
    <t>USVN US Equity</t>
  </si>
  <si>
    <t>F/m US Treasury 7 Year Note</t>
  </si>
  <si>
    <t>F/M US TREASURY 7 YEAR NOTE</t>
  </si>
  <si>
    <t>00883B TT Equity</t>
  </si>
  <si>
    <t>CTBC 15+ Year Developed Mark</t>
  </si>
  <si>
    <t>CTBC 15+ DM US CORP ESGBDETF</t>
  </si>
  <si>
    <t>GLTL LN Equity</t>
  </si>
  <si>
    <t>SPDR彭博15年以上金边债UCITS</t>
  </si>
  <si>
    <t>SPDR BBG 15+ GLT</t>
  </si>
  <si>
    <t>IEF US Equity</t>
  </si>
  <si>
    <t>iShares安硕7-10年国债ETF</t>
  </si>
  <si>
    <t>ISHARES 7-10 YEAR TREASURY B</t>
  </si>
  <si>
    <t>USIN US Equity</t>
  </si>
  <si>
    <t>WisdomTree 7-10 Year Laddere</t>
  </si>
  <si>
    <t>WT 7-10 YR LDR TRSY FD</t>
  </si>
  <si>
    <t>UTEN US Equity</t>
  </si>
  <si>
    <t>F/m US Treasury 10 Year Note</t>
  </si>
  <si>
    <t>F/M US TREASURY 10 YEAR NOTE</t>
  </si>
  <si>
    <t>ILB AU Equity</t>
  </si>
  <si>
    <t>iShares安硕政府通胀ETF</t>
  </si>
  <si>
    <t>ISHARES GOVERNMENT INFLATI E</t>
  </si>
  <si>
    <t>00865B TT Equity</t>
  </si>
  <si>
    <t>Cathay US Treasury Coupons E</t>
  </si>
  <si>
    <t>CATHAY US TREASRY COUPON ETF</t>
  </si>
  <si>
    <t>XCO2 GR Equity</t>
  </si>
  <si>
    <t>Amundi Global Aggregate Proc</t>
  </si>
  <si>
    <t>AM GL AGG P BD 1-10Y-ETF A</t>
  </si>
  <si>
    <t>IBTQ US Equity</t>
  </si>
  <si>
    <t>ISHARES IBONDS DEC 2035 TT</t>
  </si>
  <si>
    <t>298340 KS Equity</t>
  </si>
  <si>
    <t>Hanwha PLUS 3-Year Korea Tre</t>
  </si>
  <si>
    <t>HANWHA PLUS 3-YEAR KOREA TRE</t>
  </si>
  <si>
    <t>LVLN US Equity</t>
  </si>
  <si>
    <t>State Street SPDR S&amp;P Levera</t>
  </si>
  <si>
    <t>SS SPDR S&amp;P LEVERAGED LOAN</t>
  </si>
  <si>
    <t>USIG LN Equity</t>
  </si>
  <si>
    <t>Amundi USD Corporate Bond Cl</t>
  </si>
  <si>
    <t>AMDI USD CORPB CPA HIN</t>
  </si>
  <si>
    <t>FSL CN Equity</t>
  </si>
  <si>
    <t>First Trust Senior Loan ETF</t>
  </si>
  <si>
    <t>114260 KS Equity</t>
  </si>
  <si>
    <t>三星KODEX国债ETF</t>
  </si>
  <si>
    <t>SAMSUNG KODEX TBOND ETF</t>
  </si>
  <si>
    <t>IUSG AU Equity</t>
  </si>
  <si>
    <t>Ishares US Treasury Bond Aud</t>
  </si>
  <si>
    <t>ISHARES US TRES BD AUD HDETF</t>
  </si>
  <si>
    <t>JHES GR Equity</t>
  </si>
  <si>
    <t>Janus Henderson EUR Short Du</t>
  </si>
  <si>
    <t>JANUS HEN EUR SHRT DUR EUR A</t>
  </si>
  <si>
    <t>472870 KS Equity</t>
  </si>
  <si>
    <t>KB KBSTAR 30Y US Treasury Bo</t>
  </si>
  <si>
    <t>KB KBSTAR 30Y UST JPY H ETF</t>
  </si>
  <si>
    <t>USCBC FP Equity</t>
  </si>
  <si>
    <t>BNPP Easy - USD Corp Bond SR</t>
  </si>
  <si>
    <t>BNP EASY US CORP SRI</t>
  </si>
  <si>
    <t>HPYM CN Equity</t>
  </si>
  <si>
    <t>Harvest Premium Yield 7-10 Y</t>
  </si>
  <si>
    <t>PREM YLD 7-10 YR TSY</t>
  </si>
  <si>
    <t>PUIG LN Equity</t>
  </si>
  <si>
    <t>Invesco USD IG Corporate Bon</t>
  </si>
  <si>
    <t>INV USD IG CRP BN ESG CT-USD</t>
  </si>
  <si>
    <t>HPR CN Equity</t>
  </si>
  <si>
    <t>Global X活跃优先股ETF</t>
  </si>
  <si>
    <t>GLOBAL X ACTIV PREF SHAR ETF</t>
  </si>
  <si>
    <t>HUCB LN Equity</t>
  </si>
  <si>
    <t>HSBC Global Funds ICAV - US</t>
  </si>
  <si>
    <t>HSBC ICAV US CORP BOND ETF</t>
  </si>
  <si>
    <t>2512 JP Equity</t>
  </si>
  <si>
    <t>NEXT FUNDS International Bon</t>
  </si>
  <si>
    <t>NF INTERNATIONAL BOND HDG</t>
  </si>
  <si>
    <t>NIKIGCB SP Equity</t>
  </si>
  <si>
    <t>Amova SGD Investment Grade C</t>
  </si>
  <si>
    <t>AMV SGD INV GR CO BD ETF</t>
  </si>
  <si>
    <t>AEHY GR Equity</t>
  </si>
  <si>
    <t>Amundi Core EUR High Yield B</t>
  </si>
  <si>
    <t>AM CR EUR HIG YLD BD ETF ACC</t>
  </si>
  <si>
    <t>SLNZ US Equity</t>
  </si>
  <si>
    <t>TCW Senior Loan ETF</t>
  </si>
  <si>
    <t>TCW SENIOR LOAN ETF</t>
  </si>
  <si>
    <t>EDE0 GR Equity</t>
  </si>
  <si>
    <t>BNP Paribas Easy Global Aggr</t>
  </si>
  <si>
    <t>BNPP GLOB AGG BND SRI FF ETF</t>
  </si>
  <si>
    <t>EIGC GR Equity</t>
  </si>
  <si>
    <t>Franklin Euro IG Corporate U</t>
  </si>
  <si>
    <t>FRK EUR IG CRP ETF</t>
  </si>
  <si>
    <t>RELGILT IN Equity</t>
  </si>
  <si>
    <t>Nippon India ETF Nifty 8-13</t>
  </si>
  <si>
    <t>NIPPON INDIA ETF NIFTY 8-13</t>
  </si>
  <si>
    <t>439860 KS Equity</t>
  </si>
  <si>
    <t>Samsung KODEX ESG Korea Tota</t>
  </si>
  <si>
    <t>SS KODEX ESG KR BD A- AC ETF</t>
  </si>
  <si>
    <t>SSFI US Equity</t>
  </si>
  <si>
    <t>Day Hagan Smart Sector Fixed</t>
  </si>
  <si>
    <t>DAY HAGAN SS FIX IN ETF-USDI</t>
  </si>
  <si>
    <t>MEXS LN Equity</t>
  </si>
  <si>
    <t>Finamex Mexico S&amp; P/BMV Inte</t>
  </si>
  <si>
    <t>FINAMEX S&amp;P BMV INTL SVN5-10</t>
  </si>
  <si>
    <t>FLBL US Equity</t>
  </si>
  <si>
    <t>Franklin Senior Loan ETF</t>
  </si>
  <si>
    <t>FRANKLIN SENIOR LOAN ETF</t>
  </si>
  <si>
    <t>432600 KS Equity</t>
  </si>
  <si>
    <t>KB RISE KTB 3Y Futures ETF</t>
  </si>
  <si>
    <t>KB RISE KTB 3Y FUTURES ETF</t>
  </si>
  <si>
    <t>DBZB GR Equity</t>
  </si>
  <si>
    <t>Xtrackers II全球国债UCITS ET</t>
  </si>
  <si>
    <t>X GLOBAL GOV BOND 1C EUR</t>
  </si>
  <si>
    <t>329650 KS Equity</t>
  </si>
  <si>
    <t>Samsung KODEX TRF3070 ETF</t>
  </si>
  <si>
    <t>SAMSUNG KODEX TRF3070 ETF</t>
  </si>
  <si>
    <t>TRE7 LN Equity</t>
  </si>
  <si>
    <t>Invesco US Treasury 3-7 Year</t>
  </si>
  <si>
    <t>INVESCO US TRES 3-7 YR DIST</t>
  </si>
  <si>
    <t>WBND AU Equity</t>
  </si>
  <si>
    <t>Betashares Global Aggregate</t>
  </si>
  <si>
    <t>BS GLB AGG BOND CCY H ETF</t>
  </si>
  <si>
    <t>UCRP FP Equity</t>
  </si>
  <si>
    <t>Amundi USD Corporate Bond ES</t>
  </si>
  <si>
    <t>AM USD CORP BOND ESG C</t>
  </si>
  <si>
    <t>00980D TT Equity</t>
  </si>
  <si>
    <t>ABITL IG Corp Income Active</t>
  </si>
  <si>
    <t>ABITL IG CORP INCOME ACTIVE</t>
  </si>
  <si>
    <t>CGBI CN Equity</t>
  </si>
  <si>
    <t>CIBC Global Bond EX-Canada I</t>
  </si>
  <si>
    <t>CIBC GLOBAL BOND EX-CANADA I</t>
  </si>
  <si>
    <t>NZB NZ Equity</t>
  </si>
  <si>
    <t>Smart NZ Bond ETF</t>
  </si>
  <si>
    <t>SMART NZ BOND ETF</t>
  </si>
  <si>
    <t>00725B TT Equity</t>
  </si>
  <si>
    <t>Cathay BBB Corporate bond ex</t>
  </si>
  <si>
    <t>CATH BBB CORP BD CH COUP ETF</t>
  </si>
  <si>
    <t>GSEC10YE IN Equity</t>
  </si>
  <si>
    <t>Mirae Asset Nifty 8-13 yr G-</t>
  </si>
  <si>
    <t>MIR AST NIFTY 8-13Y GSEC ETF</t>
  </si>
  <si>
    <t>JHLN US Equity</t>
  </si>
  <si>
    <t>John Hancock Global Senior L</t>
  </si>
  <si>
    <t>JH GLOBAL SENIOR LOAN ETF</t>
  </si>
  <si>
    <t>MIDB CN Equity</t>
  </si>
  <si>
    <t>Evolve Enhanced Yield Mid Te</t>
  </si>
  <si>
    <t>EVOLVE ENH YLD MD TRM BND FD</t>
  </si>
  <si>
    <t>00750B TT Equity</t>
  </si>
  <si>
    <t>KGI 10+ Year USD Technology</t>
  </si>
  <si>
    <t>KGI 10+ USD TECH ETF</t>
  </si>
  <si>
    <t>GOVT AU Equity</t>
  </si>
  <si>
    <t>STATE STREET SPDR S&amp;P/ASX IB</t>
  </si>
  <si>
    <t>EUHA GR Equity</t>
  </si>
  <si>
    <t>PIMCO Advantage Euro Short-T</t>
  </si>
  <si>
    <t>TE HIG YID COR BD UC ETF-EUR</t>
  </si>
  <si>
    <t>XEZ1 GR Equity</t>
  </si>
  <si>
    <t>X EURZ GOVT BOND 1-3 ESG 1C</t>
  </si>
  <si>
    <t>XUTD LN Equity</t>
  </si>
  <si>
    <t>Xtrackers II美国国债UCITS ET</t>
  </si>
  <si>
    <t>X US TREASURIES 1D</t>
  </si>
  <si>
    <t>CSBGU7 SW Equity</t>
  </si>
  <si>
    <t>iShares安硕美元国债3-7年UCIT</t>
  </si>
  <si>
    <t>ISHARES USD TREASURY 3-7YR</t>
  </si>
  <si>
    <t>00942B TT Equity</t>
  </si>
  <si>
    <t>Taishin Bloomberg US Corpora</t>
  </si>
  <si>
    <t>TAISHIN BBG US CORP 20+Y IS</t>
  </si>
  <si>
    <t>BRLN US Equity</t>
  </si>
  <si>
    <t>iShares Floating Rate Loan A</t>
  </si>
  <si>
    <t>ISHARE FLTNG RT LN AV ETF-UI</t>
  </si>
  <si>
    <t>TRSY LN Equity</t>
  </si>
  <si>
    <t>SPDR彭博美国国债UCITS ETF</t>
  </si>
  <si>
    <t>SPDR BBG US TREASURY</t>
  </si>
  <si>
    <t>00859B TT Equity</t>
  </si>
  <si>
    <t>Capital Ice Bofaml 0-1 Year</t>
  </si>
  <si>
    <t>CAPITAL ICE 0-1 US TREA ETF</t>
  </si>
  <si>
    <t>VEFI AU Equity</t>
  </si>
  <si>
    <t>Vanguard Ethically Conscious</t>
  </si>
  <si>
    <t>VGD ETHIC CONS GB AGG BD I H</t>
  </si>
  <si>
    <t>SUOU NA Equity</t>
  </si>
  <si>
    <t>iShares安硕美元公司债ESG UCI</t>
  </si>
  <si>
    <t>ISHARE USD CRP B</t>
  </si>
  <si>
    <t>00787B TT Equity</t>
  </si>
  <si>
    <t>YUANTA US10+ INV GR BB ETF</t>
  </si>
  <si>
    <t>SLGC CN Equity</t>
  </si>
  <si>
    <t>Sun Life MFS Global Core Plu</t>
  </si>
  <si>
    <t>SUN LIFE FINANCIAL INC</t>
  </si>
  <si>
    <t>XBO2 GR Equity</t>
  </si>
  <si>
    <t>Xtrackers II意大利国债0-1年</t>
  </si>
  <si>
    <t>X ITALY GOV BOND 0-1 1C</t>
  </si>
  <si>
    <t>JMEX LN Equity</t>
  </si>
  <si>
    <t>Janus Henderson Mexico Gover</t>
  </si>
  <si>
    <t>JANUS HEN MEX GOV 10-30Y ETF</t>
  </si>
  <si>
    <t>LICGSLT IN Equity</t>
  </si>
  <si>
    <t>LIC MF G-SEC Long Term Excha</t>
  </si>
  <si>
    <t>LIC MF G-SEC LONG TERM ETF</t>
  </si>
  <si>
    <t>GGB NZ Equity</t>
  </si>
  <si>
    <t>Smart Global Government Bond</t>
  </si>
  <si>
    <t>SMART GLOBAL GOVER BOND ETF</t>
  </si>
  <si>
    <t>IBGX LN Equity</t>
  </si>
  <si>
    <t>iShares安硕欧元国债3-5年期UC</t>
  </si>
  <si>
    <t>ISHARES EURO GOVT 3-5Y</t>
  </si>
  <si>
    <t>00957B TT Equity</t>
  </si>
  <si>
    <t>Mega 20 plus Year US Busines</t>
  </si>
  <si>
    <t>MEGA 20+Y US BUSINESS ETF</t>
  </si>
  <si>
    <t>ADLU GR Equity</t>
  </si>
  <si>
    <t>AXA IM US Treasury 25+ Year</t>
  </si>
  <si>
    <t>AXA IM US TR 25+ Y UCITS-USD</t>
  </si>
  <si>
    <t>FFIU US Equity</t>
  </si>
  <si>
    <t>UVA Unconstrained Medium-Ter</t>
  </si>
  <si>
    <t>UVA UNCONSTRAINED MEDIUM-TER</t>
  </si>
  <si>
    <t>33ID NA Equity</t>
  </si>
  <si>
    <t>ISHARES IBONDS D 2033 TC ETF</t>
  </si>
  <si>
    <t>D6RJ GR Equity</t>
  </si>
  <si>
    <t>Deka Active EUR High Yield U</t>
  </si>
  <si>
    <t>DEKA ACTIVE EUR HY UCITS ETF</t>
  </si>
  <si>
    <t>00970B TT Equity</t>
  </si>
  <si>
    <t>Shin Kong 20+ Year BBB US In</t>
  </si>
  <si>
    <t>SHIN KONG 20+Y BBB US GRD CB</t>
  </si>
  <si>
    <t>00948B TT Equity</t>
  </si>
  <si>
    <t>CTBC Enhanced Yield IG Senio</t>
  </si>
  <si>
    <t>CTBC EHN IG SNR US DM ESG SC</t>
  </si>
  <si>
    <t>00986B TT Equity</t>
  </si>
  <si>
    <t>Franklin Templeton SinoAm 10</t>
  </si>
  <si>
    <t>FT SINOAM 10+Y INV GR US BK</t>
  </si>
  <si>
    <t>00983D TT Equity</t>
  </si>
  <si>
    <t>Fubon Selective Income Bond</t>
  </si>
  <si>
    <t>FUBON SELECT INCOME BOND ACT</t>
  </si>
  <si>
    <t>ZONYGDG IN Equity</t>
  </si>
  <si>
    <t>Zerodha Nifty 8-13 Yr G-Sec</t>
  </si>
  <si>
    <t>ZERODHA NIFTY 8-13 YR ETF-DG</t>
  </si>
  <si>
    <t>00864B TT Equity</t>
  </si>
  <si>
    <t>CTBC 0-1 Year US Treasury Bo</t>
  </si>
  <si>
    <t>CTBC 0-1 YR US TREASURY BOND</t>
  </si>
  <si>
    <t>US37 LN Equity</t>
  </si>
  <si>
    <t>领先美国国债 3-7年DR UCITS E</t>
  </si>
  <si>
    <t>AMUNDI US TREASURY BOND 3-7Y</t>
  </si>
  <si>
    <t>BBTR LN Equity</t>
  </si>
  <si>
    <t>JPM BETA US TRE BD UCITS ETF</t>
  </si>
  <si>
    <t>SKUK NA Equity</t>
  </si>
  <si>
    <t>iShares USD Sukuk UCITS ETF</t>
  </si>
  <si>
    <t>ISHARES USD SUKUK UCITS ETF</t>
  </si>
  <si>
    <t>VITD LN Equity</t>
  </si>
  <si>
    <t>Vanguard US Treasury 3-7 Yea</t>
  </si>
  <si>
    <t>VANG US T 3-7 YR B ETF U D</t>
  </si>
  <si>
    <t>HIGH US Equity</t>
  </si>
  <si>
    <t>Simplify Enhanced Income ETF</t>
  </si>
  <si>
    <t>SIMPLIFY ENHANCED INCOME ETF</t>
  </si>
  <si>
    <t>USTB AU Equity</t>
  </si>
  <si>
    <t>Global X US Treasury Bond Cu</t>
  </si>
  <si>
    <t>GLO X US TREA BON CUR HE ETF</t>
  </si>
  <si>
    <t>26TP GR Equity</t>
  </si>
  <si>
    <t>ISHRS IBDS D26 ITALY GB ETF</t>
  </si>
  <si>
    <t>437080 KS Equity</t>
  </si>
  <si>
    <t>SAMSUNG KODEX US Bond SRI Ac</t>
  </si>
  <si>
    <t>SS KODEX US BOND SRI ACT ETF</t>
  </si>
  <si>
    <t>SE15 LN Equity</t>
  </si>
  <si>
    <t>iShares安硕欧元公司债1-5年期</t>
  </si>
  <si>
    <t>ISHARES EURO CORP 1-5YR</t>
  </si>
  <si>
    <t>481060 KS Equity</t>
  </si>
  <si>
    <t>SAMSUNG KODEX US Treasury Bo</t>
  </si>
  <si>
    <t>SSKDX UST-BOND 30Y+12% P ETF</t>
  </si>
  <si>
    <t>34ID NA Equity</t>
  </si>
  <si>
    <t>ISHARES IBND D 2034 T C ETF</t>
  </si>
  <si>
    <t>LUSC LN Equity</t>
  </si>
  <si>
    <t>SPDR Bloomberg 10+ Year U.S.</t>
  </si>
  <si>
    <t>SPDR BBG 10+ US CORPORATE</t>
  </si>
  <si>
    <t>BNDD US Equity</t>
  </si>
  <si>
    <t>Quadratic Deflation ETF</t>
  </si>
  <si>
    <t>QUADRATIC DEFLATION ETF</t>
  </si>
  <si>
    <t>IGEA LN Equity</t>
  </si>
  <si>
    <t>iShares安硕亚洲新兴市场本地</t>
  </si>
  <si>
    <t>ISHARES EM ASIA LOCAL GOVT</t>
  </si>
  <si>
    <t>TRES LN Equity</t>
  </si>
  <si>
    <t>Invesco US Treasury Bond UCI</t>
  </si>
  <si>
    <t>INVESCO US TREASURY DIST</t>
  </si>
  <si>
    <t>0119H0 KS Equity</t>
  </si>
  <si>
    <t>SAMSUNG KODEX 28-12 Corporat</t>
  </si>
  <si>
    <t>SAMSUNG KODEX 28-12 CORPORAT</t>
  </si>
  <si>
    <t>RFIX US Equity</t>
  </si>
  <si>
    <t>Simplify Bond Bull ETF</t>
  </si>
  <si>
    <t>SIMPLIFY BOND BULL ETF</t>
  </si>
  <si>
    <t>ABC10YG IN Equity</t>
  </si>
  <si>
    <t>ADITYA BIRLA SL CRSL 10Y GL</t>
  </si>
  <si>
    <t>00755B TT Equity</t>
  </si>
  <si>
    <t>Capital Ice 15 + Year US Uti</t>
  </si>
  <si>
    <t>CAPITAL ICE 15+ US UTIL ETF</t>
  </si>
  <si>
    <t>00840B TT Equity</t>
  </si>
  <si>
    <t>KGI 15+ Year US Investment G</t>
  </si>
  <si>
    <t>KGI 15 US INV CORP BOND ETF</t>
  </si>
  <si>
    <t>2843 JP Equity</t>
  </si>
  <si>
    <t>LISTED INDEX AU GOVT BOND HD</t>
  </si>
  <si>
    <t>GGOV US Equity</t>
  </si>
  <si>
    <t>ISHARES GLOBAL GB USD HA ETF</t>
  </si>
  <si>
    <t>HYBR CN Equity</t>
  </si>
  <si>
    <t>Global X Active Hybrid Bond</t>
  </si>
  <si>
    <t>GLB X ACTV HYB BD&amp;PRE SH ETF</t>
  </si>
  <si>
    <t>ECMS GR Equity</t>
  </si>
  <si>
    <t>ETFPESOV PE Equity</t>
  </si>
  <si>
    <t>Peru Soberano Van Eck El Dor</t>
  </si>
  <si>
    <t>PERU SOBERANO VAN ECK EL DRD</t>
  </si>
  <si>
    <t>2853 JP Equity</t>
  </si>
  <si>
    <t>iShares Climate Risk-Adjuste</t>
  </si>
  <si>
    <t>ISHARES CLIMATE RISK-ADJ BND</t>
  </si>
  <si>
    <t>00720B TT Equity</t>
  </si>
  <si>
    <t>Yuanta US 20+ Year BBB Corpo</t>
  </si>
  <si>
    <t>YUANTA US 20+YR BBB CORP ETF</t>
  </si>
  <si>
    <t>00982D TT Equity</t>
  </si>
  <si>
    <t>Fubon Dynamic IG bond Active</t>
  </si>
  <si>
    <t>FUBON DYNAMIC IG BD ACT</t>
  </si>
  <si>
    <t>00789B TT Equity</t>
  </si>
  <si>
    <t>Fuh Hwa 20+ Year A3 or Bette</t>
  </si>
  <si>
    <t>FUH HWA 20+ A3 CORP BOND ETF</t>
  </si>
  <si>
    <t>00867B TT Equity</t>
  </si>
  <si>
    <t>Shin Kong Premium Umbrella F</t>
  </si>
  <si>
    <t>SHINKONG 15+YR US TELCOM ETF</t>
  </si>
  <si>
    <t>272570 KS Equity</t>
  </si>
  <si>
    <t>KB RISE Mid-long Term KTB Ac</t>
  </si>
  <si>
    <t>KB RISE MID-LO TE KTB AC ETF</t>
  </si>
  <si>
    <t>00845B TT Equity</t>
  </si>
  <si>
    <t>Fubon Emerging Market USD In</t>
  </si>
  <si>
    <t>FUBON EMEG MKT USD INV GD BD</t>
  </si>
  <si>
    <t>BETF430 IN Equity</t>
  </si>
  <si>
    <t>Bharat Bond ETF - April 2030</t>
  </si>
  <si>
    <t>BHARAT BOND ETF-APRIL 2030</t>
  </si>
  <si>
    <t>GHYC SW Equity</t>
  </si>
  <si>
    <t>iShares安硕环球高收入公司债</t>
  </si>
  <si>
    <t>ISHARES GLB HY CORP BD CHF-H</t>
  </si>
  <si>
    <t>USDX US Equity</t>
  </si>
  <si>
    <t>SGI Enhanced Core ETF</t>
  </si>
  <si>
    <t>SGI ENHANCED CORE ETF</t>
  </si>
  <si>
    <t>2622 JP Equity</t>
  </si>
  <si>
    <t>iShares USD Emerging Markets</t>
  </si>
  <si>
    <t>ISHARES USD EM BD JPY HEDGED</t>
  </si>
  <si>
    <t>2819 HK Equity</t>
  </si>
  <si>
    <t>ABF香港创富债券指数基金</t>
  </si>
  <si>
    <t>ABF HONG KONG BOND INDEX-HKD</t>
  </si>
  <si>
    <t>00740B TT Equity</t>
  </si>
  <si>
    <t>Fubon 10+Years US Corporate</t>
  </si>
  <si>
    <t>FB 10YR US CORP BBB EX CN</t>
  </si>
  <si>
    <t>ULTB AU Equity</t>
  </si>
  <si>
    <t>iShares 20+ Year US Treasury</t>
  </si>
  <si>
    <t>ISHARES20+Y US TRE BD AUD HG</t>
  </si>
  <si>
    <t>00694B TT Equity</t>
  </si>
  <si>
    <t>Fubon US Treasury Bond ETF U</t>
  </si>
  <si>
    <t>FUBON 1-3 YRS UST BOND ETF</t>
  </si>
  <si>
    <t>00842B TT Equity</t>
  </si>
  <si>
    <t>Taishin Bloomberg US Banking</t>
  </si>
  <si>
    <t>TAISHIN BBG US BANK INDX 15+</t>
  </si>
  <si>
    <t>3433 HK Equity</t>
  </si>
  <si>
    <t>CSOP FTSE US Treasury 20+ Yr</t>
  </si>
  <si>
    <t>CSOP FTSE US TRE 20+ IDX-HKD</t>
  </si>
  <si>
    <t>ZMSB CN Equity</t>
  </si>
  <si>
    <t>BMO Sustainable Global Multi</t>
  </si>
  <si>
    <t>BMO SUSTAINABLE GLOBAL MULTI</t>
  </si>
  <si>
    <t>00723B TT Equity</t>
  </si>
  <si>
    <t>Capital Bofa Merrill Lynch 1</t>
  </si>
  <si>
    <t>CAP IND US TECH ELECTRON ETF</t>
  </si>
  <si>
    <t>458260 KS Equity</t>
  </si>
  <si>
    <t>MIRAE ASSET TIGER US INVESTM</t>
  </si>
  <si>
    <t>MA TIGER US INV GR COR B ETF</t>
  </si>
  <si>
    <t>US10 AU Equity</t>
  </si>
  <si>
    <t>Betashares US Treasury Bond</t>
  </si>
  <si>
    <t>BS US TR BND 7-10YR CCY ETF</t>
  </si>
  <si>
    <t>FPAS US Equity</t>
  </si>
  <si>
    <t>FPA Short Duration Governmen</t>
  </si>
  <si>
    <t>FPA SHORT DURATION GOVT ETF</t>
  </si>
  <si>
    <t>00890B TT Equity</t>
  </si>
  <si>
    <t>KGI 15+ Year US BBB ESG Sust</t>
  </si>
  <si>
    <t>KGI 15+ US BBB ESG SUS COR E</t>
  </si>
  <si>
    <t>00786B TT Equity</t>
  </si>
  <si>
    <t>YUANTA US10+ INVE BANK ETF</t>
  </si>
  <si>
    <t>3435 HK Equity</t>
  </si>
  <si>
    <t>HS CMS BBG UST 7-10Y IDX ETF</t>
  </si>
  <si>
    <t>XEMB GR Equity</t>
  </si>
  <si>
    <t>Xtrackers II摩根大通美元新兴</t>
  </si>
  <si>
    <t>XTRKR II JPM US EMB ET-1C-EH</t>
  </si>
  <si>
    <t>LQDE LN Equity</t>
  </si>
  <si>
    <t>iShares安硕美元公司债UCITS E</t>
  </si>
  <si>
    <t>ISHARES USD CORP BOND USD D</t>
  </si>
  <si>
    <t>00853B TT Equity</t>
  </si>
  <si>
    <t>UPAMC 10+ Year AA-A USD Seni</t>
  </si>
  <si>
    <t>UPAMC 10Y+ AA-A US SEN CO BO</t>
  </si>
  <si>
    <t>RUSB CN Equity</t>
  </si>
  <si>
    <t>RBC Short Term US Corporate</t>
  </si>
  <si>
    <t>RBC SHORT TERM US CORP BOND</t>
  </si>
  <si>
    <t>00724B TT Equity</t>
  </si>
  <si>
    <t>CAP IND US BANKING INDEX ETF</t>
  </si>
  <si>
    <t>XHY1 GR Equity</t>
  </si>
  <si>
    <t>Xtrackers II Rolling Target</t>
  </si>
  <si>
    <t>X ROLL TMAT HY SEP 2027  1D</t>
  </si>
  <si>
    <t>3146 HK Equity</t>
  </si>
  <si>
    <t>ChinaAMC 20+ Year US Treasur</t>
  </si>
  <si>
    <t>CAMC 20+ UST ETF DIST HKD</t>
  </si>
  <si>
    <t>468380 KS Equity</t>
  </si>
  <si>
    <t>SAMSUNG KODEX iShares US HY</t>
  </si>
  <si>
    <t>SAMSUNG KODEX ISHARES HY ETF</t>
  </si>
  <si>
    <t>382A JP Equity</t>
  </si>
  <si>
    <t>iFreeETF US Treasury Bond 3-</t>
  </si>
  <si>
    <t>IFREEETF US TREA BD 3-5Y JPY</t>
  </si>
  <si>
    <t>272910 KS Equity</t>
  </si>
  <si>
    <t>KIM KINDEX Active Korea Trea</t>
  </si>
  <si>
    <t>KIM KR ACT TRSR&amp;AGN BOND ETF</t>
  </si>
  <si>
    <t>00980B TT Equity</t>
  </si>
  <si>
    <t>Taishin FTSE WorldBIG BBB US</t>
  </si>
  <si>
    <t>TAISHIN FTSE BIG BBB USD 10+</t>
  </si>
  <si>
    <t>00966B TT Equity</t>
  </si>
  <si>
    <t>UPAMC Bloomberg MSCI ESG Til</t>
  </si>
  <si>
    <t>UPAMC BBG MSCI ESG 15Y+ USD</t>
  </si>
  <si>
    <t>00719B TT Equity</t>
  </si>
  <si>
    <t>Yuanta US Treasury 1-3 Year</t>
  </si>
  <si>
    <t>YUANTA US TSY 1-3YR BOND ETF</t>
  </si>
  <si>
    <t>00950B TT Equity</t>
  </si>
  <si>
    <t>KGI Global 10+ Year USD Sing</t>
  </si>
  <si>
    <t>KGI GLB10+ YR USD SG A CP</t>
  </si>
  <si>
    <t>00778B TT Equity</t>
  </si>
  <si>
    <t>KGI 20+Years US Banking Bond</t>
  </si>
  <si>
    <t>KGI 20+YR US BANK BOND ETF</t>
  </si>
  <si>
    <t>00722B TT Equity</t>
  </si>
  <si>
    <t>Capital BofA Merrill Lynch 1</t>
  </si>
  <si>
    <t>CAP IND US TELE COM IND ETF</t>
  </si>
  <si>
    <t>00844B TT Equity</t>
  </si>
  <si>
    <t>Shin Kong Supreme Umbrella F</t>
  </si>
  <si>
    <t>SHINKONG 15Y USD BA BOND ETF</t>
  </si>
  <si>
    <t>DI35 NA Equity</t>
  </si>
  <si>
    <t>ISHARES IBON DEC 2035 TC ETF</t>
  </si>
  <si>
    <t>ZUAG CN Equity</t>
  </si>
  <si>
    <t>BMO US Aggregate Bond Index</t>
  </si>
  <si>
    <t>BMO US AGG BOND INDEX ETF</t>
  </si>
  <si>
    <t>RISR US Equity</t>
  </si>
  <si>
    <t>FolioBeyond Alternative Inco</t>
  </si>
  <si>
    <t>FOLIOBE ALTR IN&amp;IN H ETF-USD</t>
  </si>
  <si>
    <t>HBLTETF PA Equity</t>
  </si>
  <si>
    <t>HBL Total Treasury Exchange</t>
  </si>
  <si>
    <t>HBL TOTAL TREASURY ETF</t>
  </si>
  <si>
    <t>3156 HK Equity</t>
  </si>
  <si>
    <t>Bosera 20+ Year US Treasury</t>
  </si>
  <si>
    <t>BOSERA 20+ Y US TRE BOND ETF</t>
  </si>
  <si>
    <t>GGOV FP Equity</t>
  </si>
  <si>
    <t>Amundi Core Global Governmen</t>
  </si>
  <si>
    <t>AMUNDI CORE GLOBAL GOVERNMEN</t>
  </si>
  <si>
    <t>UST US Equity</t>
  </si>
  <si>
    <t>Proshares超级7-10年期国债</t>
  </si>
  <si>
    <t>PROSHARES ULTRA 7-10 YEAR TR</t>
  </si>
  <si>
    <t>00792B TT Equity</t>
  </si>
  <si>
    <t>Capital Ice 15 + Year Single</t>
  </si>
  <si>
    <t>CAPITAL ICE 15+SIN A US ETF</t>
  </si>
  <si>
    <t>UST10F SW Equity</t>
  </si>
  <si>
    <t>UBS Core BBG US Treasury 10+</t>
  </si>
  <si>
    <t>UBS CR BBG US TS 10+ ETF-HER</t>
  </si>
  <si>
    <t>397420 KS Equity</t>
  </si>
  <si>
    <t>KB KBSTAR FKTB 5Y Duration F</t>
  </si>
  <si>
    <t>KBSTAR FKTB 5Y DUR FOLL ETF</t>
  </si>
  <si>
    <t>SRLN US Equity</t>
  </si>
  <si>
    <t>道富黑石高级贷款ETF</t>
  </si>
  <si>
    <t>SS BLACKSTONE SR LOAN ETF</t>
  </si>
  <si>
    <t>00793B TT Equity</t>
  </si>
  <si>
    <t>Capital Ice 15 + Year Aaa-A</t>
  </si>
  <si>
    <t>CAP ICE 15+AAA-A US HC ETF</t>
  </si>
  <si>
    <t>TGCC LN Equity</t>
  </si>
  <si>
    <t>Janus Henderson GCC Sovereig</t>
  </si>
  <si>
    <t>JH GCC SOV BOND USD A</t>
  </si>
  <si>
    <t>IBGS LN Equity</t>
  </si>
  <si>
    <t>iShares 安硕欧元国债1-3年UCI</t>
  </si>
  <si>
    <t>ISHARES EUR GOVT 1-3YR</t>
  </si>
  <si>
    <t>CSBGU0 SW Equity</t>
  </si>
  <si>
    <t>iShares安硕美元国债7-10年UCI</t>
  </si>
  <si>
    <t>ISHARES USD TRES BOND 7-10Y</t>
  </si>
  <si>
    <t>00841B TT Equity</t>
  </si>
  <si>
    <t>KGI 20+ Year AAA-AA US Large</t>
  </si>
  <si>
    <t>KGI 20 AAAAA US LC C BOND ET</t>
  </si>
  <si>
    <t>00759B TT Equity</t>
  </si>
  <si>
    <t>FUH Hwa 15 + YR Pharmaceutic</t>
  </si>
  <si>
    <t>FUH HWA 15+YR PHARM BOND ETF</t>
  </si>
  <si>
    <t>AHYF GR Equity</t>
  </si>
  <si>
    <t>Amundi Global Aggregate Bond</t>
  </si>
  <si>
    <t>AM GLOBAL AGG 1-5 ESG USD C</t>
  </si>
  <si>
    <t>00863B TT Equity</t>
  </si>
  <si>
    <t>CTBC US 10+ Year Telecommuni</t>
  </si>
  <si>
    <t>CTBC US 10+ YR TELECOM BOND</t>
  </si>
  <si>
    <t>GEUR GR Equity</t>
  </si>
  <si>
    <t>Goldman Sachs EUR Government</t>
  </si>
  <si>
    <t>GOLDMAN EUR GOV ACTIV ETF</t>
  </si>
  <si>
    <t>00751B TT Equity</t>
  </si>
  <si>
    <t>Yuanta US 20+ Year AAA-A Cor</t>
  </si>
  <si>
    <t>YUANTA US 20+YR AAA-A CB ETF</t>
  </si>
  <si>
    <t>IRVH US Equity</t>
  </si>
  <si>
    <t>Global X Interest Rate Volat</t>
  </si>
  <si>
    <t>GLOBAL X INTEREST RT VOL INF</t>
  </si>
  <si>
    <t>00834B TT Equity</t>
  </si>
  <si>
    <t>FSITC Bloomberg US Corporate</t>
  </si>
  <si>
    <t>FSITC BBG US CORP 10+YR ETF</t>
  </si>
  <si>
    <t>467A JP Equity</t>
  </si>
  <si>
    <t>Global X USD Investment Grad</t>
  </si>
  <si>
    <t>GX USD IG BOND ETF JPY H</t>
  </si>
  <si>
    <t>476750 KS Equity</t>
  </si>
  <si>
    <t>KIM ACE U.S. Long Term T-Bon</t>
  </si>
  <si>
    <t>KIM A US L TBD JPKR ACT ETFH</t>
  </si>
  <si>
    <t>00761B TT Equity</t>
  </si>
  <si>
    <t>Cathay US Corporate A- and A</t>
  </si>
  <si>
    <t>CATHAY US CORP A 10+ LIQ ETF</t>
  </si>
  <si>
    <t>00846B TT Equity</t>
  </si>
  <si>
    <t>Fubon 7-15 Years Europe USD</t>
  </si>
  <si>
    <t>FUBON 7-15 YRS EU USD BANK</t>
  </si>
  <si>
    <t>1496 JP Equity</t>
  </si>
  <si>
    <t>iShares USD Investment Grade</t>
  </si>
  <si>
    <t>ISHARES US IG CB JP HGD ETF</t>
  </si>
  <si>
    <t>ALTB AU Equity</t>
  </si>
  <si>
    <t>Ishares 15+ Year Australian</t>
  </si>
  <si>
    <t>ISHARE 15+Y AU GOV BD ETF</t>
  </si>
  <si>
    <t>00772B TT Equity</t>
  </si>
  <si>
    <t>CTBC Bloomberg USD Corporate</t>
  </si>
  <si>
    <t>CTBC BBG US CO HG 10+ YR ETF</t>
  </si>
  <si>
    <t>00836B TT Equity</t>
  </si>
  <si>
    <t>Sinopac ICE 10 Year Core Lar</t>
  </si>
  <si>
    <t>SINOPAC ICE10 CLCS-A US ETF</t>
  </si>
  <si>
    <t>00856B TT Equity</t>
  </si>
  <si>
    <t>Sinopac ICE 1-3 Year US Trea</t>
  </si>
  <si>
    <t>SINOPAC ICE 1-3 YR US TRE ET</t>
  </si>
  <si>
    <t>KSMF175 IT Equity</t>
  </si>
  <si>
    <t>KSM ETF 0D All-Bond Dollar a</t>
  </si>
  <si>
    <t>KSM ET 0DA-BD &amp; T5 TB-20C-LI</t>
  </si>
  <si>
    <t>00799B TT Equity</t>
  </si>
  <si>
    <t>Cathay Bloomberg 15+ Year He</t>
  </si>
  <si>
    <t>CATHAY BBG 15+ HEALT CAR ETF</t>
  </si>
  <si>
    <t>00933B TT Equity</t>
  </si>
  <si>
    <t>Cathay US Corporate 10 + Yea</t>
  </si>
  <si>
    <t>CATHAY US CORP 10+YR ETF</t>
  </si>
  <si>
    <t>NMB US Equity</t>
  </si>
  <si>
    <t>Simplify National Muni Bond</t>
  </si>
  <si>
    <t>SIMPLIFY NATIONAL MUNI BND</t>
  </si>
  <si>
    <t>00726B TT Equity</t>
  </si>
  <si>
    <t>Cathay EM USD Investment Gra</t>
  </si>
  <si>
    <t>CATH EM USD INV EX CHINA CUP</t>
  </si>
  <si>
    <t>STLT CN Equity</t>
  </si>
  <si>
    <t>BetaPro -3x US Treasury 20+</t>
  </si>
  <si>
    <t>BETAPRO -3X US TB20 DLB ALT</t>
  </si>
  <si>
    <t>TREX LN Equity</t>
  </si>
  <si>
    <t>Invesco US Treasury 7-10 Yea</t>
  </si>
  <si>
    <t>INVESCO US TRES 7-10 YR DIST</t>
  </si>
  <si>
    <t>00968B TT Equity</t>
  </si>
  <si>
    <t>Yuanta Enhanced Yield 10+ Yr</t>
  </si>
  <si>
    <t>YUANTA EH YLD 10+Y CP IG US</t>
  </si>
  <si>
    <t>CYC SP Equity</t>
  </si>
  <si>
    <t>CSOP FTSE Chinese Government</t>
  </si>
  <si>
    <t>ICBC CSOP FTSE CH GOV BD ETF</t>
  </si>
  <si>
    <t>FLX CN Equity</t>
  </si>
  <si>
    <t>Purpose全球灵活信用基金</t>
  </si>
  <si>
    <t>PURPOSE GLOBAL FLEXIBLE CRED</t>
  </si>
  <si>
    <t>GGOV AU Equity</t>
  </si>
  <si>
    <t>BE US TR BO 20+ YE CU HE ETF</t>
  </si>
  <si>
    <t>00777B TT Equity</t>
  </si>
  <si>
    <t>KGI 15+ Years AAA-A US Corpo</t>
  </si>
  <si>
    <t>KGI 15+YR AAA-A US CORP ETF</t>
  </si>
  <si>
    <t>DIVS CN Equity</t>
  </si>
  <si>
    <t>Evolve Active Canadian Prefe</t>
  </si>
  <si>
    <t>EVOLVE ACTIVE CANADIAN PREFE</t>
  </si>
  <si>
    <t>SYBZ GR Equity</t>
  </si>
  <si>
    <t>SPDR Bloomberg Global Aggreg</t>
  </si>
  <si>
    <t>SPDR BBG GLOBAL AGG ETF</t>
  </si>
  <si>
    <t>SGIL LN Equity</t>
  </si>
  <si>
    <t>iShares安硕全球通胀挂钩国债U</t>
  </si>
  <si>
    <t>ISHARES GLBL INFL LNKD GOVT</t>
  </si>
  <si>
    <t>CPD CN Equity</t>
  </si>
  <si>
    <t>iShares安硕标普/TSX加拿大优</t>
  </si>
  <si>
    <t>ISHARES S&amp;P/TSX CANADIAN PRE</t>
  </si>
  <si>
    <t>USTBILL UH Equity</t>
  </si>
  <si>
    <t>Chimera iBoxx US Treasury Bi</t>
  </si>
  <si>
    <t>CHIMERA IBOXX US T BILL ETF</t>
  </si>
  <si>
    <t>EMBC SW Equity</t>
  </si>
  <si>
    <t>iShares VI PLC - iShares JP</t>
  </si>
  <si>
    <t>ISHARES JPM USD EM BD CHF-H</t>
  </si>
  <si>
    <t>00775B TT Equity</t>
  </si>
  <si>
    <t>Shin Kong FTSE 15 Years Inve</t>
  </si>
  <si>
    <t>SK FTSE 15YRS USD COR BO ETF</t>
  </si>
  <si>
    <t>ZHS SP Equity</t>
  </si>
  <si>
    <t>Amova-ICBCSG China Bond Inde</t>
  </si>
  <si>
    <t>AMV-ICBCSG CN BD ETF-SGD</t>
  </si>
  <si>
    <t>TRXA LN Equity</t>
  </si>
  <si>
    <t>Invesco US Treasury Bond 7-1</t>
  </si>
  <si>
    <t>INVESCO US TRES 7-10 YR ACC</t>
  </si>
  <si>
    <t>GAGG FP Equity</t>
  </si>
  <si>
    <t>Amundi Core Global Aggregate</t>
  </si>
  <si>
    <t>AM CR GLB AGRGTE BD ETF ACC</t>
  </si>
  <si>
    <t>UTN10GS IN Equity</t>
  </si>
  <si>
    <t>UTI Nifty 10 yr Benchmark G-</t>
  </si>
  <si>
    <t>UTI NIFTY 10 YR B G-SEC ETF</t>
  </si>
  <si>
    <t>302190 KS Equity</t>
  </si>
  <si>
    <t>MIRAE ASSET TIGER KTB 3-10 E</t>
  </si>
  <si>
    <t>MIRAE TIGER KTB 3-10Y ETF</t>
  </si>
  <si>
    <t>BETF0431 IN Equity</t>
  </si>
  <si>
    <t>BHARAT Bond ETF - April 2031</t>
  </si>
  <si>
    <t>BHARAT BOND ETF - APRIL 2031</t>
  </si>
  <si>
    <t>VLDP LN Equity</t>
  </si>
  <si>
    <t>Vanguard US Treasury 7-10 Ye</t>
  </si>
  <si>
    <t>VANG US T 7-10 YR B ETF U D</t>
  </si>
  <si>
    <t>TBT US Equity</t>
  </si>
  <si>
    <t>Proshares超级做空20年期以上</t>
  </si>
  <si>
    <t>PROSHARES ULTRASHORT 20+Y TR</t>
  </si>
  <si>
    <t>SBIGILT IN Equity</t>
  </si>
  <si>
    <t>SBI-ETF 10 Year Gilt</t>
  </si>
  <si>
    <t>SBI-ETF 10 YEAR GILT</t>
  </si>
  <si>
    <t>TREL LN Equity</t>
  </si>
  <si>
    <t>Invesco US Treasury Bond 10+</t>
  </si>
  <si>
    <t>INVESCO US TRES 10+ YR DIST</t>
  </si>
  <si>
    <t>FLGA CN Equity</t>
  </si>
  <si>
    <t>Franklin Global Core Bond Fu</t>
  </si>
  <si>
    <t>FRANKLIN GLOBAL CORE</t>
  </si>
  <si>
    <t>00746B TT Equity</t>
  </si>
  <si>
    <t>Fubon 9-35 Years US Corporat</t>
  </si>
  <si>
    <t>FUBON 9-35 US CORP BOND ETF</t>
  </si>
  <si>
    <t>XZWG GR Equity</t>
  </si>
  <si>
    <t>Xtrackers II ESG Global Gove</t>
  </si>
  <si>
    <t>X ESG GLOBAL GOV BOND 1D</t>
  </si>
  <si>
    <t>0085N0 KS Equity</t>
  </si>
  <si>
    <t>KIM ACE US 10 Year T-Bond Ac</t>
  </si>
  <si>
    <t>KA US 10Y T-BOND ACT ETF H</t>
  </si>
  <si>
    <t>TAIL US Equity</t>
  </si>
  <si>
    <t>Cambria Tail Risk ETF</t>
  </si>
  <si>
    <t>CAMBRIA TAIL RISK ETF</t>
  </si>
  <si>
    <t>457690 KS Equity</t>
  </si>
  <si>
    <t>SAMSUNG KODEX 33-06 Treasury</t>
  </si>
  <si>
    <t>SS KODEX 33-06 TR BND AC ETF</t>
  </si>
  <si>
    <t>2856 JP Equity</t>
  </si>
  <si>
    <t>iShares 3-7 Year US Treasury</t>
  </si>
  <si>
    <t>ISHARES 3-7YRS US TR CRY HDG</t>
  </si>
  <si>
    <t>US10 LN Equity</t>
  </si>
  <si>
    <t>Amundi US Treasury Bond Long</t>
  </si>
  <si>
    <t>AM US T BOND LONG D-ETF DIST</t>
  </si>
  <si>
    <t>BTF2033 IN Equity</t>
  </si>
  <si>
    <t>Bharat Bond ETF April 2033</t>
  </si>
  <si>
    <t>BHARAT BOND ETF - APR 2033</t>
  </si>
  <si>
    <t>00785B TT Equity</t>
  </si>
  <si>
    <t>Fubon FTSE World Broad Inves</t>
  </si>
  <si>
    <t>FUBON FTSE WBIG USD BB10 ETF</t>
  </si>
  <si>
    <t>332610 KS Equity</t>
  </si>
  <si>
    <t>Hanwha ARIRANG US Short-term</t>
  </si>
  <si>
    <t>HANWHA ARG US SCR AAA-A ETF</t>
  </si>
  <si>
    <t>I20T NA Equity</t>
  </si>
  <si>
    <t>iShares USD Treasury Bond 10</t>
  </si>
  <si>
    <t>ISHR USD TB 10-20Y ETF</t>
  </si>
  <si>
    <t>AGG NZ Equity</t>
  </si>
  <si>
    <t>Smart Global Aggregate Bond</t>
  </si>
  <si>
    <t>SMART GLOBAL AGGRGT BOND ETF</t>
  </si>
  <si>
    <t>00773B TT Equity</t>
  </si>
  <si>
    <t>CTBC Bloomberg Banking Senio</t>
  </si>
  <si>
    <t>CTBC BBG BANK SR 10+YR ETF</t>
  </si>
  <si>
    <t>00687C TT Equity</t>
  </si>
  <si>
    <t>Cathay US Treasury 20+ YR ET</t>
  </si>
  <si>
    <t>CATHAY US TRS 20+ YR ETF+U</t>
  </si>
  <si>
    <t>0046A0 KS Equity</t>
  </si>
  <si>
    <t>MIRAE ASSET U.S ULTRA-SHORT</t>
  </si>
  <si>
    <t>8OUU GR Equity</t>
  </si>
  <si>
    <t>AM GLOBAL AGG BO DR C</t>
  </si>
  <si>
    <t>00847B TT Equity</t>
  </si>
  <si>
    <t>CTBC US High Grade Municipal</t>
  </si>
  <si>
    <t>CTBC US HIGH GR MUN BOND ETF</t>
  </si>
  <si>
    <t>GT15 LN Equity</t>
  </si>
  <si>
    <t>Invesco UK Gilt 15+ Year UCI</t>
  </si>
  <si>
    <t>INVESCO UK GILT 15+ YR ETF</t>
  </si>
  <si>
    <t>BKLN US Equity</t>
  </si>
  <si>
    <t>景顺高级贷款ETF</t>
  </si>
  <si>
    <t>INVESCO SENIOR LOAN ETF</t>
  </si>
  <si>
    <t>TMV US Equity</t>
  </si>
  <si>
    <t>Direxion每日20+年美国国债看</t>
  </si>
  <si>
    <t>DRX DLY 20+ YR TREAS BEAR 3X</t>
  </si>
  <si>
    <t>00754B TT Equity</t>
  </si>
  <si>
    <t>Capital Ice 15 + Year Aaa-AA</t>
  </si>
  <si>
    <t>CAPITAL 15+ AAA US CORP ETF</t>
  </si>
  <si>
    <t>TUA US Equity</t>
  </si>
  <si>
    <t>Simplify Short Term Treasury</t>
  </si>
  <si>
    <t>SIM ST TREAS FUT STRAT ETF</t>
  </si>
  <si>
    <t>0080X0 KS Equity</t>
  </si>
  <si>
    <t>Shinhan SOL S&amp;P500 US Treasu</t>
  </si>
  <si>
    <t>SHINHAN SOL S&amp;P500 US TREASU</t>
  </si>
  <si>
    <t>00760B TT Equity</t>
  </si>
  <si>
    <t>FUH Hwa Emerging Market Cred</t>
  </si>
  <si>
    <t>FUH HWA EMEG CREDIT BOND ETF</t>
  </si>
  <si>
    <t>RUQT CN Equity</t>
  </si>
  <si>
    <t>RBC Target 2031 US Corporate</t>
  </si>
  <si>
    <t>RBC TRGT 2031 US CORP BD ETF</t>
  </si>
  <si>
    <t>00781B TT Equity</t>
  </si>
  <si>
    <t>Cathay Bloomberg 15+ Year Te</t>
  </si>
  <si>
    <t>CATHAY BBG 15+ TECH BOND ETF</t>
  </si>
  <si>
    <t>273130 KS Equity</t>
  </si>
  <si>
    <t>Samsung KODEX Active Korea T</t>
  </si>
  <si>
    <t>SS KODEX ACTV KR TOT BD AA-</t>
  </si>
  <si>
    <t>476550 KS Equity</t>
  </si>
  <si>
    <t>MIRAE ASSET TIGER 30Y US TRE</t>
  </si>
  <si>
    <t>MA TIGER 30Y US TBD ACT ETFH</t>
  </si>
  <si>
    <t>00848B TT Equity</t>
  </si>
  <si>
    <t>CTBC Emerging Asia Ex China</t>
  </si>
  <si>
    <t>CTBC EM ASIA EX CH USD SEL B</t>
  </si>
  <si>
    <t>XSGL GR Equity</t>
  </si>
  <si>
    <t>Xtrackers II欧元区国债做空每</t>
  </si>
  <si>
    <t>X EURZ GOV BOND SHRT SWAP 1C</t>
  </si>
  <si>
    <t>IDTL LN Equity</t>
  </si>
  <si>
    <t>iShares安硕美元国债20年期以</t>
  </si>
  <si>
    <t>ISHARES USD TRES 20PLUS YR</t>
  </si>
  <si>
    <t>437070 KS Equity</t>
  </si>
  <si>
    <t>SAMSUNG KODEX Asia USD Bond</t>
  </si>
  <si>
    <t>SS KODEX ASIA USD BND SRI PL</t>
  </si>
  <si>
    <t>AK8C GR Equity</t>
  </si>
  <si>
    <t>Amundi Global Government Til</t>
  </si>
  <si>
    <t>AM GL GOV TD GB UCITS ET DIS</t>
  </si>
  <si>
    <t>00780B TT Equity</t>
  </si>
  <si>
    <t>Cathay Bloomberg 7-10 Year B</t>
  </si>
  <si>
    <t>CATHAY BBG 7-10 BANK BD ETF</t>
  </si>
  <si>
    <t>440650 KS Equity</t>
  </si>
  <si>
    <t>KIM KINDEX US Short Term Bon</t>
  </si>
  <si>
    <t>KIM KINDEX US SH BND ACT ETF</t>
  </si>
  <si>
    <t>TYA US Equity</t>
  </si>
  <si>
    <t>Simplify Intermediate Term T</t>
  </si>
  <si>
    <t>SIMPLIFY INTERMEDIATE TERM</t>
  </si>
  <si>
    <t>356540 KS Equity</t>
  </si>
  <si>
    <t>KIM KINDEX KIS Active Bond C</t>
  </si>
  <si>
    <t>KIM KINDEX ACTIVE BOND ETF</t>
  </si>
  <si>
    <t>BEPR CN Equity</t>
  </si>
  <si>
    <t>BROMPTON ENHANCED IG PREF</t>
  </si>
  <si>
    <t>437350 KS Equity</t>
  </si>
  <si>
    <t>KB KBSTAR US Short-Term IG C</t>
  </si>
  <si>
    <t>KBSTAR US SHT IG CORP BD ETF</t>
  </si>
  <si>
    <t>2016 JP Equity</t>
  </si>
  <si>
    <t>iFreeETF US Treasury Bond 7-</t>
  </si>
  <si>
    <t>IFREEETF US TRE BD 7-10Y JPH</t>
  </si>
  <si>
    <t>00980T TT Equity</t>
  </si>
  <si>
    <t>KGI US Top Balanced ETF</t>
  </si>
  <si>
    <t>KGI US TOP BALANCED ETF</t>
  </si>
  <si>
    <t>1677 JP Equity</t>
  </si>
  <si>
    <t>上市指数基金海外债券（FTSE W</t>
  </si>
  <si>
    <t>LISTED INDEX FUND INTERNATIO</t>
  </si>
  <si>
    <t>454780 KS Equity</t>
  </si>
  <si>
    <t>KIWOOM HEROES Total Market B</t>
  </si>
  <si>
    <t>KW HEROES TTL MKT BND AA-ETF</t>
  </si>
  <si>
    <t>BETF0432 IN Equity</t>
  </si>
  <si>
    <t>Bharat Bond ETF - April 2032</t>
  </si>
  <si>
    <t>BHARAT BOND ETF - APRIL 2032</t>
  </si>
  <si>
    <t>00756B TT Equity</t>
  </si>
  <si>
    <t>Capital ICE International 15</t>
  </si>
  <si>
    <t>CAPITAL ICE INTL 15+ EM ETF</t>
  </si>
  <si>
    <t>CSBGE0 SW Equity</t>
  </si>
  <si>
    <t>iShares安硕欧元国债7-10年UCI</t>
  </si>
  <si>
    <t>ISHARES EURO GOVT BOND 7-10Y</t>
  </si>
  <si>
    <t>468370 KS Equity</t>
  </si>
  <si>
    <t>SAMSUNG KODEX iShares US TIP</t>
  </si>
  <si>
    <t>SAMSUNG KODEX ISHARESTIPSETF</t>
  </si>
  <si>
    <t>00983B TT Equity</t>
  </si>
  <si>
    <t>United Enhanced Coupon 20+ Y</t>
  </si>
  <si>
    <t>UEC 20+ YS US TRE ETF</t>
  </si>
  <si>
    <t>00768B TT Equity</t>
  </si>
  <si>
    <t>FUH Hwa US Treasury 20 + Yea</t>
  </si>
  <si>
    <t>FUH HWA US TREA 20+ YR ETF</t>
  </si>
  <si>
    <t>DSB FP Equity</t>
  </si>
  <si>
    <t>东方汇理每日双倍做空德债UCIT</t>
  </si>
  <si>
    <t>AMUNDI BUND DAILY -2X INV</t>
  </si>
  <si>
    <t>XBAG GR Equity</t>
  </si>
  <si>
    <t>Xtrackers II ESG全球综合债券</t>
  </si>
  <si>
    <t>X ESG GLOBAL AGGR BND 1D</t>
  </si>
  <si>
    <t>00870B TT Equity</t>
  </si>
  <si>
    <t>Yuanta 15+ Year Emerging Mar</t>
  </si>
  <si>
    <t>YUANTA 15+ YR EM SOVERGN ETF</t>
  </si>
  <si>
    <t>CGB GR Equity</t>
  </si>
  <si>
    <t>Xtrackers II Harvest China G</t>
  </si>
  <si>
    <t>X HARVEST CHINA GOV BOND 1D</t>
  </si>
  <si>
    <t>TTT US Equity</t>
  </si>
  <si>
    <t>ProShares UltraPro做空20+美</t>
  </si>
  <si>
    <t>PROSHARES ULT -3X 20+ YR TSY</t>
  </si>
  <si>
    <t>JGBUX I2 Equity</t>
  </si>
  <si>
    <t>iShares Japan Govt Bond UCIT</t>
  </si>
  <si>
    <t>ISHARES JP GOV BD UCIT USD H</t>
  </si>
  <si>
    <t>ZJK CN Equity</t>
  </si>
  <si>
    <t>BMO High Yield US Corporate</t>
  </si>
  <si>
    <t>BMO HIGH YIELD US CORPORATE</t>
  </si>
  <si>
    <t>2510 JP Equity</t>
  </si>
  <si>
    <t>NEXT FUNDS Japan Bond NOMURA</t>
  </si>
  <si>
    <t>NF JAPAN BOND ETF</t>
  </si>
  <si>
    <t>430500 KS Equity</t>
  </si>
  <si>
    <t>Kiwoom KIWOOM TIPS KIS ETF</t>
  </si>
  <si>
    <t>KIWOOM KIWOOM TIPS KIS ETF</t>
  </si>
  <si>
    <t>ZTIP CN Equity</t>
  </si>
  <si>
    <t>BMO Short-Term US Tips Index</t>
  </si>
  <si>
    <t>BMO SHORT-TERM US TIPS INDEX</t>
  </si>
  <si>
    <t>488720 KS Equity</t>
  </si>
  <si>
    <t>WOORI WOORI Total Bond Marke</t>
  </si>
  <si>
    <t>WOORI WOORI TOTAL BOND MARKE</t>
  </si>
  <si>
    <t>472920 KS Equity</t>
  </si>
  <si>
    <t>Heungkuk HK Total Market Bon</t>
  </si>
  <si>
    <t>HEUNGKUK HK TOTAL MKT B ETF</t>
  </si>
  <si>
    <t>NETFSD26 IN Equity</t>
  </si>
  <si>
    <t>Nippon India ETF Nifty SDL A</t>
  </si>
  <si>
    <t>NIPP ETF NIFTY SDL - 2026T20</t>
  </si>
  <si>
    <t>00711B TT Equity</t>
  </si>
  <si>
    <t>Fuh Hwa Emerging Market 10+</t>
  </si>
  <si>
    <t>FUH HWA EM 10+ YR BOND ETF</t>
  </si>
  <si>
    <t>LPAY CN Equity</t>
  </si>
  <si>
    <t>Global X Long-Term U.S. Trea</t>
  </si>
  <si>
    <t>GLB X L TERM US TRY YLD ETF</t>
  </si>
  <si>
    <t>00779B TT Equity</t>
  </si>
  <si>
    <t>KGI 25+ Years US Treasury Bo</t>
  </si>
  <si>
    <t>KGI 25+ YEARS US TBOND ETF</t>
  </si>
  <si>
    <t>00967B TT Equity</t>
  </si>
  <si>
    <t>Yuanta U.S. Treasury 10+ Yr</t>
  </si>
  <si>
    <t>YUANTA US TR 10+Y EH YLD CPN</t>
  </si>
  <si>
    <t>00795B TT Equity</t>
  </si>
  <si>
    <t>CTBC U.S. Treasury 20+ Year</t>
  </si>
  <si>
    <t>CTBC US T20+ YEAR BOND ETF</t>
  </si>
  <si>
    <t>451540 KS Equity</t>
  </si>
  <si>
    <t>Mirae Asset TIGER Aggregate</t>
  </si>
  <si>
    <t>MA TIGER AGGR BOND ACTV ETF</t>
  </si>
  <si>
    <t>00764B TT Equity</t>
  </si>
  <si>
    <t>Capital Ice 25 + Year US Tre</t>
  </si>
  <si>
    <t>CAPITAL ICE 25+ US T ETF</t>
  </si>
  <si>
    <t>00687B TT Equity</t>
  </si>
  <si>
    <t>CATHAY BBG BARC US 20+ B ETF</t>
  </si>
  <si>
    <t>00749B TT Equity</t>
  </si>
  <si>
    <t>KGI 10+Year Emerging Market</t>
  </si>
  <si>
    <t>KGI 10+ EM USD IG BOND ETF</t>
  </si>
  <si>
    <t>00679B TT Equity</t>
  </si>
  <si>
    <t>Yuanta US Treasury 20+ Year</t>
  </si>
  <si>
    <t>YUANTA US TREASURY 20+ ETF</t>
  </si>
  <si>
    <t>267440 KS Equity</t>
  </si>
  <si>
    <t>KBSTAR US T BD FTRS H ETF</t>
  </si>
  <si>
    <t>453850 KS Equity</t>
  </si>
  <si>
    <t>KIM ACE US LT T-BOND AC ETFH</t>
  </si>
  <si>
    <t>XGUE GR Equity</t>
  </si>
  <si>
    <t>Xtrackers USD Corporate Gree</t>
  </si>
  <si>
    <t>X USD CORP GREEN BOND 1C EUR</t>
  </si>
  <si>
    <t>2090 JP Equity</t>
  </si>
  <si>
    <t>NZAM ETF US Treasury 7-10Y J</t>
  </si>
  <si>
    <t>NZAM ETF US TREASURY 7-10Y</t>
  </si>
  <si>
    <t>00696B TT Equity</t>
  </si>
  <si>
    <t>FUBON 20+ YRS UST BOND ETF</t>
  </si>
  <si>
    <t>00931B TT Equity</t>
  </si>
  <si>
    <t>UPAMC US Treasury 20 Plus Ye</t>
  </si>
  <si>
    <t>UPAMC US TREA 20+ YR ETF</t>
  </si>
  <si>
    <t>461600 KS Equity</t>
  </si>
  <si>
    <t>Shinhan SOL US Treasury Bond</t>
  </si>
  <si>
    <t>SH SOL US TREASURY B 30YACTH</t>
  </si>
  <si>
    <t>00734B TT Equity</t>
  </si>
  <si>
    <t>Taishin Jp Morgan Emerging M</t>
  </si>
  <si>
    <t>TS JPM EMERG IG BOND ETF</t>
  </si>
  <si>
    <t>0017Y0 KS Equity</t>
  </si>
  <si>
    <t>Hana 1Q Total Market Bond AA</t>
  </si>
  <si>
    <t>HANA1Q TOT MKTBOND AA- A ETF</t>
  </si>
  <si>
    <t>2839 JP Equity</t>
  </si>
  <si>
    <t>MAXIS US Treasury Bond 7-10</t>
  </si>
  <si>
    <t>MAXIS US TREASURY BD7-10 JPY</t>
  </si>
  <si>
    <t>484790 KS Equity</t>
  </si>
  <si>
    <t>SAMSUNG KODEX US Treasury 20</t>
  </si>
  <si>
    <t>SAMSUNG KDX US T20+BD AC ETF</t>
  </si>
  <si>
    <t>2511 JP Equity</t>
  </si>
  <si>
    <t>NF INTERNATIONAL BOND UNHDG</t>
  </si>
  <si>
    <t>00857B TT Equity</t>
  </si>
  <si>
    <t>Sinopac ICE 20+ Year US Trea</t>
  </si>
  <si>
    <t>SINOPAC ICE20+ YR US TREA ET</t>
  </si>
  <si>
    <t>451000 KS Equity</t>
  </si>
  <si>
    <t>Hanwha ARIRANG Total Market</t>
  </si>
  <si>
    <t>HW ARIRANG TTL BD AA- ACTV</t>
  </si>
  <si>
    <t>148070 KS Equity</t>
  </si>
  <si>
    <t>Kiwoom KOSEF 10年期韩国国债E</t>
  </si>
  <si>
    <t>KIWOOM KIWOOM 10Y KTB ETF</t>
  </si>
  <si>
    <t>00697B TT Equity</t>
  </si>
  <si>
    <t>Yuanta US Treasury 7-10 Year</t>
  </si>
  <si>
    <t>YUANTA UST 7-10 YR BOND ETF</t>
  </si>
  <si>
    <t>RUQR CN Equity</t>
  </si>
  <si>
    <t>RBC Target 2029 US Corporate</t>
  </si>
  <si>
    <t>RBC TARGET 2029 US CB ETF</t>
  </si>
  <si>
    <t>00695B TT Equity</t>
  </si>
  <si>
    <t>FUBON 7-10 YRS UST BOND ETF</t>
  </si>
  <si>
    <t>00884B TT Equity</t>
  </si>
  <si>
    <t>CTBC 15+Year Large Cap USD E</t>
  </si>
  <si>
    <t>CTBC 15+ LC USD EM CAR REETF</t>
  </si>
  <si>
    <t>MPAY CN Equity</t>
  </si>
  <si>
    <t>Global X Mid-Term U.S. Treas</t>
  </si>
  <si>
    <t>GLOBAL X MID-TERM U.S. TREAS</t>
  </si>
  <si>
    <t>2648 JP Equity</t>
  </si>
  <si>
    <t>NEXT FUNDS Bloomberg US Trea</t>
  </si>
  <si>
    <t>NF US TREASURY BD 7-10 HDG</t>
  </si>
  <si>
    <t>181A JP Equity</t>
  </si>
  <si>
    <t>MAXIS US Treasury Bond 1-3 Y</t>
  </si>
  <si>
    <t>MAXIS US TREASURY BD 1-3 UH</t>
  </si>
  <si>
    <t>RUQP CN Equity</t>
  </si>
  <si>
    <t>RBC Target 2027 US Corporate</t>
  </si>
  <si>
    <t>RBC TARGET 2027 US CB ETF</t>
  </si>
  <si>
    <t>236A JP Equity</t>
  </si>
  <si>
    <t>iShares 7-10 Year Japan Gove</t>
  </si>
  <si>
    <t>ISHARES 7-10 YEAR JAPAN GOVE</t>
  </si>
  <si>
    <t>295000 KS Equity</t>
  </si>
  <si>
    <t>KB RISE KTB 10Y Futures ETF</t>
  </si>
  <si>
    <t>KB RISE KTB 10Y FUTURES ETF</t>
  </si>
  <si>
    <t>XUHY GR Equity</t>
  </si>
  <si>
    <t>X USD HIGH YIELD BOND</t>
  </si>
  <si>
    <t>461500 KS Equity</t>
  </si>
  <si>
    <t>NH-Amundi HANARO Total Marke</t>
  </si>
  <si>
    <t>NH AMUNDI HANARO MKT+ ETF</t>
  </si>
  <si>
    <t>481430 KS Equity</t>
  </si>
  <si>
    <t>KB RISE 10-Years Treasury Bo</t>
  </si>
  <si>
    <t>KB RISE 10-YE TR BO ACTI ETF</t>
  </si>
  <si>
    <t>ZBBZ CN Equity</t>
  </si>
  <si>
    <t>BMO BBB CLO ETF</t>
  </si>
  <si>
    <t>1487 JP Equity</t>
  </si>
  <si>
    <t>Listed Index Fund US Bond Cu</t>
  </si>
  <si>
    <t>NIKKO ETF US BOND HEDGE</t>
  </si>
  <si>
    <t>XTLT CN Equity</t>
  </si>
  <si>
    <t>ISHARES 20+ YR US TR BND</t>
  </si>
  <si>
    <t>JC11 GR Equity</t>
  </si>
  <si>
    <t>UBS J.P. Morgan CNY China Go</t>
  </si>
  <si>
    <t>UBS ETF CHINA GOVI 1-10</t>
  </si>
  <si>
    <t>304660 KS Equity</t>
  </si>
  <si>
    <t>KODEX ULTRA T-BOND FTRSH ETF</t>
  </si>
  <si>
    <t>179A JP Equity</t>
  </si>
  <si>
    <t>GX 25+ Year T-Bond ETF H</t>
  </si>
  <si>
    <t>GX 25+ YEAR T-BOND ETF (H)</t>
  </si>
  <si>
    <t>498180 KS Equity</t>
  </si>
  <si>
    <t>KyoboAXA Power Total Market</t>
  </si>
  <si>
    <t>KYOBOAXA T MKT BD AA- AC ETF</t>
  </si>
  <si>
    <t>152380 KS Equity</t>
  </si>
  <si>
    <t>三星KODEX 10年期韩国国债期货</t>
  </si>
  <si>
    <t>SAMSUNG-KODEX 10Y F-LKTB ETF</t>
  </si>
  <si>
    <t>B5MB11 BZ Equity</t>
  </si>
  <si>
    <t>ETF Bradesco IMA-B5+ Fundo d</t>
  </si>
  <si>
    <t>ETF BRADESCO IMA-B5+ FUNDO D</t>
  </si>
  <si>
    <t>2519 JP Equity</t>
  </si>
  <si>
    <t>NEXT FUNDS Emerging Market B</t>
  </si>
  <si>
    <t>NF EMERGING MKT BOND UNHDG</t>
  </si>
  <si>
    <t>ZIC CN Equity</t>
  </si>
  <si>
    <t>BMO中期美国投资级公司债券指</t>
  </si>
  <si>
    <t>BMO MID-TERM US IG CORPORATE</t>
  </si>
  <si>
    <t>2621 JP Equity</t>
  </si>
  <si>
    <t>iShares 20 Year US Treasury</t>
  </si>
  <si>
    <t>ISHARES 20+ US TR BD JPY HED</t>
  </si>
  <si>
    <t>XSHU CN Equity</t>
  </si>
  <si>
    <t>ISHARES 1-5 YR US IG CORP BN</t>
  </si>
  <si>
    <t>XSTP CN Equity</t>
  </si>
  <si>
    <t>ISHARES 0-5 YR TIPS BOND ETF</t>
  </si>
  <si>
    <t>TYD US Equity</t>
  </si>
  <si>
    <t>Direxion每日7-10年国债看涨3</t>
  </si>
  <si>
    <t>DRX DLY 7-10 Y TREAS BULL 3X</t>
  </si>
  <si>
    <t>RUQO CN Equity</t>
  </si>
  <si>
    <t>RBC Target 2026 US Corporate</t>
  </si>
  <si>
    <t>RBC TGT 2026 US CORP BD ETF</t>
  </si>
  <si>
    <t>PREF CN Equity</t>
  </si>
  <si>
    <t>Quadravest Preferred Split S</t>
  </si>
  <si>
    <t>QUADRAVEST PREF SPLIT SH ETF</t>
  </si>
  <si>
    <t>1482 JP Equity</t>
  </si>
  <si>
    <t>iShares Core 7-10 Year US Tr</t>
  </si>
  <si>
    <t>ISHARES CORE 7-10YR UST HEDG</t>
  </si>
  <si>
    <t>471230 KS Equity</t>
  </si>
  <si>
    <t>SAMSUNG KODEX 10-Years Treas</t>
  </si>
  <si>
    <t>SS KODEX 10YRS TREA BOND ETF</t>
  </si>
  <si>
    <t>TUSB CN Equity</t>
  </si>
  <si>
    <t>TD Select U.S. Short Term Co</t>
  </si>
  <si>
    <t>XZHY GR Equity</t>
  </si>
  <si>
    <t>SPLT CN Equity</t>
  </si>
  <si>
    <t>Brompton Split Corp Preferre</t>
  </si>
  <si>
    <t>BROMPTON SPLIT CORP PREF</t>
  </si>
  <si>
    <t>448490 KS Equity</t>
  </si>
  <si>
    <t>NH-Amundi HANARO Oct 2032 Tr</t>
  </si>
  <si>
    <t>HANARO 32-10 TRSRY ACTV ETF</t>
  </si>
  <si>
    <t>RUQQ CN Equity</t>
  </si>
  <si>
    <t>RBC Target 2028 US Corporate</t>
  </si>
  <si>
    <t>RBC TARGET 2028 US CB ETF</t>
  </si>
  <si>
    <t>376A JP Equity</t>
  </si>
  <si>
    <t>NEXT FUNDS BBG US TRE</t>
  </si>
  <si>
    <t>183A JP Equity</t>
  </si>
  <si>
    <t>MAXIS US Treasury Bond 20+ Y</t>
  </si>
  <si>
    <t>MAXIS US TREA BD 20+ JPY H</t>
  </si>
  <si>
    <t>FAMLSS IM Equity</t>
  </si>
  <si>
    <t>Fineco AM MSCI USD IG Liquid</t>
  </si>
  <si>
    <t>FI AM MS UI LS PS CB UE-AEUR</t>
  </si>
  <si>
    <t>SPAY CN Equity</t>
  </si>
  <si>
    <t>Global X Short-Term U.S. Tre</t>
  </si>
  <si>
    <t>GLB X SH-T US TR PRM YLD ETF</t>
  </si>
  <si>
    <t>IVOL US Equity</t>
  </si>
  <si>
    <t>Quadratic Interest Rate Vola</t>
  </si>
  <si>
    <t>QUADRATIC INT RTE VOL INFL H</t>
  </si>
  <si>
    <t>HJGB LN Equity</t>
  </si>
  <si>
    <t>HSBC Global Funds ICAV - Jap</t>
  </si>
  <si>
    <t>HSBC ICAV JAPAN GOVT BD ETF</t>
  </si>
  <si>
    <t>TULB CN Equity</t>
  </si>
  <si>
    <t>TD US Long Term Treasury Bon</t>
  </si>
  <si>
    <t>TD US LONG TERM TREASURY BON</t>
  </si>
  <si>
    <t>GUHY GR Equity</t>
  </si>
  <si>
    <t>Goldman Sachs USD High Yield</t>
  </si>
  <si>
    <t>GOLDMAN USD HY ACTIVE ETF</t>
  </si>
  <si>
    <t>UEF7 GR Equity</t>
  </si>
  <si>
    <t>UBS BBG US Liquid Corp 1-5 U</t>
  </si>
  <si>
    <t>UBS ETF US L. C. H. CHF 1-5</t>
  </si>
  <si>
    <t>KSMF153 IT Equity</t>
  </si>
  <si>
    <t>KSM ETF 00 Short Non-Linked</t>
  </si>
  <si>
    <t>KSMETF TEL GOV SHO SHEK</t>
  </si>
  <si>
    <t>GCRE GR Equity</t>
  </si>
  <si>
    <t>AM GL CORP BO 1-5Y HR H USD</t>
  </si>
  <si>
    <t>PR1G GR Equity</t>
  </si>
  <si>
    <t>Amundi Prime Global Governme</t>
  </si>
  <si>
    <t>AMUNDI PRI GLB GOV B ETF-DIS</t>
  </si>
  <si>
    <t>RUQS CN Equity</t>
  </si>
  <si>
    <t>RBC Target 2030 US Corporate</t>
  </si>
  <si>
    <t>RBC TARGET 2030 US CB ETF</t>
  </si>
  <si>
    <t>365780 KS Equity</t>
  </si>
  <si>
    <t>KIM ACE Korea 10Y Treasury B</t>
  </si>
  <si>
    <t>KIM ACE KOREA 10Y TREASURY B</t>
  </si>
  <si>
    <t>438570 KS Equity</t>
  </si>
  <si>
    <t>SH SOL KR TRSRY BD 10Y ETF</t>
  </si>
  <si>
    <t>XTIP GR Equity</t>
  </si>
  <si>
    <t>Xtrackers II TIPS US Inflati</t>
  </si>
  <si>
    <t>X TIPS US INFL-LNKED BOND 1C</t>
  </si>
  <si>
    <t>PR1T GR Equity</t>
  </si>
  <si>
    <t>AMUNDI US TREASURY BOND 0-1Y</t>
  </si>
  <si>
    <t>SHOR GR Equity</t>
  </si>
  <si>
    <t>Franklin US Treasury 0-1 Yea</t>
  </si>
  <si>
    <t>FRANKLIN US TREAS 0-1 YR ETF</t>
  </si>
  <si>
    <t>XAGG CN Equity</t>
  </si>
  <si>
    <t>ISHARES US AGG BOND INDEX</t>
  </si>
  <si>
    <t>468630 KS Equity</t>
  </si>
  <si>
    <t>SAMSUNG KODEX iShares US Inv</t>
  </si>
  <si>
    <t>SAMSUNG KODEX ISHRS IGCB ETF</t>
  </si>
  <si>
    <t>XT01 GR Equity</t>
  </si>
  <si>
    <t>Xtrackers US Treasuries Ultr</t>
  </si>
  <si>
    <t>X US TREAS ULTRASHORT 1C</t>
  </si>
  <si>
    <t>ZTL CN Equity</t>
  </si>
  <si>
    <t>BMO Long-Term US Treasury Bo</t>
  </si>
  <si>
    <t>BMO LONG-TERM US TREASURY BO</t>
  </si>
  <si>
    <t>XYLD GR Equity</t>
  </si>
  <si>
    <t>Xtrackers USD Corporate Bond</t>
  </si>
  <si>
    <t>X USD CORP SD SRI PAB 1D</t>
  </si>
  <si>
    <t>MDB1 IM Equity</t>
  </si>
  <si>
    <t>UBS Sustainable Development</t>
  </si>
  <si>
    <t>UBS SUST DEV BB 1-5 ETF</t>
  </si>
  <si>
    <t>332620 KS Equity</t>
  </si>
  <si>
    <t>Hanwha PLUS US Long-term Cre</t>
  </si>
  <si>
    <t>HANWHA PLUS US LONG-TERM CRE</t>
  </si>
  <si>
    <t>FAMUSS IM Equity</t>
  </si>
  <si>
    <t>Fineco AM MSCI USD HY SRI P-</t>
  </si>
  <si>
    <t>FAM UH SR P-SR COP BD UE-AEA</t>
  </si>
  <si>
    <t>CBSUS IM Equity</t>
  </si>
  <si>
    <t>瑞银卢森堡基金解决方案-彭博M</t>
  </si>
  <si>
    <t>UBS ETF BM US LIQ. C. SUST.</t>
  </si>
  <si>
    <t>QTLT CN Equity</t>
  </si>
  <si>
    <t>Mackenzie US Government Long</t>
  </si>
  <si>
    <t>MACKENZIE US GOV LNG BND IND</t>
  </si>
  <si>
    <t>AGYT GR Equity</t>
  </si>
  <si>
    <t>AXA IM Global High Yield Opp</t>
  </si>
  <si>
    <t>AXA GL HY OPP ETF USACC</t>
  </si>
  <si>
    <t>ZAAA CN Equity</t>
  </si>
  <si>
    <t>BMO AAA CLO ETF</t>
  </si>
  <si>
    <t>ASWN GR Equity</t>
  </si>
  <si>
    <t>Infrastructure Capital Prefe</t>
  </si>
  <si>
    <t>INF CAP PRE INC UCITS ETF</t>
  </si>
  <si>
    <t>USHY FP Equity</t>
  </si>
  <si>
    <t>Amundi USD High Yield Corpor</t>
  </si>
  <si>
    <t>AMUNDI USD HI YLD CP BD ESG</t>
  </si>
  <si>
    <t>ZTS CN Equity</t>
  </si>
  <si>
    <t>BMO Short-Term US Treasury B</t>
  </si>
  <si>
    <t>BMO SHORT-TERM US TREASURY B</t>
  </si>
  <si>
    <t>UEFF GR Equity</t>
  </si>
  <si>
    <t>瑞银核心彭博美国1-3年期国债U</t>
  </si>
  <si>
    <t>UBS CR BBG US TRE 1-3 UC-USD</t>
  </si>
  <si>
    <t>TSTX CN Equity</t>
  </si>
  <si>
    <t>Global X 1-3 Year US Treasur</t>
  </si>
  <si>
    <t>GBL X 1-3 YR US T BD INDEX</t>
  </si>
  <si>
    <t>XCBU CN Equity</t>
  </si>
  <si>
    <t>iShares US IG Corporate Bond</t>
  </si>
  <si>
    <t>ISHARES US IG CORP BOND ETF</t>
  </si>
  <si>
    <t>2561 JP Equity</t>
  </si>
  <si>
    <t>iShares Core Japan Governmen</t>
  </si>
  <si>
    <t>ISHARES CORE JP GOV BOND ETF</t>
  </si>
  <si>
    <t>0085P0 KS Equity</t>
  </si>
  <si>
    <t>KIM ACE U.S. 10 Year T-Bond</t>
  </si>
  <si>
    <t>KIM ACE U.S. 10Y T-BOND  ETF</t>
  </si>
  <si>
    <t>SPPU GR Equity</t>
  </si>
  <si>
    <t>SPDR Bloomberg U.S. Corporat</t>
  </si>
  <si>
    <t>SPDR BLOOMBERG U.S. CORPORAT</t>
  </si>
  <si>
    <t>AHYT GR Equity</t>
  </si>
  <si>
    <t>AXA IM US High Yield Opportu</t>
  </si>
  <si>
    <t>AXA IM US HY OPP UCITS ETF</t>
  </si>
  <si>
    <t>SYBR GR Equity</t>
  </si>
  <si>
    <t>SPDR Bloomberg 1-10 Year U.S</t>
  </si>
  <si>
    <t>SPDR BBG 1-10 US CORPORATE</t>
  </si>
  <si>
    <t>ABFTH TB Equity</t>
  </si>
  <si>
    <t>ABF Thailand Bond Index Fund</t>
  </si>
  <si>
    <t>KASSET ABF TH BOND INDX FUND</t>
  </si>
  <si>
    <t>BTPS FP Equity</t>
  </si>
  <si>
    <t>东方汇理意大利BTP每日2倍反向</t>
  </si>
  <si>
    <t>AMUNDI ITALY BTP DAILY -2X I</t>
  </si>
  <si>
    <t>AIPT GR Equity</t>
  </si>
  <si>
    <t>AXA IM USD Credit PAB UCITS</t>
  </si>
  <si>
    <t>AXA IM USD IG PAB UCITS ACC</t>
  </si>
  <si>
    <t>PR1P GR Equity</t>
  </si>
  <si>
    <t>Amundi Core USD Corporate Bo</t>
  </si>
  <si>
    <t>AM CR USD CORP BOND ETF DIST</t>
  </si>
  <si>
    <t>308620 KS Equity</t>
  </si>
  <si>
    <t>Samsung KODEX T-note Futures</t>
  </si>
  <si>
    <t>SAMSUNG KODEX T-NOTE FT ETF</t>
  </si>
  <si>
    <t>461460 KS Equity</t>
  </si>
  <si>
    <t>Hanwha PLUS 10-Year Korea Tr</t>
  </si>
  <si>
    <t>HANWHA PLUS 10-YEAR KOREA TR</t>
  </si>
  <si>
    <t>FVUI GR Equity</t>
  </si>
  <si>
    <t>Franklin USD Investment Grad</t>
  </si>
  <si>
    <t>FRANKLIN USDINGRCPBDUCITSETF</t>
  </si>
  <si>
    <t>289670 KS Equity</t>
  </si>
  <si>
    <t>Hanwha Arirang KTB 10Y Futur</t>
  </si>
  <si>
    <t>HH ARIRANG KTB 10Y FTRS ETF</t>
  </si>
  <si>
    <t>2258 JP Equity</t>
  </si>
  <si>
    <t>ISHARES USD HIGH Y CORP ETF</t>
  </si>
  <si>
    <t>MDBA GR Equity</t>
  </si>
  <si>
    <t>UBS SUST DEV BB HAUDACC</t>
  </si>
  <si>
    <t>UEF9 GR Equity</t>
  </si>
  <si>
    <t>瑞银核心彭博美国流动性公司债</t>
  </si>
  <si>
    <t>UBS COR BBG US LQC UCITS-USD</t>
  </si>
  <si>
    <t>2012 JP Equity</t>
  </si>
  <si>
    <t>iShares 0-3 Month US Treasur</t>
  </si>
  <si>
    <t>ISHARES 0-3M US TRE BOND ETF</t>
  </si>
  <si>
    <t>SGLO LN Equity</t>
  </si>
  <si>
    <t>iShares安硕全球国债UCITS ETF</t>
  </si>
  <si>
    <t>ISHARES GLOBAL GOV BND-DISTR</t>
  </si>
  <si>
    <t>00969B TT Equity</t>
  </si>
  <si>
    <t>Yuanta U.S. Strips 25+ Year</t>
  </si>
  <si>
    <t>YUANTA US STRIP 25+Y ETF</t>
  </si>
  <si>
    <t>ZTM CN Equity</t>
  </si>
  <si>
    <t>BMO Mid-Term US Treasury Bon</t>
  </si>
  <si>
    <t>BMO MID-TERM US TREASURY BON</t>
  </si>
  <si>
    <t>XZBU GR Equity</t>
  </si>
  <si>
    <t>X USD CORP SRI PAB 1C</t>
  </si>
  <si>
    <t>2093 JP Equity</t>
  </si>
  <si>
    <t>Listed Tracers US Government</t>
  </si>
  <si>
    <t>LSTED TRCERS US GOV BON 0-2Y</t>
  </si>
  <si>
    <t>133A JP Equity</t>
  </si>
  <si>
    <t>GX Ultra Short-Term T-Bill E</t>
  </si>
  <si>
    <t>GX ULTRA SHRT-TRM T-BILL ETF</t>
  </si>
  <si>
    <t>MDB5 IM Equity</t>
  </si>
  <si>
    <t>UBS SUSTDBB 5-10 ETF HAA</t>
  </si>
  <si>
    <t>FLCV GR Equity</t>
  </si>
  <si>
    <t>Franklin Emerging Markets So</t>
  </si>
  <si>
    <t>FRNKLIN EM SOV DB VAL UC ETF</t>
  </si>
  <si>
    <t>XDGU GR Equity</t>
  </si>
  <si>
    <t>X USD CORPORATE BOND 1D</t>
  </si>
  <si>
    <t>ISRD FP Equity</t>
  </si>
  <si>
    <t>Amundi Label ISR Credit USD</t>
  </si>
  <si>
    <t>AMDI ISR CRED US UCITS ETF C</t>
  </si>
  <si>
    <t>RUDB CN Equity</t>
  </si>
  <si>
    <t>RBC US Discount Bond ETF</t>
  </si>
  <si>
    <t>RBC US DISCOUNT BOND ETF</t>
  </si>
  <si>
    <t>PTAM GR Equity</t>
  </si>
  <si>
    <t>Performance Trust Total Retu</t>
  </si>
  <si>
    <t>PERF TRUST TR BOND UCITS ETF</t>
  </si>
  <si>
    <t>473330 KS Equity</t>
  </si>
  <si>
    <t>Shinhan SOL US Treasury 30y</t>
  </si>
  <si>
    <t>SHN SOL US TR 30Y 2% OTM ETF</t>
  </si>
  <si>
    <t>SEAA GR Equity</t>
  </si>
  <si>
    <t>UBS J.P. Morgan USD EM Diver</t>
  </si>
  <si>
    <t>UBS ETF JPM USD EM DIV 1-5</t>
  </si>
  <si>
    <t>426150 KS Equity</t>
  </si>
  <si>
    <t>Woori Won Korea Treasury Bon</t>
  </si>
  <si>
    <t>WORI WON KOREA TSR BD AT ETF</t>
  </si>
  <si>
    <t>CXF CN Equity</t>
  </si>
  <si>
    <t>CI加拿大可转换债券ETF</t>
  </si>
  <si>
    <t>CI CANADIAN CONVERTIBLE BOND</t>
  </si>
  <si>
    <t>SPP3 GR Equity</t>
  </si>
  <si>
    <t>SPDR Bloomberg 3-7 Year U.S.</t>
  </si>
  <si>
    <t>SPDR BBG 3-7 US TREASURY</t>
  </si>
  <si>
    <t>2620 JP Equity</t>
  </si>
  <si>
    <t>iShares 1-3 Year US Treasury</t>
  </si>
  <si>
    <t>ISHARES 1-3 YEAR US TR BOND</t>
  </si>
  <si>
    <t>HTB CN Equity</t>
  </si>
  <si>
    <t>Global X US 7-10 Year Treasu</t>
  </si>
  <si>
    <t>GLO X US 7-10YR TRES IND COR</t>
  </si>
  <si>
    <t>305080 KS Equity</t>
  </si>
  <si>
    <t>Mirae Asset TIGER 10Y U.S. T</t>
  </si>
  <si>
    <t>MIRAE TIGER 10Y US TRSRY ETF</t>
  </si>
  <si>
    <t>UIGB NA Equity</t>
  </si>
  <si>
    <t>UTI India Sovereign Bond UCI</t>
  </si>
  <si>
    <t>UTI INDIA SOVEREIGN BD ETF</t>
  </si>
  <si>
    <t>PR1S GR Equity</t>
  </si>
  <si>
    <t>AMUNDI PRIME US TREASURY UCI</t>
  </si>
  <si>
    <t>AMUNDI PRI US TRES UCITS  DR</t>
  </si>
  <si>
    <t>464470 KS Equity</t>
  </si>
  <si>
    <t>Hanwha PLUS 30-Year US Treas</t>
  </si>
  <si>
    <t>HANWHA PLUS 30-YEAR US TREAS</t>
  </si>
  <si>
    <t>472830 KS Equity</t>
  </si>
  <si>
    <t>KB KBSTAR US Treasury Bond 3</t>
  </si>
  <si>
    <t>KS KBSTAR US BD 30Y COV C E</t>
  </si>
  <si>
    <t>476760 KS Equity</t>
  </si>
  <si>
    <t>KIM ACE US LT T-BOND ACT ETF</t>
  </si>
  <si>
    <t>2257 JP Equity</t>
  </si>
  <si>
    <t>ISHARES USD INV GD CORP ETF</t>
  </si>
  <si>
    <t>SPPX GR Equity</t>
  </si>
  <si>
    <t>SPDR BBG 10+ US TREASURY</t>
  </si>
  <si>
    <t>UEFS GR Equity</t>
  </si>
  <si>
    <t>UBS BBG USD EM Sovereign UCI</t>
  </si>
  <si>
    <t>UBS ETF USD EM SOVEREIGN</t>
  </si>
  <si>
    <t>UEFI GR Equity</t>
  </si>
  <si>
    <t>瑞银核心彭博美国7-10年期国债</t>
  </si>
  <si>
    <t>UBS CO BBG TRE 1-10 UCI- USD</t>
  </si>
  <si>
    <t>NGB NZ Equity</t>
  </si>
  <si>
    <t>Smart S&amp;P/NZX NZ Government</t>
  </si>
  <si>
    <t>SMART S&amp;P/NZX NZ GOV BON ETF</t>
  </si>
  <si>
    <t>458250 KS Equity</t>
  </si>
  <si>
    <t>MIRAE ASSET TIGER US T-BOND</t>
  </si>
  <si>
    <t>MA TGR US TB 30Y ACT ETF</t>
  </si>
  <si>
    <t>XASB GR Equity</t>
  </si>
  <si>
    <t>Xtrackers II Salam USD Globa</t>
  </si>
  <si>
    <t>X USD GLOBAL AGG SUKUK 1D</t>
  </si>
  <si>
    <t>00680L TT Equity</t>
  </si>
  <si>
    <t>YUANTA DAILY UST 20+ 2X ETF</t>
  </si>
  <si>
    <t>00688L TT Equity</t>
  </si>
  <si>
    <t>Cathay US Treasury 20+ YR Le</t>
  </si>
  <si>
    <t>CATHAY BBG BARC US 20+ 2XETF</t>
  </si>
  <si>
    <t>0010E0 KS Equity</t>
  </si>
  <si>
    <t>KIM ACE FTSE WGBI Korean Gov</t>
  </si>
  <si>
    <t>KIM ACE FTSE WGBI KR GOV ETF</t>
  </si>
  <si>
    <t>SPP5 GR Equity</t>
  </si>
  <si>
    <t>SPDR Bloomberg 1-5 Year U.S.</t>
  </si>
  <si>
    <t>SPDR BBG 1-5 US CORP ETF ACC</t>
  </si>
  <si>
    <t>XUT7 GR Equity</t>
  </si>
  <si>
    <t>Xtrackers II US Treasuries 3</t>
  </si>
  <si>
    <t>X US TREASURIES 3-7 1D</t>
  </si>
  <si>
    <t>2256 JP Equity</t>
  </si>
  <si>
    <t>iShares US Aggregate Bond ET</t>
  </si>
  <si>
    <t>ISHARES US AGG BOND ETF</t>
  </si>
  <si>
    <t>LINXB IM Equity</t>
  </si>
  <si>
    <t>Investlinx Balanced Income U</t>
  </si>
  <si>
    <t>INVESTLINX BALANCED INCOME-A</t>
  </si>
  <si>
    <t>ITPS LN Equity</t>
  </si>
  <si>
    <t>iShares安硕美元TIPS UCITS ET</t>
  </si>
  <si>
    <t>ISHARES USD TIPS</t>
  </si>
  <si>
    <t>481340 KS Equity</t>
  </si>
  <si>
    <t>KB RISE US Treasury Bond 30Y</t>
  </si>
  <si>
    <t>KB RISE US TR BO 30Y ACT ETF</t>
  </si>
  <si>
    <t>XUTL GR Equity</t>
  </si>
  <si>
    <t>Xtrackers II US Treasuries 1</t>
  </si>
  <si>
    <t>X US TREASURIES 10+ 1D</t>
  </si>
  <si>
    <t>453A JP Equity</t>
  </si>
  <si>
    <t>ISHARES 20+ Y US TB PRE INC</t>
  </si>
  <si>
    <t>381A JP Equity</t>
  </si>
  <si>
    <t>IFREEETF US TREA BD 3-5Y NON</t>
  </si>
  <si>
    <t>238A JP Equity</t>
  </si>
  <si>
    <t>iShares 25+ Year US Treasury</t>
  </si>
  <si>
    <t>ISHARES 25+ YEAR US TREASURY</t>
  </si>
  <si>
    <t>INGU GR Equity</t>
  </si>
  <si>
    <t>Amundi JP Morgan INR India G</t>
  </si>
  <si>
    <t>AMND JPM INR IND GVBD ETF C</t>
  </si>
  <si>
    <t>IBTS LN Equity</t>
  </si>
  <si>
    <t>iShares安硕美元国债1-3年期UC</t>
  </si>
  <si>
    <t>ISHARES USD TRSRY 1-3Y USD D</t>
  </si>
  <si>
    <t>VEMT LN Equity</t>
  </si>
  <si>
    <t>Vanguard USD Emerging Market</t>
  </si>
  <si>
    <t>VANG USDEMGVB USDD</t>
  </si>
  <si>
    <t>KSAB GR Equity</t>
  </si>
  <si>
    <t>SPDR JP Morgan Saudi Arabia</t>
  </si>
  <si>
    <t>SPDR JPM KSA AGG BOND ACC</t>
  </si>
  <si>
    <t>468A JP Equity</t>
  </si>
  <si>
    <t>GX USD IG BOND ETF JPY</t>
  </si>
  <si>
    <t>VUCP LN Equity</t>
  </si>
  <si>
    <t>Vanguard USD Corporate Bond</t>
  </si>
  <si>
    <t>VANG USDCPBD USDD</t>
  </si>
  <si>
    <t>EMIG GR Equity</t>
  </si>
  <si>
    <t>UBS J.P. Morgan USD EM IG Sc</t>
  </si>
  <si>
    <t>UBS ETF EMIG SCR H-CHF ACC</t>
  </si>
  <si>
    <t>GGFD AU Equity</t>
  </si>
  <si>
    <t>Betashares Geared Long US Tr</t>
  </si>
  <si>
    <t>BE GE LO US TR BO CU HE CO E</t>
  </si>
  <si>
    <t>INGB NA Equity</t>
  </si>
  <si>
    <t>iShares India INR Govt Bond</t>
  </si>
  <si>
    <t>ISHARES INDIA INR GOVT BOND</t>
  </si>
  <si>
    <t>SPP7 GR Equity</t>
  </si>
  <si>
    <t>SPDR Bloomberg 7-10 Year U.S</t>
  </si>
  <si>
    <t>SPDR BBG 7-10 US TREASURY</t>
  </si>
  <si>
    <t>ELFE GR Equity</t>
  </si>
  <si>
    <t>Deka US Treasury 7-10 UCITS</t>
  </si>
  <si>
    <t>DEKA US TREASURY 7-10 UCITS</t>
  </si>
  <si>
    <t>2647 JP Equity</t>
  </si>
  <si>
    <t>NF US TREASURY BD 7-10 UNHDG</t>
  </si>
  <si>
    <t>363570 KS Equity</t>
  </si>
  <si>
    <t>Samsung KODEX Active KAP Lon</t>
  </si>
  <si>
    <t>KODEX ATV KAP LT BND AA- ETF</t>
  </si>
  <si>
    <t>VUTY LN Equity</t>
  </si>
  <si>
    <t>Vanguard USD Treasury Bond U</t>
  </si>
  <si>
    <t>VANGU USDTRBD USDD</t>
  </si>
  <si>
    <t>XQUA GR Equity</t>
  </si>
  <si>
    <t>Xtrackers ESG USD Emerging M</t>
  </si>
  <si>
    <t>X ESG EM BD QLTY WGHT 1D</t>
  </si>
  <si>
    <t>PFIX US Equity</t>
  </si>
  <si>
    <t>Simplify Interest Rate Hedge</t>
  </si>
  <si>
    <t>SIMPLIFY INTEREST RATE HEDGE</t>
  </si>
  <si>
    <t>1486 JP Equity</t>
  </si>
  <si>
    <t>Listed Index Fund US Bond No</t>
  </si>
  <si>
    <t>LISTED INDEX FUND US BOND NO</t>
  </si>
  <si>
    <t>HUST LN Equity</t>
  </si>
  <si>
    <t>HSBC ICAV US TREAS BOND ETF</t>
  </si>
  <si>
    <t>TIGR LN Equity</t>
  </si>
  <si>
    <t>L&amp;G India INR Government Bon</t>
  </si>
  <si>
    <t>L&amp;G INDIA INR GOV BOND UCITS</t>
  </si>
  <si>
    <t>2015 JP Equity</t>
  </si>
  <si>
    <t>IFREEETF US TRE BD 7-10 Y NH</t>
  </si>
  <si>
    <t>167860 KS Equity</t>
  </si>
  <si>
    <t>Kiwoom KOSEF 10Y KTB Leverag</t>
  </si>
  <si>
    <t>KW KOSEF 10Y KTB LEVG ETF</t>
  </si>
  <si>
    <t>182A JP Equity</t>
  </si>
  <si>
    <t>MAXIS US TREA BD 20+ UN</t>
  </si>
  <si>
    <t>180A JP Equity</t>
  </si>
  <si>
    <t>Global X 25+ Year T-Bond ETF</t>
  </si>
  <si>
    <t>GLOBAL X 25+ YEAR T-BOND ETF</t>
  </si>
  <si>
    <t>1656 JP Equity</t>
  </si>
  <si>
    <t>ISHARES CORE 7-10YR US TRSRY</t>
  </si>
  <si>
    <t>XU10 GR Equity</t>
  </si>
  <si>
    <t>Xtrackers II US Treasuries 7</t>
  </si>
  <si>
    <t>X US TREASURIES 7-10 1D</t>
  </si>
  <si>
    <t>2838 JP Equity</t>
  </si>
  <si>
    <t>MAXIS US TREASURY BD7-10 UNH</t>
  </si>
  <si>
    <t>452250 KS Equity</t>
  </si>
  <si>
    <t>KIM ACE U.S. Ultra T-Bond Fu</t>
  </si>
  <si>
    <t>KIM ACE US BND FUT LEV ETF H</t>
  </si>
  <si>
    <t>GIGU GR Equity</t>
  </si>
  <si>
    <t>Goldman Sachs USD Investment</t>
  </si>
  <si>
    <t>GOLDMAN USD IG ACTIVE ETF</t>
  </si>
  <si>
    <t>IBTM LN Equity</t>
  </si>
  <si>
    <t>iShares安硕美元国债7-10年期U</t>
  </si>
  <si>
    <t>ISHARES USD TREASURY 7-10Y</t>
  </si>
  <si>
    <t>2255 JP Equity</t>
  </si>
  <si>
    <t>ISHARES 20+ US TREASURY ETF</t>
  </si>
  <si>
    <t>436140 KS Equity</t>
  </si>
  <si>
    <t>Shinhan SOL K-Total Bond Act</t>
  </si>
  <si>
    <t>SH SOL K-TOTAL BND ACT AA HG</t>
  </si>
  <si>
    <t>U71G LN Equity</t>
  </si>
  <si>
    <t>Amundi US Treasury Bond 7-10</t>
  </si>
  <si>
    <t>AMUNDI US TREASURY BOND 7-10</t>
  </si>
  <si>
    <t>XJSE GR Equity</t>
  </si>
  <si>
    <t>Xtrackers II日本国债UCITS ET</t>
  </si>
  <si>
    <t>X JAPAN GOVERNMENT BOND 1C</t>
  </si>
  <si>
    <t>KSMF106 IT Equity</t>
  </si>
  <si>
    <t>KSM ETF 0D iBoxx US Liquid I</t>
  </si>
  <si>
    <t>KSM ETF IBOXIG30</t>
  </si>
  <si>
    <t>KSMF177 IT Equity</t>
  </si>
  <si>
    <t>KSM ETF 0D S&amp;P US Treasury B</t>
  </si>
  <si>
    <t>KSM ETF S&amp;P US TR BND 3-5Y</t>
  </si>
  <si>
    <t>MTFF109 IT Equity</t>
  </si>
  <si>
    <t>MTF Sal 0D iBoxx US Liquid I</t>
  </si>
  <si>
    <t>MTF SAL IBOXX US LQINVGRT30</t>
  </si>
  <si>
    <t>KSMF176 IT Equity</t>
  </si>
  <si>
    <t>KSM ETF S&amp;P US TR BND 1-3Y</t>
  </si>
  <si>
    <t>PSGF62 IT Equity</t>
  </si>
  <si>
    <t>IBI SAL 0D iBoxx US Liquid I</t>
  </si>
  <si>
    <t>IB SA 0D IBO US LI IN GR T30</t>
  </si>
  <si>
    <t>SKUK AU Equity</t>
  </si>
  <si>
    <t>Hejaz Sukuk Active ETF Manag</t>
  </si>
  <si>
    <t>HEJAZ SUKUK ACTIVE ETF</t>
  </si>
  <si>
    <t>HRLF231 IT Equity</t>
  </si>
  <si>
    <t>Harel Sal 0D S&amp;P US Treasury</t>
  </si>
  <si>
    <t>HAREL SAL S&amp;P US T B5-7Y</t>
  </si>
  <si>
    <t>385540 KS Equity</t>
  </si>
  <si>
    <t>KB KBSTAR Active Korea Total</t>
  </si>
  <si>
    <t>KBSTAR ACT KOR TTL BD A- ETF</t>
  </si>
  <si>
    <t>MTFF125 IT Equity</t>
  </si>
  <si>
    <t>MTF Sal 0D Index US Gov 10Y</t>
  </si>
  <si>
    <t>MTF SAL ILINDX141014</t>
  </si>
  <si>
    <t>457700 KS Equity</t>
  </si>
  <si>
    <t>SAMSUNG KODEX 53-09 Treasury</t>
  </si>
  <si>
    <t>SS KODEX 53-09 TR BND AC ETF</t>
  </si>
  <si>
    <t>MBSX US Equity</t>
  </si>
  <si>
    <t>Regan Fixed Rate MBS ETF</t>
  </si>
  <si>
    <t>REGAN FIXED RATE MBS ETF</t>
  </si>
  <si>
    <t>237A JP Equity</t>
  </si>
  <si>
    <t>C47B GR Equity</t>
  </si>
  <si>
    <t>KRC Cat Bond UCITS ETF</t>
  </si>
  <si>
    <t>KRC CAT BOND UCITS ETF</t>
  </si>
  <si>
    <t>KSMF178 IT Equity</t>
  </si>
  <si>
    <t>KSM ETF S&amp;P US TR BND 7-10Y</t>
  </si>
  <si>
    <t>471460 KS Equity</t>
  </si>
  <si>
    <t>Kiwoom KIWOOM 30-Year Treasu</t>
  </si>
  <si>
    <t>KIWOOM KIWOOM 30-YEAR TREASU</t>
  </si>
  <si>
    <t>439870 KS Equity</t>
  </si>
  <si>
    <t>Samsung KODEX 30-Years Treas</t>
  </si>
  <si>
    <t>SS KODEX 30Y TRSY BD ACT ETF</t>
  </si>
  <si>
    <t>INCM CN Equity</t>
  </si>
  <si>
    <t>Accelerate Diversified Credi</t>
  </si>
  <si>
    <t>ACCELERATE DIV CREDIT INC</t>
  </si>
  <si>
    <t>451600 KS Equity</t>
  </si>
  <si>
    <t>Hanwha PLUS 30-Year Korea Tr</t>
  </si>
  <si>
    <t>HANWHA PLUS 30-YEAR KOREA TR</t>
  </si>
  <si>
    <t>0040Y0 KS Equity</t>
  </si>
  <si>
    <t>Shinhan SOL Palantir Covered</t>
  </si>
  <si>
    <t>SHINHAN SOL PALANTIR COVERED</t>
  </si>
  <si>
    <t>KSMF164 IT Equity</t>
  </si>
  <si>
    <t>KSM ETF 0D iBoxx $ Corps Liq</t>
  </si>
  <si>
    <t>KSM ETF IBOXPHA1</t>
  </si>
  <si>
    <t>FNBWGB SJ Equity</t>
  </si>
  <si>
    <t>FNB World Government Bond ET</t>
  </si>
  <si>
    <t>FNB WORLD GOVERNMENT BOND ET</t>
  </si>
  <si>
    <t>474390 KS Equity</t>
  </si>
  <si>
    <t>SHN SOL KR TRSRY BD 30Y ACT</t>
  </si>
  <si>
    <t>STXGBD SJ Equity</t>
  </si>
  <si>
    <t>Satrix Global Aggregate Bond</t>
  </si>
  <si>
    <t>SAT GBL AGG BOND FEED PORT</t>
  </si>
  <si>
    <t>BNDX11 BZ Equity</t>
  </si>
  <si>
    <t>Invsto Blombrg Glb Bnd Etf F</t>
  </si>
  <si>
    <t>INVST BLOOMBRG GLB BOND ETF</t>
  </si>
  <si>
    <t>TLTU CN Equity</t>
  </si>
  <si>
    <t>Megalong 3X 20 + Year US Tre</t>
  </si>
  <si>
    <t>MEGALONG 3X 20+ YR UST DLA</t>
  </si>
  <si>
    <t>ETFGGB SJ Equity</t>
  </si>
  <si>
    <t>1nvest Global Government Bon</t>
  </si>
  <si>
    <t>1NVEST GLB GOV BD FEEDER ETF</t>
  </si>
  <si>
    <t>PREGIP SJ Equity</t>
  </si>
  <si>
    <t>Prescient Global Income Prov</t>
  </si>
  <si>
    <t>PRESCIENT GLO INC AMETF -  A</t>
  </si>
  <si>
    <t>ETFUSD SJ Equity</t>
  </si>
  <si>
    <t>1nvest ICE US Treasury Short</t>
  </si>
  <si>
    <t>1NVEST ICE US TSB IF ETF</t>
  </si>
  <si>
    <t>USDB11 BZ Equity</t>
  </si>
  <si>
    <t>Investo Bloomberg Us Bond</t>
  </si>
  <si>
    <t>INVESTO BLOOMBERG US BOND</t>
  </si>
  <si>
    <t>CFIGC CI Equity</t>
  </si>
  <si>
    <t>FONDO DE INVERSION SINGULAR</t>
  </si>
  <si>
    <t>SINGULAR GLOBAL CORPORATESI</t>
  </si>
  <si>
    <t>TBIL AU Equity</t>
  </si>
  <si>
    <t>Vaneck 1-3 Month US Treasury</t>
  </si>
  <si>
    <t>VANECK 1-3M UST BOND ETF</t>
  </si>
  <si>
    <t>385560 KS Equity</t>
  </si>
  <si>
    <t>KB RISE 30-Years Treasury Bo</t>
  </si>
  <si>
    <t>KB RISE 30-Y TRSY BD EHD ETF</t>
  </si>
  <si>
    <t>XIGB GR Equity</t>
  </si>
  <si>
    <t>Xtrackers India Government B</t>
  </si>
  <si>
    <t>X INDIA GOV BOND 1C</t>
  </si>
  <si>
    <t>0040X0 KS Equity</t>
  </si>
  <si>
    <t>Shinhan SOL Palantir U.S. Tr</t>
  </si>
  <si>
    <t>SHINHAN SOL PALANTIR U.S. TR</t>
  </si>
  <si>
    <t>FIXX11 BZ Equity</t>
  </si>
  <si>
    <t>Buena Vista NEOS Enhanced In</t>
  </si>
  <si>
    <t>BUENA VISTA NEOS ENH INC 1-3</t>
  </si>
  <si>
    <t>451530 KS Equity</t>
  </si>
  <si>
    <t>Mirae Asset TIGER Treasury 3</t>
  </si>
  <si>
    <t>MA TIGER TRSRY 30YR BD ACTV</t>
  </si>
  <si>
    <t>USTP GR Equity</t>
  </si>
  <si>
    <t>Ossiam US Steepener UCITS ET</t>
  </si>
  <si>
    <t>OSSIAM US STEEPENER USD</t>
  </si>
  <si>
    <t>451670 KS Equity</t>
  </si>
  <si>
    <t>KB KBSTAR KTB 30Y Leverage S</t>
  </si>
  <si>
    <t>KBSTAR KTB 30Y LEVERAGE SETF</t>
  </si>
  <si>
    <t>MTBA CN Equity</t>
  </si>
  <si>
    <t>Mackenzie Target 2027 North</t>
  </si>
  <si>
    <t>MACKENZIE TRGT 27 NAM IGCORP</t>
  </si>
  <si>
    <t>MTBB CN Equity</t>
  </si>
  <si>
    <t>Mackenzie Target 2029 North</t>
  </si>
  <si>
    <t>MACKENZIE TRGT 29 NA IG CORP</t>
  </si>
  <si>
    <t>NTGD CN Equity</t>
  </si>
  <si>
    <t>NBI Target 2029 Investment G</t>
  </si>
  <si>
    <t>NBI TAR29 GRADE BOND FUND</t>
  </si>
  <si>
    <t>YEICB IM Equity</t>
  </si>
  <si>
    <t>YIS MSCI EUR IG ESG Select C</t>
  </si>
  <si>
    <t>YIS MSCI IG ESG CB/ETF</t>
  </si>
  <si>
    <t>XFLN GR Equity</t>
  </si>
  <si>
    <t>Xtrackers Floating Rate Note</t>
  </si>
  <si>
    <t>XTRCKR FLTNG RT NTS ACTV ETF</t>
  </si>
  <si>
    <t>BKFI US Equity</t>
  </si>
  <si>
    <t>BNY Mellon Active Core Bond</t>
  </si>
  <si>
    <t>BNY MELLON ACTV CORE BND ETF</t>
  </si>
  <si>
    <t>BKMI US Equity</t>
  </si>
  <si>
    <t>BNY Mellon Municipal Interme</t>
  </si>
  <si>
    <t>BNY MELLON MUNI INT ETF</t>
  </si>
  <si>
    <t>BMOP US Equity</t>
  </si>
  <si>
    <t>BNY Mellon Municipal Opportu</t>
  </si>
  <si>
    <t>BNY MELN MUNIPL OPP ETF</t>
  </si>
  <si>
    <t>BCPL US Equity</t>
  </si>
  <si>
    <t>BNY Mellon Core Plus ETF</t>
  </si>
  <si>
    <t>BNY MELLON CORE PLUS ETF</t>
  </si>
  <si>
    <t>BKMS US Equity</t>
  </si>
  <si>
    <t>BNY Mellon Municipal Short D</t>
  </si>
  <si>
    <t>BNY MELLON MUNI SHORT ETF</t>
  </si>
  <si>
    <t>494A JP Equity</t>
  </si>
  <si>
    <t>One ETF Japanese Government</t>
  </si>
  <si>
    <t>ONE ETF JP GOV BD 3-7 Y</t>
  </si>
  <si>
    <t>492A JP Equity</t>
  </si>
  <si>
    <t>ONE ETF JP GOV BD HIGH COU</t>
  </si>
  <si>
    <t>493A JP Equity</t>
  </si>
  <si>
    <t>ONE ETF JP GOV BD 1-3 Y</t>
  </si>
  <si>
    <t>496A JP Equity</t>
  </si>
  <si>
    <t>ONE ETF JP GOV BD 17-20Y</t>
  </si>
  <si>
    <t>495A JP Equity</t>
  </si>
  <si>
    <t>ONE ETF JP GOV BD 7-10Y</t>
  </si>
  <si>
    <t>TLTD CN Equity</t>
  </si>
  <si>
    <t>Megashort-3x 20 + Year US Tr</t>
  </si>
  <si>
    <t>MGSHRT -3X 20 US TSRY DL ALT</t>
  </si>
  <si>
    <t>ZCBC US Equity</t>
  </si>
  <si>
    <t>Global X Zero Coupon Bond 20</t>
  </si>
  <si>
    <t>GLBL X ZERO CPN BND 2032 ETF</t>
  </si>
  <si>
    <t>ZCBA US Equity</t>
  </si>
  <si>
    <t>GLBL X ZERO CPN BND 2030 ETF</t>
  </si>
  <si>
    <t>ZCBF US Equity</t>
  </si>
  <si>
    <t>GLBL X ZERO CPN BND 2034 ETF</t>
  </si>
  <si>
    <t>ZCBB US Equity</t>
  </si>
  <si>
    <t>GLBL X ZERO CPN BND 2031 ETF</t>
  </si>
  <si>
    <t>ZCBG US Equity</t>
  </si>
  <si>
    <t>GLBL X ZERO CPN BND 2035 ETF</t>
  </si>
  <si>
    <t>ZCBE US Equity</t>
  </si>
  <si>
    <t>GLBL X ZERO CPN BND 2033 ETF</t>
  </si>
  <si>
    <t>LTAX US Equity</t>
  </si>
  <si>
    <t>Nomura Tax-Free USA ETF</t>
  </si>
  <si>
    <t>NOMURA TAX-FREE USA ETF</t>
  </si>
  <si>
    <t>BAT1 IM Equity</t>
  </si>
  <si>
    <t>iShares AT1 Bond Active UCIT</t>
  </si>
  <si>
    <t>ISHRS AT1 BOND A UCITS ETF</t>
  </si>
  <si>
    <t>502A JP Equity</t>
  </si>
  <si>
    <t>Global X JPY Ultra Short-Ter</t>
  </si>
  <si>
    <t>GLBXJPY ULTRA SHORT-TERM BD</t>
  </si>
  <si>
    <t>ATE1 GR Equity</t>
  </si>
  <si>
    <t>Invesco EUR AT1 CoCo Bond UC</t>
  </si>
  <si>
    <t>IVZ EUR AT1 COCO BOND DIST</t>
  </si>
  <si>
    <t>LYUV/U CN Equity</t>
  </si>
  <si>
    <t>Lysander-Canso US Corporate</t>
  </si>
  <si>
    <t>LYSDR-CANSO US CORP VBF ETF</t>
  </si>
  <si>
    <t>RHYE GR Equity</t>
  </si>
  <si>
    <t>Robeco Europe Dynamic High Y</t>
  </si>
  <si>
    <t>ROBECO EU DYN HY EUR ACC</t>
  </si>
  <si>
    <t>3DCE GR Equity</t>
  </si>
  <si>
    <t>Robeco 3D EUR Enhanced Index</t>
  </si>
  <si>
    <t>ROBECO 3D EUR EN CR EUR ETF</t>
  </si>
  <si>
    <t>TLDR US Equity</t>
  </si>
  <si>
    <t>The Laddered T-Bill ETF</t>
  </si>
  <si>
    <t>THE LADDERED T-BILL ETF</t>
  </si>
  <si>
    <t>SECU US Equity</t>
  </si>
  <si>
    <t>iShares Securitized Income A</t>
  </si>
  <si>
    <t>ISHRS SECUR INCOM ACT ETF</t>
  </si>
  <si>
    <t>TEMD US Equity</t>
  </si>
  <si>
    <t>Templeton Emerging Markets D</t>
  </si>
  <si>
    <t>TMPL EMERG MRKT DEBT ETF</t>
  </si>
  <si>
    <t>MBBA US Equity</t>
  </si>
  <si>
    <t>iShares Mortgage-Backed Secu</t>
  </si>
  <si>
    <t>ISHR MTGE BACK SEC ACT</t>
  </si>
  <si>
    <t>FBIU GR Equity</t>
  </si>
  <si>
    <t>FIL USD CB RE ETF ACC</t>
  </si>
  <si>
    <t>FBIE GR Equity</t>
  </si>
  <si>
    <t>FIL EUR CB RE ETF ACC</t>
  </si>
  <si>
    <t>DATES</t>
  </si>
  <si>
    <t>US</t>
  </si>
  <si>
    <t>同比增长率(%)</t>
  </si>
  <si>
    <t>JP</t>
  </si>
  <si>
    <t>SG</t>
  </si>
  <si>
    <t>HK</t>
  </si>
  <si>
    <t xml:space="preserve">基金策略
</t>
  </si>
  <si>
    <t xml:space="preserve">资产类别型(按持有)
</t>
  </si>
  <si>
    <t xml:space="preserve">到期期限
</t>
  </si>
  <si>
    <t xml:space="preserve">母公司名称
</t>
  </si>
  <si>
    <t xml:space="preserve">基金前十位持有市值 %
</t>
  </si>
  <si>
    <r>
      <rPr>
        <b/>
        <sz val="11"/>
        <color rgb="FFFFFFFF"/>
        <rFont val="宋体"/>
        <charset val="134"/>
      </rPr>
      <t>基金经理公布费用</t>
    </r>
    <r>
      <rPr>
        <b/>
        <sz val="11"/>
        <color rgb="FFFFFFFF"/>
        <rFont val="Calibri"/>
        <charset val="134"/>
      </rPr>
      <t>%</t>
    </r>
  </si>
  <si>
    <t>可转换债券</t>
  </si>
  <si>
    <t>反向操作型</t>
  </si>
  <si>
    <t>N.A.</t>
  </si>
  <si>
    <t>Rex Shares/ETF Opportunities Trust</t>
  </si>
  <si>
    <t>Calamos ETF Trust</t>
  </si>
  <si>
    <t xml:space="preserve">计数项:基金策略
</t>
  </si>
  <si>
    <t>地方债</t>
  </si>
  <si>
    <t>First Trust Exchange-Traded Fund IV</t>
  </si>
  <si>
    <t>抵押担保</t>
  </si>
  <si>
    <t>合并</t>
  </si>
  <si>
    <t>增长</t>
  </si>
  <si>
    <t>Tidal Trust II</t>
  </si>
  <si>
    <t>公司债</t>
  </si>
  <si>
    <t>Tidal Trust I</t>
  </si>
  <si>
    <t>SPDR Series Trust</t>
  </si>
  <si>
    <t>中期</t>
  </si>
  <si>
    <t>iShares Trust</t>
  </si>
  <si>
    <t>通胀保本</t>
  </si>
  <si>
    <t>优先</t>
  </si>
  <si>
    <t>成长与收入型</t>
  </si>
  <si>
    <t>VanEck ETFs/USA</t>
  </si>
  <si>
    <t>银行贷款</t>
  </si>
  <si>
    <t>Global X ETFs/USA</t>
  </si>
  <si>
    <t>WisdomTree ETFs/USA</t>
  </si>
  <si>
    <t>政府</t>
  </si>
  <si>
    <t>合并后</t>
  </si>
  <si>
    <t>资产支持</t>
  </si>
  <si>
    <t>AB Active ETFs Inc</t>
  </si>
  <si>
    <t>母公司名称</t>
  </si>
  <si>
    <t>合并总资产</t>
  </si>
  <si>
    <t>Innovator ETF Trust</t>
  </si>
  <si>
    <t>Abacus FCF ETFs/USA</t>
  </si>
  <si>
    <t>iShares</t>
  </si>
  <si>
    <t>ETFis Series Trust I/Virtus ETF Advisers LLC</t>
  </si>
  <si>
    <t>Aberdeen Standard Investments ETFs</t>
  </si>
  <si>
    <t>Vanguard</t>
  </si>
  <si>
    <t>Cambria ETF Trust</t>
  </si>
  <si>
    <t>Advisor Managed Portfolios/Fund Parent</t>
  </si>
  <si>
    <t>State Street (SPDR/SSGA)</t>
  </si>
  <si>
    <t>Columbia ETFs/USA</t>
  </si>
  <si>
    <t>Advisors' Inner Circle Fund II/3EDGE Asset Management LP</t>
  </si>
  <si>
    <t>Jp Morgan</t>
  </si>
  <si>
    <t>Allspring Funds Management LLC</t>
  </si>
  <si>
    <t>Schwab Strategic</t>
  </si>
  <si>
    <t>Collaborative Investment Series Trust</t>
  </si>
  <si>
    <t>ALPS ETF Trust</t>
  </si>
  <si>
    <t>Invesco</t>
  </si>
  <si>
    <t>Pimco ETF Trust</t>
  </si>
  <si>
    <t>American Beacon Select Funds</t>
  </si>
  <si>
    <t>Pimco</t>
  </si>
  <si>
    <t>长期</t>
  </si>
  <si>
    <t>Direxion ETFs/USA</t>
  </si>
  <si>
    <t>American Century ETF Trust</t>
  </si>
  <si>
    <t>Janus Detroit Street</t>
  </si>
  <si>
    <t>Simplify Exchange Traded Funds</t>
  </si>
  <si>
    <t>Amg ETF Trust</t>
  </si>
  <si>
    <t>First Trust</t>
  </si>
  <si>
    <t>Amplify ETF Trust</t>
  </si>
  <si>
    <t>Fidelity Merrimack Street</t>
  </si>
  <si>
    <t xml:space="preserve">计数项:资产类别型(按持有)
</t>
  </si>
  <si>
    <t>RBB Fund Trust/The</t>
  </si>
  <si>
    <t>Angel Oak Funds Trust</t>
  </si>
  <si>
    <t>Capital Group Fixed Income</t>
  </si>
  <si>
    <t>Arrow Investments Trust</t>
  </si>
  <si>
    <t>Dimensional</t>
  </si>
  <si>
    <t>BlackRock ETF Trust</t>
  </si>
  <si>
    <t>Pgim</t>
  </si>
  <si>
    <t>Blackrock ETF Trust II</t>
  </si>
  <si>
    <t>Vaneck</t>
  </si>
  <si>
    <t>DWS Xtrackers ETFs/USA</t>
  </si>
  <si>
    <t>BNY Mellon ETF Trust</t>
  </si>
  <si>
    <t>BlackRock</t>
  </si>
  <si>
    <t>KraneShares Trust</t>
  </si>
  <si>
    <t>BNY Mellon ETF Trust II</t>
  </si>
  <si>
    <t>Wisdomtree</t>
  </si>
  <si>
    <t>Virtus ETF Trust II</t>
  </si>
  <si>
    <t>BondBloxx ETF Trust</t>
  </si>
  <si>
    <t>Franklin Templeton</t>
  </si>
  <si>
    <t>X-Square Series Trust</t>
  </si>
  <si>
    <t>Build Funds Trust</t>
  </si>
  <si>
    <t>Goldman Sachs</t>
  </si>
  <si>
    <t>Listed Funds Trust</t>
  </si>
  <si>
    <t>Morgan Stanley</t>
  </si>
  <si>
    <t>RBB</t>
  </si>
  <si>
    <t>Invesco Exchange-Traded Fund Trust</t>
  </si>
  <si>
    <t>Capital Group Fixed Income ETF Trust</t>
  </si>
  <si>
    <t>Ab Active</t>
  </si>
  <si>
    <t>ProShares Trust</t>
  </si>
  <si>
    <t>Carillon Series Trust</t>
  </si>
  <si>
    <t>BNY Mellon</t>
  </si>
  <si>
    <t xml:space="preserve">计数项:到期期限
</t>
  </si>
  <si>
    <t>Cohen &amp; Steers ETF Trust</t>
  </si>
  <si>
    <t>Bondbloxx</t>
  </si>
  <si>
    <t>Flexshares</t>
  </si>
  <si>
    <t>超短期</t>
  </si>
  <si>
    <t>Columbia ETF Trust I</t>
  </si>
  <si>
    <t>Dws Xtrackers</t>
  </si>
  <si>
    <t>短期</t>
  </si>
  <si>
    <t>Northern Lights Fund Trust IV/Kingsview Wealth Management LLC</t>
  </si>
  <si>
    <t>Victory Portfolios</t>
  </si>
  <si>
    <t>FlexShares ETFs/USA</t>
  </si>
  <si>
    <t>Dimensional ETF Trust</t>
  </si>
  <si>
    <t>Nushares</t>
  </si>
  <si>
    <t>Invesco Exchange-Traded Self-Indexed Fund Trust</t>
  </si>
  <si>
    <t>Global X</t>
  </si>
  <si>
    <t>Invesco Exchange-Traded Fund Trust II</t>
  </si>
  <si>
    <t>DoubleLine ETF Trust</t>
  </si>
  <si>
    <t>T Rowe Price Exchange-traded Funds</t>
  </si>
  <si>
    <t>EA Series Trust</t>
  </si>
  <si>
    <t>American Century</t>
  </si>
  <si>
    <t>ETF Opportunities Trust/IDX Advisors LLC</t>
  </si>
  <si>
    <t>Direxion</t>
  </si>
  <si>
    <t>ETF Opportunities Trust/Kingsbarn Capital Management</t>
  </si>
  <si>
    <t>Hartford Funds Exchange-traded</t>
  </si>
  <si>
    <t>ETF Series Solutions</t>
  </si>
  <si>
    <t>Tcw</t>
  </si>
  <si>
    <t>ETF Series Solutions/Advisors Asset Management Inc</t>
  </si>
  <si>
    <t>Alps</t>
  </si>
  <si>
    <t>John Hancock Exchange-Traded Fund Trust</t>
  </si>
  <si>
    <t>ETF Series Solutions/Aptus Capital Advisors LLC</t>
  </si>
  <si>
    <t>New York Life Investment Management</t>
  </si>
  <si>
    <t>Angel Oak Funds</t>
  </si>
  <si>
    <t>Exchange-Traded Concepts ETFs/USA</t>
  </si>
  <si>
    <t>Exchange Place Advisors Trust</t>
  </si>
  <si>
    <t>Principal Exchange-traded Funds</t>
  </si>
  <si>
    <t>Fidelity Covington Trust</t>
  </si>
  <si>
    <t>ETFis Series Trust I</t>
  </si>
  <si>
    <t>Federated Hermes ETFs/USA</t>
  </si>
  <si>
    <t>Doubleline</t>
  </si>
  <si>
    <t>Vanguard World Fund</t>
  </si>
  <si>
    <t>Tidal Trust</t>
  </si>
  <si>
    <t>Morgan Stanley Etf Trust</t>
  </si>
  <si>
    <t>Fidelity Merrimack Street Trust</t>
  </si>
  <si>
    <t>Northern Lights Fund Trust</t>
  </si>
  <si>
    <t>平均值项:基金前十位持有市值 %</t>
  </si>
  <si>
    <t>平均值项:基金经理公布费用%</t>
  </si>
  <si>
    <t>First Trust Exchange-Traded Fund III</t>
  </si>
  <si>
    <t>Northern Lights Fund Trust/Ocean Park Asset Management Inc</t>
  </si>
  <si>
    <t>Putnam</t>
  </si>
  <si>
    <t>Touchstone ETF Trust</t>
  </si>
  <si>
    <t>First Trust Exchange-Traded Fund VIII</t>
  </si>
  <si>
    <t>Columbia</t>
  </si>
  <si>
    <t>Nomura ETF Trust</t>
  </si>
  <si>
    <t>Neos</t>
  </si>
  <si>
    <t>Franklin ETF Trust</t>
  </si>
  <si>
    <t>Trust for Professional Managers</t>
  </si>
  <si>
    <t>Series Portfolio Trust/Infrastructure Capital Advisors LLC</t>
  </si>
  <si>
    <t>Franklin LibertyShares ETFs/USA</t>
  </si>
  <si>
    <t>Series Portfolio Trust</t>
  </si>
  <si>
    <t>TCW Etf Trust</t>
  </si>
  <si>
    <t>Franklin Templeton ETF Trust</t>
  </si>
  <si>
    <t>Proshares</t>
  </si>
  <si>
    <t>T Rowe Price Exchange-Traded Funds Inc</t>
  </si>
  <si>
    <t>Frontier ETFs/USA</t>
  </si>
  <si>
    <t>Neuberger Berman</t>
  </si>
  <si>
    <t>FundVantage Trust/Polen Capital Management LLC</t>
  </si>
  <si>
    <t>Powershares Actively Managed</t>
  </si>
  <si>
    <t>Gabelli ETFs Trust</t>
  </si>
  <si>
    <t>John Hancock</t>
  </si>
  <si>
    <t>State Street ETF/USA</t>
  </si>
  <si>
    <t>Virtus ETF Trust</t>
  </si>
  <si>
    <t>iShares Inc</t>
  </si>
  <si>
    <t>GMO ETF Trust</t>
  </si>
  <si>
    <t>Exchange-traded Concepts</t>
  </si>
  <si>
    <t>Goldman Sachs ETF Trust</t>
  </si>
  <si>
    <t>Allspring Funds Management</t>
  </si>
  <si>
    <t>Harbor ETF Trust</t>
  </si>
  <si>
    <t>Pacer</t>
  </si>
  <si>
    <t>Northern Funds</t>
  </si>
  <si>
    <t>Hartford Funds Exchange-Traded Trust</t>
  </si>
  <si>
    <t>Kraneshares</t>
  </si>
  <si>
    <t>Horizons ETF Trust/USA</t>
  </si>
  <si>
    <t>Touchstone</t>
  </si>
  <si>
    <t>Fidelity Covington</t>
  </si>
  <si>
    <t>Invesco Actively Managed Exchange-Traded Fund Trust</t>
  </si>
  <si>
    <t>Ea Series</t>
  </si>
  <si>
    <t>Invesco ETFs/USA</t>
  </si>
  <si>
    <t>Thrivent</t>
  </si>
  <si>
    <t>Federated Hermes</t>
  </si>
  <si>
    <t>Spinnaker ETF Trust</t>
  </si>
  <si>
    <t>Amplify</t>
  </si>
  <si>
    <t>Spend Life Wisely Funds Investment Tr</t>
  </si>
  <si>
    <t>Investment Managers Series Trust II</t>
  </si>
  <si>
    <t>Professionally Managed Portfolios</t>
  </si>
  <si>
    <t>Investment Managers Series Trust III</t>
  </si>
  <si>
    <t>Advisors' Inner Circle</t>
  </si>
  <si>
    <t>iShares ETFs/USA</t>
  </si>
  <si>
    <t>Two Roads Shared Trust</t>
  </si>
  <si>
    <t>Vanguard Municipal Bond Funds</t>
  </si>
  <si>
    <t>Harbor</t>
  </si>
  <si>
    <t>iShares US ETF Trust</t>
  </si>
  <si>
    <t>Mfs Active Exchange Traded Funds</t>
  </si>
  <si>
    <t>Janus Detroit Street Trust</t>
  </si>
  <si>
    <t>Horizons</t>
  </si>
  <si>
    <t>Unified Series</t>
  </si>
  <si>
    <t>Schwab Strategic Trust</t>
  </si>
  <si>
    <t>JP Morgan Exchange-Traded Fund Trust</t>
  </si>
  <si>
    <t>Palmer Square Funds</t>
  </si>
  <si>
    <t>Kensington Asset Management ETFs</t>
  </si>
  <si>
    <t>Cambria</t>
  </si>
  <si>
    <t>Trust For Professional Managers/Envestnet Asset Management Inc</t>
  </si>
  <si>
    <t>Listed Funds Trust/Reckoner Capital Management LLC</t>
  </si>
  <si>
    <t>Value Advisers</t>
  </si>
  <si>
    <t>Little Harbor Funds/USA</t>
  </si>
  <si>
    <t>Roundhill</t>
  </si>
  <si>
    <t>Madison Funds</t>
  </si>
  <si>
    <t>Collaborative Investment Series</t>
  </si>
  <si>
    <t>MAN ETF Series Trust</t>
  </si>
  <si>
    <t>Cohen &amp; Steers</t>
  </si>
  <si>
    <t>Manager Directed Portfolios</t>
  </si>
  <si>
    <t>MFS Active Exchange Traded Funds Trust</t>
  </si>
  <si>
    <t>Quaker Investment</t>
  </si>
  <si>
    <t>Innovator</t>
  </si>
  <si>
    <t>Neos ETF Trust</t>
  </si>
  <si>
    <t>Thornburg</t>
  </si>
  <si>
    <t>Vanguard Scottsdale Funds</t>
  </si>
  <si>
    <t>Neuberger Berman ETF Trust</t>
  </si>
  <si>
    <t>Stone Ridge</t>
  </si>
  <si>
    <t>New York Life Investment Management LLC</t>
  </si>
  <si>
    <t>Frontier</t>
  </si>
  <si>
    <t>New York Life Investments ETF Trust</t>
  </si>
  <si>
    <t>Kensington Asset Management</t>
  </si>
  <si>
    <t>Northern Lights Fund Trust II/Weitz Investment Management Inc</t>
  </si>
  <si>
    <t>ETF Opportunities Trust</t>
  </si>
  <si>
    <t>Exchange Place Advisors</t>
  </si>
  <si>
    <t>Calamos</t>
  </si>
  <si>
    <t>Northern Lights Fund Trust III/Counterpoint Mutual Funds LLC</t>
  </si>
  <si>
    <t>Arrow Investments</t>
  </si>
  <si>
    <t>Northern Lights Fund Trust IV/Brookstone Asset Management LLC</t>
  </si>
  <si>
    <t>Investment Managers Series Trust</t>
  </si>
  <si>
    <t>Northern Lights Fund Trust IV/CWM Advisors LLC</t>
  </si>
  <si>
    <t>Man ETF Series</t>
  </si>
  <si>
    <t>Nushares ETF Trust</t>
  </si>
  <si>
    <t>Nomura</t>
  </si>
  <si>
    <t>Northern Lights Fund Trust IV/Sterling Capital Management LLC</t>
  </si>
  <si>
    <t>Fundvantage</t>
  </si>
  <si>
    <t>Little Harbor Funds</t>
  </si>
  <si>
    <t>SSGA Active Trust</t>
  </si>
  <si>
    <t>Carillon Series</t>
  </si>
  <si>
    <t>Pacer ETFs/USA</t>
  </si>
  <si>
    <t>Strategy Shares</t>
  </si>
  <si>
    <t>Palmer Square Funds Trust</t>
  </si>
  <si>
    <t>PGIM ETF Trust</t>
  </si>
  <si>
    <t>Aberdeen Standard Investments</t>
  </si>
  <si>
    <t>Gmo</t>
  </si>
  <si>
    <t>Powershares Actively Managed Exchange-Traded Fund Trust</t>
  </si>
  <si>
    <t>Advisor Managed Portfolios</t>
  </si>
  <si>
    <t>Principal Exchange-Traded Funds</t>
  </si>
  <si>
    <t>Build Funds</t>
  </si>
  <si>
    <t>Professionally Managed Portfolios/Congress Asset Management Co LLP/ETFs</t>
  </si>
  <si>
    <t>Amg</t>
  </si>
  <si>
    <t>Putnam ETF Trust</t>
  </si>
  <si>
    <t>Gabelli</t>
  </si>
  <si>
    <t>Quaker Investment Trust/Community Capital Management LLC</t>
  </si>
  <si>
    <t>RBB ETFs/F/m Investments</t>
  </si>
  <si>
    <t>X-square Series</t>
  </si>
  <si>
    <t>RBB Fund Inc/Summit Global Investments LLC</t>
  </si>
  <si>
    <t>Wisdomtree Digital</t>
  </si>
  <si>
    <t>Abacus Fcf</t>
  </si>
  <si>
    <t>Vanguard Fixed Income Securities Fund Inc</t>
  </si>
  <si>
    <t>Roundhill ETF Trust</t>
  </si>
  <si>
    <t>Series Portfolio Trust/Eldridge Capital Management LLC</t>
  </si>
  <si>
    <t>Spend Life Wisely Funds Investment Tr/Wisdom Fixed Income Management LLC</t>
  </si>
  <si>
    <t>Spinnaker ETF Trust/Obra Fund Management LLC</t>
  </si>
  <si>
    <t>Stone Ridge Trust</t>
  </si>
  <si>
    <t>Strategy Shares Inc/Fund Parent</t>
  </si>
  <si>
    <t>Thornburg ETF Trust</t>
  </si>
  <si>
    <t>Thrivent ETF Trust</t>
  </si>
  <si>
    <t>Tidal Trust III</t>
  </si>
  <si>
    <t>Tidal Trust IV</t>
  </si>
  <si>
    <t>Trust for Professional Managers/Mairs &amp; Power Inc</t>
  </si>
  <si>
    <t>Trust for Professional Managers/USA</t>
  </si>
  <si>
    <t>Two Roads Shared Trust/Anfield Capital Management LLC</t>
  </si>
  <si>
    <t>Two Roads Shared Trust/Redwood Investment Management LLC</t>
  </si>
  <si>
    <t>Unified Series Trust/Oneascent Investment Solutions LLC</t>
  </si>
  <si>
    <t>Value Advisers Trust/Regan</t>
  </si>
  <si>
    <t>Vanguard California Tax-Free Funds</t>
  </si>
  <si>
    <t>Vanguard Charlotte Funds</t>
  </si>
  <si>
    <t>Vanguard Bond Index Funds</t>
  </si>
  <si>
    <t>Vanguard Institutional Index Funds</t>
  </si>
  <si>
    <t>Vanguard Malvern Funds</t>
  </si>
  <si>
    <t>Vanguard New York Tax-Free Funds</t>
  </si>
  <si>
    <t>Vanguard Quantitative Funds</t>
  </si>
  <si>
    <t>Vanguard Wellington Fund/Fund Parent</t>
  </si>
  <si>
    <t>Vanguard Whitehall Funds</t>
  </si>
  <si>
    <t>Victory Portfolios II</t>
  </si>
  <si>
    <t>WisdomTree Digital Trust</t>
  </si>
  <si>
    <t>(空白)</t>
  </si>
  <si>
    <t>F/M US TREASURY 3 MONTH BILL</t>
  </si>
  <si>
    <t>Global X Japan Co Ltd</t>
  </si>
  <si>
    <t>Amova Asset Management Co Ltd</t>
  </si>
  <si>
    <t>Nomura Asset Management Co Ltd</t>
  </si>
  <si>
    <t>总资产</t>
  </si>
  <si>
    <t>iShares ETFs/Japan</t>
  </si>
  <si>
    <t>Daiwa Asset Management Co Ltd</t>
  </si>
  <si>
    <t>Mitsubishi UFJ Asset Management Co Ltd</t>
  </si>
  <si>
    <t>Norinchukin Zenkyoren Asset Management Co Ltd/Japan</t>
  </si>
  <si>
    <t>BlackRock Japan Co Ltd</t>
  </si>
  <si>
    <t>GLOBAL X USD IG BOND ETF</t>
  </si>
  <si>
    <t>iShares ETFs/Singapore</t>
  </si>
  <si>
    <t>Amova Asset Management Asia Ltd</t>
  </si>
  <si>
    <t>State Street ETFs/Singapore</t>
  </si>
  <si>
    <t>CSOP Asset Management Pvt Ltd/Singapore</t>
  </si>
  <si>
    <t>Lion Global Investors Ltd</t>
  </si>
  <si>
    <t>资产类别</t>
  </si>
  <si>
    <t>Mirae Asset Global Investments Hong Kong Ltd/HK</t>
  </si>
  <si>
    <t>Premia Partners Co Ltd/Hong Kong</t>
  </si>
  <si>
    <t>iShares ETFs/Hong Kong</t>
  </si>
  <si>
    <t>CSOP Asset Management Ltd/Hong Kong</t>
  </si>
  <si>
    <t>HSBC Investment Funds Ltd/Hong Kong</t>
  </si>
  <si>
    <t>Hang Seng Investment Management Ltd</t>
  </si>
  <si>
    <t>China Asset Management Hong Kong Ltd</t>
  </si>
  <si>
    <t>Bosera Asset Management International Co Ltd/Hong Kong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</si>
</sst>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0.00_);[Red]\(0.00\)"/>
  </numFmts>
  <fonts count="28">
    <font>
      <sz val="11"/>
      <color theme="1"/>
      <name val="宋体"/>
      <charset val="134"/>
      <scheme val="minor"/>
    </font>
    <font>
      <b/>
      <sz val="11"/>
      <color indexed="9"/>
      <name val="Calibri"/>
      <charset val="134"/>
    </font>
    <font>
      <b/>
      <sz val="11"/>
      <color rgb="FFFFFFFF"/>
      <name val="宋体"/>
      <charset val="134"/>
    </font>
    <font>
      <b/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indexed="8"/>
      <name val="宋体"/>
      <charset val="134"/>
    </font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Calibri"/>
      <charset val="134"/>
    </font>
  </fonts>
  <fills count="36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theme="4" tint="0.799920651875362"/>
        <bgColor theme="4" tint="0.799920651875362"/>
      </patternFill>
    </fill>
    <fill>
      <patternFill patternType="solid">
        <fgColor theme="4" tint="0.799951170384838"/>
        <bgColor theme="4" tint="0.79995117038483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theme="4" tint="0.399914548173467"/>
      </bottom>
      <diagonal/>
    </border>
    <border>
      <left/>
      <right/>
      <top style="thin">
        <color theme="4" tint="0.399914548173467"/>
      </top>
      <bottom/>
      <diagonal/>
    </border>
    <border>
      <left/>
      <right/>
      <top style="thin">
        <color theme="4" tint="0.399945066682943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7" borderId="8" applyNumberFormat="0" applyAlignment="0" applyProtection="0">
      <alignment vertical="center"/>
    </xf>
    <xf numFmtId="0" fontId="19" fillId="8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1" fillId="2" borderId="0"/>
  </cellStyleXfs>
  <cellXfs count="28">
    <xf numFmtId="0" fontId="0" fillId="0" borderId="0" xfId="0"/>
    <xf numFmtId="0" fontId="1" fillId="2" borderId="0" xfId="49"/>
    <xf numFmtId="0" fontId="2" fillId="2" borderId="0" xfId="49" applyFont="1" applyAlignment="1">
      <alignment wrapText="1"/>
    </xf>
    <xf numFmtId="0" fontId="3" fillId="3" borderId="1" xfId="0" applyFont="1" applyFill="1" applyBorder="1"/>
    <xf numFmtId="0" fontId="3" fillId="3" borderId="0" xfId="0" applyFont="1" applyFill="1" applyBorder="1"/>
    <xf numFmtId="0" fontId="0" fillId="0" borderId="0" xfId="0" applyFont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0" fontId="3" fillId="3" borderId="2" xfId="0" applyNumberFormat="1" applyFont="1" applyFill="1" applyBorder="1"/>
    <xf numFmtId="0" fontId="3" fillId="3" borderId="0" xfId="0" applyNumberFormat="1" applyFont="1" applyFill="1" applyBorder="1"/>
    <xf numFmtId="0" fontId="3" fillId="4" borderId="3" xfId="0" applyFont="1" applyFill="1" applyBorder="1" applyAlignment="1">
      <alignment horizontal="left"/>
    </xf>
    <xf numFmtId="0" fontId="3" fillId="4" borderId="3" xfId="0" applyNumberFormat="1" applyFont="1" applyFill="1" applyBorder="1"/>
    <xf numFmtId="9" fontId="0" fillId="0" borderId="0" xfId="0" applyNumberFormat="1"/>
    <xf numFmtId="0" fontId="0" fillId="0" borderId="0" xfId="0" applyNumberFormat="1" applyFont="1" applyFill="1" applyBorder="1" applyAlignment="1" applyProtection="1"/>
    <xf numFmtId="0" fontId="4" fillId="0" borderId="4" xfId="0" applyNumberFormat="1" applyFont="1" applyFill="1" applyBorder="1" applyAlignment="1" applyProtection="1">
      <alignment horizontal="center" vertical="top"/>
    </xf>
    <xf numFmtId="0" fontId="5" fillId="0" borderId="0" xfId="0" applyNumberFormat="1" applyFont="1" applyFill="1" applyBorder="1" applyAlignment="1" applyProtection="1"/>
    <xf numFmtId="49" fontId="0" fillId="0" borderId="0" xfId="0" applyNumberFormat="1"/>
    <xf numFmtId="49" fontId="0" fillId="0" borderId="0" xfId="0" applyNumberFormat="1" applyFont="1"/>
    <xf numFmtId="49" fontId="6" fillId="0" borderId="0" xfId="0" applyNumberFormat="1" applyFont="1"/>
    <xf numFmtId="176" fontId="0" fillId="0" borderId="0" xfId="0" applyNumberFormat="1"/>
    <xf numFmtId="177" fontId="0" fillId="0" borderId="0" xfId="0" applyNumberFormat="1"/>
    <xf numFmtId="0" fontId="7" fillId="0" borderId="0" xfId="0" applyNumberFormat="1" applyFont="1" applyFill="1" applyBorder="1" applyAlignment="1" applyProtection="1"/>
    <xf numFmtId="0" fontId="1" fillId="2" borderId="0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0" fontId="7" fillId="0" borderId="0" xfId="0" applyNumberFormat="1" applyFont="1" applyFill="1" applyBorder="1" applyAlignment="1" applyProtection="1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blp_column_header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3.xml"/><Relationship Id="rId8" Type="http://schemas.openxmlformats.org/officeDocument/2006/relationships/pivotCacheDefinition" Target="pivotCache/pivotCacheDefinition2.xml"/><Relationship Id="rId7" Type="http://schemas.openxmlformats.org/officeDocument/2006/relationships/pivotCacheDefinition" Target="pivotCache/pivotCacheDefinition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8" Type="http://schemas.openxmlformats.org/officeDocument/2006/relationships/styles" Target="styles.xml"/><Relationship Id="rId27" Type="http://schemas.openxmlformats.org/officeDocument/2006/relationships/sharedStrings" Target="sharedStrings.xml"/><Relationship Id="rId26" Type="http://schemas.openxmlformats.org/officeDocument/2006/relationships/theme" Target="theme/theme1.xml"/><Relationship Id="rId25" Type="http://schemas.openxmlformats.org/officeDocument/2006/relationships/pivotCacheDefinition" Target="pivotCache/pivotCacheDefinition19.xml"/><Relationship Id="rId24" Type="http://schemas.openxmlformats.org/officeDocument/2006/relationships/pivotCacheDefinition" Target="pivotCache/pivotCacheDefinition18.xml"/><Relationship Id="rId23" Type="http://schemas.openxmlformats.org/officeDocument/2006/relationships/pivotCacheDefinition" Target="pivotCache/pivotCacheDefinition17.xml"/><Relationship Id="rId22" Type="http://schemas.openxmlformats.org/officeDocument/2006/relationships/pivotCacheDefinition" Target="pivotCache/pivotCacheDefinition16.xml"/><Relationship Id="rId21" Type="http://schemas.openxmlformats.org/officeDocument/2006/relationships/pivotCacheDefinition" Target="pivotCache/pivotCacheDefinition15.xml"/><Relationship Id="rId20" Type="http://schemas.openxmlformats.org/officeDocument/2006/relationships/pivotCacheDefinition" Target="pivotCache/pivotCacheDefinition14.xml"/><Relationship Id="rId2" Type="http://schemas.openxmlformats.org/officeDocument/2006/relationships/worksheet" Target="worksheets/sheet2.xml"/><Relationship Id="rId19" Type="http://schemas.openxmlformats.org/officeDocument/2006/relationships/pivotCacheDefinition" Target="pivotCache/pivotCacheDefinition13.xml"/><Relationship Id="rId18" Type="http://schemas.openxmlformats.org/officeDocument/2006/relationships/pivotCacheDefinition" Target="pivotCache/pivotCacheDefinition12.xml"/><Relationship Id="rId17" Type="http://schemas.openxmlformats.org/officeDocument/2006/relationships/pivotCacheDefinition" Target="pivotCache/pivotCacheDefinition11.xml"/><Relationship Id="rId16" Type="http://schemas.openxmlformats.org/officeDocument/2006/relationships/pivotCacheDefinition" Target="pivotCache/pivotCacheDefinition10.xml"/><Relationship Id="rId15" Type="http://schemas.openxmlformats.org/officeDocument/2006/relationships/pivotCacheDefinition" Target="pivotCache/pivotCacheDefinition9.xml"/><Relationship Id="rId14" Type="http://schemas.openxmlformats.org/officeDocument/2006/relationships/pivotCacheDefinition" Target="pivotCache/pivotCacheDefinition8.xml"/><Relationship Id="rId13" Type="http://schemas.openxmlformats.org/officeDocument/2006/relationships/pivotCacheDefinition" Target="pivotCache/pivotCacheDefinition7.xml"/><Relationship Id="rId12" Type="http://schemas.openxmlformats.org/officeDocument/2006/relationships/pivotCacheDefinition" Target="pivotCache/pivotCacheDefinition6.xml"/><Relationship Id="rId11" Type="http://schemas.openxmlformats.org/officeDocument/2006/relationships/pivotCacheDefinition" Target="pivotCache/pivotCacheDefinition5.xml"/><Relationship Id="rId10" Type="http://schemas.openxmlformats.org/officeDocument/2006/relationships/pivotCacheDefinition" Target="pivotCache/pivotCacheDefinition4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全球债券</a:t>
            </a:r>
            <a:r>
              <a:rPr lang="en-US" altLang="zh-CN"/>
              <a:t>ETF</a:t>
            </a:r>
            <a:r>
              <a:rPr lang="zh-CN" altLang="en-US"/>
              <a:t>资产规模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全球债券ETF资产规模!$L$3</c:f>
              <c:strCache>
                <c:ptCount val="1"/>
                <c:pt idx="0">
                  <c:v>占比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全球债券ETF资产规模!$J$4:$J$9</c:f>
              <c:strCache>
                <c:ptCount val="6"/>
                <c:pt idx="0">
                  <c:v>美国</c:v>
                </c:pt>
                <c:pt idx="1">
                  <c:v>爱尔兰</c:v>
                </c:pt>
                <c:pt idx="2">
                  <c:v>卢森堡</c:v>
                </c:pt>
                <c:pt idx="3">
                  <c:v>加拿大</c:v>
                </c:pt>
                <c:pt idx="4">
                  <c:v>Taiwan (China)</c:v>
                </c:pt>
                <c:pt idx="5">
                  <c:v>Others</c:v>
                </c:pt>
              </c:strCache>
            </c:strRef>
          </c:cat>
          <c:val>
            <c:numRef>
              <c:f>全球债券ETF资产规模!$L$4:$L$9</c:f>
              <c:numCache>
                <c:formatCode>0.00%</c:formatCode>
                <c:ptCount val="6"/>
                <c:pt idx="0">
                  <c:v>0.680109145331861</c:v>
                </c:pt>
                <c:pt idx="1">
                  <c:v>0.142315561593318</c:v>
                </c:pt>
                <c:pt idx="2">
                  <c:v>0.0484841529774134</c:v>
                </c:pt>
                <c:pt idx="3">
                  <c:v>0.0423587841263355</c:v>
                </c:pt>
                <c:pt idx="4">
                  <c:v>0.028707382302804</c:v>
                </c:pt>
                <c:pt idx="5">
                  <c:v>0.0580249736682677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1b62f94-8944-4ca7-a6fb-025177a20fe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lang="zh-C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楷体" panose="02010609060101010101" pitchFamily="49" charset="-122"/>
                <a:ea typeface="楷体" panose="02010609060101010101" pitchFamily="49" charset="-122"/>
              </a:rPr>
              <a:t>美国债券</a:t>
            </a:r>
            <a:r>
              <a:rPr lang="en-US" altLang="zh-C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楷体" panose="02010609060101010101" pitchFamily="49" charset="-122"/>
                <a:ea typeface="楷体" panose="02010609060101010101" pitchFamily="49" charset="-122"/>
              </a:rPr>
              <a:t>ETF</a:t>
            </a:r>
            <a:r>
              <a:rPr lang="zh-CN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楷体" panose="02010609060101010101" pitchFamily="49" charset="-122"/>
                <a:ea typeface="楷体" panose="02010609060101010101" pitchFamily="49" charset="-122"/>
              </a:rPr>
              <a:t>历年总量</a:t>
            </a:r>
            <a:endParaRPr lang="zh-CN" alt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楷体" panose="02010609060101010101" pitchFamily="49" charset="-122"/>
              <a:ea typeface="楷体" panose="02010609060101010101" pitchFamily="49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美日新港债券ETF资产规模!$B$1</c:f>
              <c:strCache>
                <c:ptCount val="1"/>
                <c:pt idx="0">
                  <c:v>US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美日新港债券ETF资产规模!$A$2:$A$27</c:f>
              <c:numCache>
                <c:formatCode>yyyy/m/d;@</c:formatCode>
                <c:ptCount val="26"/>
                <c:pt idx="0" c:formatCode="yyyy/m/d;@">
                  <c:v>36891</c:v>
                </c:pt>
                <c:pt idx="1" c:formatCode="yyyy/m/d;@">
                  <c:v>37256</c:v>
                </c:pt>
                <c:pt idx="2" c:formatCode="yyyy/m/d;@">
                  <c:v>37621</c:v>
                </c:pt>
                <c:pt idx="3" c:formatCode="yyyy/m/d;@">
                  <c:v>37986</c:v>
                </c:pt>
                <c:pt idx="4" c:formatCode="yyyy/m/d;@">
                  <c:v>38352</c:v>
                </c:pt>
                <c:pt idx="5" c:formatCode="yyyy/m/d;@">
                  <c:v>38717</c:v>
                </c:pt>
                <c:pt idx="6" c:formatCode="yyyy/m/d;@">
                  <c:v>39082</c:v>
                </c:pt>
                <c:pt idx="7" c:formatCode="yyyy/m/d;@">
                  <c:v>39447</c:v>
                </c:pt>
                <c:pt idx="8" c:formatCode="yyyy/m/d;@">
                  <c:v>39813</c:v>
                </c:pt>
                <c:pt idx="9" c:formatCode="yyyy/m/d;@">
                  <c:v>40178</c:v>
                </c:pt>
                <c:pt idx="10" c:formatCode="yyyy/m/d;@">
                  <c:v>40543</c:v>
                </c:pt>
                <c:pt idx="11" c:formatCode="yyyy/m/d;@">
                  <c:v>40908</c:v>
                </c:pt>
                <c:pt idx="12" c:formatCode="yyyy/m/d;@">
                  <c:v>41274</c:v>
                </c:pt>
                <c:pt idx="13" c:formatCode="yyyy/m/d;@">
                  <c:v>41639</c:v>
                </c:pt>
                <c:pt idx="14" c:formatCode="yyyy/m/d;@">
                  <c:v>42004</c:v>
                </c:pt>
                <c:pt idx="15" c:formatCode="yyyy/m/d;@">
                  <c:v>42369</c:v>
                </c:pt>
                <c:pt idx="16" c:formatCode="yyyy/m/d;@">
                  <c:v>42735</c:v>
                </c:pt>
                <c:pt idx="17" c:formatCode="yyyy/m/d;@">
                  <c:v>43100</c:v>
                </c:pt>
                <c:pt idx="18" c:formatCode="yyyy/m/d;@">
                  <c:v>43465</c:v>
                </c:pt>
                <c:pt idx="19" c:formatCode="yyyy/m/d;@">
                  <c:v>43830</c:v>
                </c:pt>
                <c:pt idx="20" c:formatCode="yyyy/m/d;@">
                  <c:v>44196</c:v>
                </c:pt>
                <c:pt idx="21" c:formatCode="yyyy/m/d;@">
                  <c:v>44561</c:v>
                </c:pt>
                <c:pt idx="22" c:formatCode="yyyy/m/d;@">
                  <c:v>44926</c:v>
                </c:pt>
                <c:pt idx="23" c:formatCode="yyyy/m/d;@">
                  <c:v>45291</c:v>
                </c:pt>
                <c:pt idx="24" c:formatCode="yyyy/m/d;@">
                  <c:v>45657</c:v>
                </c:pt>
                <c:pt idx="25" c:formatCode="yyyy/m/d;@">
                  <c:v>46022</c:v>
                </c:pt>
              </c:numCache>
            </c:numRef>
          </c:cat>
          <c:val>
            <c:numRef>
              <c:f>美日新港债券ETF资产规模!$B$2:$B$27</c:f>
              <c:numCache>
                <c:formatCode>0.00_);[Red]\(0.00\)</c:formatCode>
                <c:ptCount val="26"/>
                <c:pt idx="0">
                  <c:v>21230000</c:v>
                </c:pt>
                <c:pt idx="1">
                  <c:v>60160000</c:v>
                </c:pt>
                <c:pt idx="2">
                  <c:v>4084326016</c:v>
                </c:pt>
                <c:pt idx="3">
                  <c:v>5311532624</c:v>
                </c:pt>
                <c:pt idx="4">
                  <c:v>12136187008</c:v>
                </c:pt>
                <c:pt idx="5">
                  <c:v>19458767216</c:v>
                </c:pt>
                <c:pt idx="6">
                  <c:v>24910784880</c:v>
                </c:pt>
                <c:pt idx="7">
                  <c:v>39258962220</c:v>
                </c:pt>
                <c:pt idx="8">
                  <c:v>60172553572</c:v>
                </c:pt>
                <c:pt idx="9">
                  <c:v>113387364156.5</c:v>
                </c:pt>
                <c:pt idx="10">
                  <c:v>147577852347.5</c:v>
                </c:pt>
                <c:pt idx="11">
                  <c:v>194473851439</c:v>
                </c:pt>
                <c:pt idx="12">
                  <c:v>257802819587</c:v>
                </c:pt>
                <c:pt idx="13">
                  <c:v>253045620403</c:v>
                </c:pt>
                <c:pt idx="14">
                  <c:v>306570761066</c:v>
                </c:pt>
                <c:pt idx="15">
                  <c:v>355358738937</c:v>
                </c:pt>
                <c:pt idx="16">
                  <c:v>445737760840</c:v>
                </c:pt>
                <c:pt idx="17">
                  <c:v>574284683548.75</c:v>
                </c:pt>
                <c:pt idx="18">
                  <c:v>645136756241.25</c:v>
                </c:pt>
                <c:pt idx="19">
                  <c:v>831688597511.5</c:v>
                </c:pt>
                <c:pt idx="20">
                  <c:v>1079083329405.75</c:v>
                </c:pt>
                <c:pt idx="21">
                  <c:v>1260279545537.62</c:v>
                </c:pt>
                <c:pt idx="22">
                  <c:v>1275321097227.87</c:v>
                </c:pt>
                <c:pt idx="23">
                  <c:v>1509225374761.75</c:v>
                </c:pt>
                <c:pt idx="24">
                  <c:v>1779870900491.41</c:v>
                </c:pt>
                <c:pt idx="25">
                  <c:v>2264294175552.81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6895024"/>
        <c:axId val="1956880144"/>
      </c:barChart>
      <c:lineChart>
        <c:grouping val="standard"/>
        <c:varyColors val="0"/>
        <c:ser>
          <c:idx val="1"/>
          <c:order val="1"/>
          <c:tx>
            <c:strRef>
              <c:f>美日新港债券ETF资产规模!$C$1</c:f>
              <c:strCache>
                <c:ptCount val="1"/>
                <c:pt idx="0">
                  <c:v>同比增长率(%)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美日新港债券ETF资产规模!$A$2:$A$27</c:f>
              <c:numCache>
                <c:formatCode>yyyy/m/d;@</c:formatCode>
                <c:ptCount val="26"/>
                <c:pt idx="0" c:formatCode="yyyy/m/d;@">
                  <c:v>36891</c:v>
                </c:pt>
                <c:pt idx="1" c:formatCode="yyyy/m/d;@">
                  <c:v>37256</c:v>
                </c:pt>
                <c:pt idx="2" c:formatCode="yyyy/m/d;@">
                  <c:v>37621</c:v>
                </c:pt>
                <c:pt idx="3" c:formatCode="yyyy/m/d;@">
                  <c:v>37986</c:v>
                </c:pt>
                <c:pt idx="4" c:formatCode="yyyy/m/d;@">
                  <c:v>38352</c:v>
                </c:pt>
                <c:pt idx="5" c:formatCode="yyyy/m/d;@">
                  <c:v>38717</c:v>
                </c:pt>
                <c:pt idx="6" c:formatCode="yyyy/m/d;@">
                  <c:v>39082</c:v>
                </c:pt>
                <c:pt idx="7" c:formatCode="yyyy/m/d;@">
                  <c:v>39447</c:v>
                </c:pt>
                <c:pt idx="8" c:formatCode="yyyy/m/d;@">
                  <c:v>39813</c:v>
                </c:pt>
                <c:pt idx="9" c:formatCode="yyyy/m/d;@">
                  <c:v>40178</c:v>
                </c:pt>
                <c:pt idx="10" c:formatCode="yyyy/m/d;@">
                  <c:v>40543</c:v>
                </c:pt>
                <c:pt idx="11" c:formatCode="yyyy/m/d;@">
                  <c:v>40908</c:v>
                </c:pt>
                <c:pt idx="12" c:formatCode="yyyy/m/d;@">
                  <c:v>41274</c:v>
                </c:pt>
                <c:pt idx="13" c:formatCode="yyyy/m/d;@">
                  <c:v>41639</c:v>
                </c:pt>
                <c:pt idx="14" c:formatCode="yyyy/m/d;@">
                  <c:v>42004</c:v>
                </c:pt>
                <c:pt idx="15" c:formatCode="yyyy/m/d;@">
                  <c:v>42369</c:v>
                </c:pt>
                <c:pt idx="16" c:formatCode="yyyy/m/d;@">
                  <c:v>42735</c:v>
                </c:pt>
                <c:pt idx="17" c:formatCode="yyyy/m/d;@">
                  <c:v>43100</c:v>
                </c:pt>
                <c:pt idx="18" c:formatCode="yyyy/m/d;@">
                  <c:v>43465</c:v>
                </c:pt>
                <c:pt idx="19" c:formatCode="yyyy/m/d;@">
                  <c:v>43830</c:v>
                </c:pt>
                <c:pt idx="20" c:formatCode="yyyy/m/d;@">
                  <c:v>44196</c:v>
                </c:pt>
                <c:pt idx="21" c:formatCode="yyyy/m/d;@">
                  <c:v>44561</c:v>
                </c:pt>
                <c:pt idx="22" c:formatCode="yyyy/m/d;@">
                  <c:v>44926</c:v>
                </c:pt>
                <c:pt idx="23" c:formatCode="yyyy/m/d;@">
                  <c:v>45291</c:v>
                </c:pt>
                <c:pt idx="24" c:formatCode="yyyy/m/d;@">
                  <c:v>45657</c:v>
                </c:pt>
                <c:pt idx="25" c:formatCode="yyyy/m/d;@">
                  <c:v>46022</c:v>
                </c:pt>
              </c:numCache>
            </c:numRef>
          </c:cat>
          <c:val>
            <c:numRef>
              <c:f>美日新港债券ETF资产规模!$C$2:$C$27</c:f>
              <c:numCache>
                <c:formatCode>0.00%</c:formatCode>
                <c:ptCount val="26"/>
                <c:pt idx="1">
                  <c:v>1.8337258596326</c:v>
                </c:pt>
                <c:pt idx="2">
                  <c:v>66.8910574468085</c:v>
                </c:pt>
                <c:pt idx="3">
                  <c:v>0.300467348392984</c:v>
                </c:pt>
                <c:pt idx="4">
                  <c:v>1.28487479360722</c:v>
                </c:pt>
                <c:pt idx="5">
                  <c:v>0.603367450021416</c:v>
                </c:pt>
                <c:pt idx="6">
                  <c:v>0.280183097083204</c:v>
                </c:pt>
                <c:pt idx="7">
                  <c:v>0.575982547684383</c:v>
                </c:pt>
                <c:pt idx="8">
                  <c:v>0.532708715905532</c:v>
                </c:pt>
                <c:pt idx="9">
                  <c:v>0.884370155918767</c:v>
                </c:pt>
                <c:pt idx="10">
                  <c:v>0.30153702262458</c:v>
                </c:pt>
                <c:pt idx="11">
                  <c:v>0.317771253243844</c:v>
                </c:pt>
                <c:pt idx="12">
                  <c:v>0.325642587316497</c:v>
                </c:pt>
                <c:pt idx="13">
                  <c:v>-0.0184528594048003</c:v>
                </c:pt>
                <c:pt idx="14">
                  <c:v>0.211523679318203</c:v>
                </c:pt>
                <c:pt idx="15">
                  <c:v>0.159141001253204</c:v>
                </c:pt>
                <c:pt idx="16">
                  <c:v>0.254331783631816</c:v>
                </c:pt>
                <c:pt idx="17">
                  <c:v>0.288391368203809</c:v>
                </c:pt>
                <c:pt idx="18">
                  <c:v>0.123374477366652</c:v>
                </c:pt>
                <c:pt idx="19">
                  <c:v>0.289166350336561</c:v>
                </c:pt>
                <c:pt idx="20">
                  <c:v>0.297460771536944</c:v>
                </c:pt>
                <c:pt idx="21">
                  <c:v>0.167916796779406</c:v>
                </c:pt>
                <c:pt idx="22">
                  <c:v>0.0119350914989527</c:v>
                </c:pt>
                <c:pt idx="23">
                  <c:v>0.183408145636664</c:v>
                </c:pt>
                <c:pt idx="24">
                  <c:v>0.179327441915284</c:v>
                </c:pt>
                <c:pt idx="25">
                  <c:v>0.272167647062298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58204736"/>
        <c:axId val="1958225856"/>
      </c:lineChart>
      <c:dateAx>
        <c:axId val="1956895024"/>
        <c:scaling>
          <c:orientation val="minMax"/>
        </c:scaling>
        <c:delete val="0"/>
        <c:axPos val="b"/>
        <c:numFmt formatCode="yyyy/m/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56880144"/>
        <c:crosses val="autoZero"/>
        <c:auto val="1"/>
        <c:lblOffset val="100"/>
        <c:baseTimeUnit val="years"/>
      </c:dateAx>
      <c:valAx>
        <c:axId val="1956880144"/>
        <c:scaling>
          <c:orientation val="minMax"/>
        </c:scaling>
        <c:delete val="0"/>
        <c:axPos val="l"/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56895024"/>
        <c:crosses val="autoZero"/>
        <c:crossBetween val="between"/>
      </c:valAx>
      <c:dateAx>
        <c:axId val="1958204736"/>
        <c:scaling>
          <c:orientation val="minMax"/>
        </c:scaling>
        <c:delete val="1"/>
        <c:axPos val="b"/>
        <c:numFmt formatCode="yyyy/m/d;@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58225856"/>
        <c:crosses val="autoZero"/>
        <c:auto val="1"/>
        <c:lblOffset val="100"/>
        <c:baseTimeUnit val="years"/>
        <c:majorUnit val="1"/>
        <c:majorTimeUnit val="days"/>
        <c:minorUnit val="1"/>
        <c:minorTimeUnit val="days"/>
      </c:dateAx>
      <c:valAx>
        <c:axId val="1958225856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58204736"/>
        <c:crosses val="max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altLang="zh-CN" sz="8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楷体" panose="02010609060101010101" pitchFamily="49" charset="-122"/>
              <a:ea typeface="楷体" panose="02010609060101010101" pitchFamily="49" charset="-122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9a28f29-1a1b-4099-82c1-dc650a5f0ad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lang="zh-CN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rPr>
              <a:t>日本债券ETF历年总量</a:t>
            </a:r>
            <a:endParaRPr lang="zh-CN" alt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楷体" panose="02010609060101010101" pitchFamily="49" charset="-122"/>
              <a:ea typeface="楷体" panose="02010609060101010101" pitchFamily="49" charset="-122"/>
              <a:cs typeface="+mn-cs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美日新港债券ETF资产规模!$D$1</c:f>
              <c:strCache>
                <c:ptCount val="1"/>
                <c:pt idx="0">
                  <c:v>JP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美日新港债券ETF资产规模!$A$2:$A$27</c:f>
              <c:numCache>
                <c:formatCode>yyyy/m/d;@</c:formatCode>
                <c:ptCount val="26"/>
                <c:pt idx="0" c:formatCode="yyyy/m/d;@">
                  <c:v>36891</c:v>
                </c:pt>
                <c:pt idx="1" c:formatCode="yyyy/m/d;@">
                  <c:v>37256</c:v>
                </c:pt>
                <c:pt idx="2" c:formatCode="yyyy/m/d;@">
                  <c:v>37621</c:v>
                </c:pt>
                <c:pt idx="3" c:formatCode="yyyy/m/d;@">
                  <c:v>37986</c:v>
                </c:pt>
                <c:pt idx="4" c:formatCode="yyyy/m/d;@">
                  <c:v>38352</c:v>
                </c:pt>
                <c:pt idx="5" c:formatCode="yyyy/m/d;@">
                  <c:v>38717</c:v>
                </c:pt>
                <c:pt idx="6" c:formatCode="yyyy/m/d;@">
                  <c:v>39082</c:v>
                </c:pt>
                <c:pt idx="7" c:formatCode="yyyy/m/d;@">
                  <c:v>39447</c:v>
                </c:pt>
                <c:pt idx="8" c:formatCode="yyyy/m/d;@">
                  <c:v>39813</c:v>
                </c:pt>
                <c:pt idx="9" c:formatCode="yyyy/m/d;@">
                  <c:v>40178</c:v>
                </c:pt>
                <c:pt idx="10" c:formatCode="yyyy/m/d;@">
                  <c:v>40543</c:v>
                </c:pt>
                <c:pt idx="11" c:formatCode="yyyy/m/d;@">
                  <c:v>40908</c:v>
                </c:pt>
                <c:pt idx="12" c:formatCode="yyyy/m/d;@">
                  <c:v>41274</c:v>
                </c:pt>
                <c:pt idx="13" c:formatCode="yyyy/m/d;@">
                  <c:v>41639</c:v>
                </c:pt>
                <c:pt idx="14" c:formatCode="yyyy/m/d;@">
                  <c:v>42004</c:v>
                </c:pt>
                <c:pt idx="15" c:formatCode="yyyy/m/d;@">
                  <c:v>42369</c:v>
                </c:pt>
                <c:pt idx="16" c:formatCode="yyyy/m/d;@">
                  <c:v>42735</c:v>
                </c:pt>
                <c:pt idx="17" c:formatCode="yyyy/m/d;@">
                  <c:v>43100</c:v>
                </c:pt>
                <c:pt idx="18" c:formatCode="yyyy/m/d;@">
                  <c:v>43465</c:v>
                </c:pt>
                <c:pt idx="19" c:formatCode="yyyy/m/d;@">
                  <c:v>43830</c:v>
                </c:pt>
                <c:pt idx="20" c:formatCode="yyyy/m/d;@">
                  <c:v>44196</c:v>
                </c:pt>
                <c:pt idx="21" c:formatCode="yyyy/m/d;@">
                  <c:v>44561</c:v>
                </c:pt>
                <c:pt idx="22" c:formatCode="yyyy/m/d;@">
                  <c:v>44926</c:v>
                </c:pt>
                <c:pt idx="23" c:formatCode="yyyy/m/d;@">
                  <c:v>45291</c:v>
                </c:pt>
                <c:pt idx="24" c:formatCode="yyyy/m/d;@">
                  <c:v>45657</c:v>
                </c:pt>
                <c:pt idx="25" c:formatCode="yyyy/m/d;@">
                  <c:v>46022</c:v>
                </c:pt>
              </c:numCache>
            </c:numRef>
          </c:cat>
          <c:val>
            <c:numRef>
              <c:f>美日新港债券ETF资产规模!$D$2:$D$27</c:f>
              <c:numCache>
                <c:formatCode>0.00_);[Red]\(0.00\)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10889802.6756942</c:v>
                </c:pt>
                <c:pt idx="10">
                  <c:v>36126741.3928099</c:v>
                </c:pt>
                <c:pt idx="11">
                  <c:v>61722300.4996777</c:v>
                </c:pt>
                <c:pt idx="12">
                  <c:v>73629182.6246648</c:v>
                </c:pt>
                <c:pt idx="13">
                  <c:v>67995813.0949352</c:v>
                </c:pt>
                <c:pt idx="14">
                  <c:v>90766783.6195297</c:v>
                </c:pt>
                <c:pt idx="15">
                  <c:v>106027698.471271</c:v>
                </c:pt>
                <c:pt idx="16">
                  <c:v>296182327.267742</c:v>
                </c:pt>
                <c:pt idx="17">
                  <c:v>529524142.448378</c:v>
                </c:pt>
                <c:pt idx="18">
                  <c:v>639213384.605263</c:v>
                </c:pt>
                <c:pt idx="19">
                  <c:v>1151421098.42193</c:v>
                </c:pt>
                <c:pt idx="20">
                  <c:v>2012839916.55028</c:v>
                </c:pt>
                <c:pt idx="21">
                  <c:v>3846821405.95885</c:v>
                </c:pt>
                <c:pt idx="22">
                  <c:v>4789830690.1062</c:v>
                </c:pt>
                <c:pt idx="23">
                  <c:v>7507118989.54211</c:v>
                </c:pt>
                <c:pt idx="24">
                  <c:v>9179920111.41169</c:v>
                </c:pt>
                <c:pt idx="25">
                  <c:v>8945169507.88736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8619792"/>
        <c:axId val="1988626992"/>
      </c:barChart>
      <c:lineChart>
        <c:grouping val="standard"/>
        <c:varyColors val="0"/>
        <c:ser>
          <c:idx val="1"/>
          <c:order val="1"/>
          <c:tx>
            <c:strRef>
              <c:f>美日新港债券ETF资产规模!$E$1</c:f>
              <c:strCache>
                <c:ptCount val="1"/>
                <c:pt idx="0">
                  <c:v>同比增长率(%)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美日新港债券ETF资产规模!$A$2:$A$27</c:f>
              <c:numCache>
                <c:formatCode>yyyy/m/d;@</c:formatCode>
                <c:ptCount val="26"/>
                <c:pt idx="0" c:formatCode="yyyy/m/d;@">
                  <c:v>36891</c:v>
                </c:pt>
                <c:pt idx="1" c:formatCode="yyyy/m/d;@">
                  <c:v>37256</c:v>
                </c:pt>
                <c:pt idx="2" c:formatCode="yyyy/m/d;@">
                  <c:v>37621</c:v>
                </c:pt>
                <c:pt idx="3" c:formatCode="yyyy/m/d;@">
                  <c:v>37986</c:v>
                </c:pt>
                <c:pt idx="4" c:formatCode="yyyy/m/d;@">
                  <c:v>38352</c:v>
                </c:pt>
                <c:pt idx="5" c:formatCode="yyyy/m/d;@">
                  <c:v>38717</c:v>
                </c:pt>
                <c:pt idx="6" c:formatCode="yyyy/m/d;@">
                  <c:v>39082</c:v>
                </c:pt>
                <c:pt idx="7" c:formatCode="yyyy/m/d;@">
                  <c:v>39447</c:v>
                </c:pt>
                <c:pt idx="8" c:formatCode="yyyy/m/d;@">
                  <c:v>39813</c:v>
                </c:pt>
                <c:pt idx="9" c:formatCode="yyyy/m/d;@">
                  <c:v>40178</c:v>
                </c:pt>
                <c:pt idx="10" c:formatCode="yyyy/m/d;@">
                  <c:v>40543</c:v>
                </c:pt>
                <c:pt idx="11" c:formatCode="yyyy/m/d;@">
                  <c:v>40908</c:v>
                </c:pt>
                <c:pt idx="12" c:formatCode="yyyy/m/d;@">
                  <c:v>41274</c:v>
                </c:pt>
                <c:pt idx="13" c:formatCode="yyyy/m/d;@">
                  <c:v>41639</c:v>
                </c:pt>
                <c:pt idx="14" c:formatCode="yyyy/m/d;@">
                  <c:v>42004</c:v>
                </c:pt>
                <c:pt idx="15" c:formatCode="yyyy/m/d;@">
                  <c:v>42369</c:v>
                </c:pt>
                <c:pt idx="16" c:formatCode="yyyy/m/d;@">
                  <c:v>42735</c:v>
                </c:pt>
                <c:pt idx="17" c:formatCode="yyyy/m/d;@">
                  <c:v>43100</c:v>
                </c:pt>
                <c:pt idx="18" c:formatCode="yyyy/m/d;@">
                  <c:v>43465</c:v>
                </c:pt>
                <c:pt idx="19" c:formatCode="yyyy/m/d;@">
                  <c:v>43830</c:v>
                </c:pt>
                <c:pt idx="20" c:formatCode="yyyy/m/d;@">
                  <c:v>44196</c:v>
                </c:pt>
                <c:pt idx="21" c:formatCode="yyyy/m/d;@">
                  <c:v>44561</c:v>
                </c:pt>
                <c:pt idx="22" c:formatCode="yyyy/m/d;@">
                  <c:v>44926</c:v>
                </c:pt>
                <c:pt idx="23" c:formatCode="yyyy/m/d;@">
                  <c:v>45291</c:v>
                </c:pt>
                <c:pt idx="24" c:formatCode="yyyy/m/d;@">
                  <c:v>45657</c:v>
                </c:pt>
                <c:pt idx="25" c:formatCode="yyyy/m/d;@">
                  <c:v>46022</c:v>
                </c:pt>
              </c:numCache>
            </c:numRef>
          </c:cat>
          <c:val>
            <c:numRef>
              <c:f>美日新港债券ETF资产规模!$E$2:$E$27</c:f>
              <c:numCache>
                <c:formatCode>0.00%</c:formatCode>
                <c:ptCount val="26"/>
                <c:pt idx="10">
                  <c:v>2.31748356409102</c:v>
                </c:pt>
                <c:pt idx="11">
                  <c:v>0.708493435058661</c:v>
                </c:pt>
                <c:pt idx="12">
                  <c:v>0.192910536849631</c:v>
                </c:pt>
                <c:pt idx="13">
                  <c:v>-0.0765100104186475</c:v>
                </c:pt>
                <c:pt idx="14">
                  <c:v>0.334887833355296</c:v>
                </c:pt>
                <c:pt idx="15">
                  <c:v>0.168133255836309</c:v>
                </c:pt>
                <c:pt idx="16">
                  <c:v>1.79344295441813</c:v>
                </c:pt>
                <c:pt idx="17">
                  <c:v>0.787831662115682</c:v>
                </c:pt>
                <c:pt idx="18">
                  <c:v>0.207146819878148</c:v>
                </c:pt>
                <c:pt idx="19">
                  <c:v>0.801309431486598</c:v>
                </c:pt>
                <c:pt idx="20">
                  <c:v>0.748135342759447</c:v>
                </c:pt>
                <c:pt idx="21">
                  <c:v>0.911141255858912</c:v>
                </c:pt>
                <c:pt idx="22">
                  <c:v>0.245139866042806</c:v>
                </c:pt>
                <c:pt idx="23">
                  <c:v>0.567303622035889</c:v>
                </c:pt>
                <c:pt idx="24">
                  <c:v>0.222828640947332</c:v>
                </c:pt>
                <c:pt idx="25">
                  <c:v>-0.0255721837091489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88627952"/>
        <c:axId val="1988635152"/>
      </c:lineChart>
      <c:dateAx>
        <c:axId val="1988619792"/>
        <c:scaling>
          <c:orientation val="minMax"/>
        </c:scaling>
        <c:delete val="0"/>
        <c:axPos val="b"/>
        <c:numFmt formatCode="yyyy/m/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88626992"/>
        <c:crosses val="autoZero"/>
        <c:auto val="1"/>
        <c:lblOffset val="100"/>
        <c:baseTimeUnit val="years"/>
      </c:dateAx>
      <c:valAx>
        <c:axId val="1988626992"/>
        <c:scaling>
          <c:orientation val="minMax"/>
        </c:scaling>
        <c:delete val="0"/>
        <c:axPos val="l"/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88619792"/>
        <c:crosses val="autoZero"/>
        <c:crossBetween val="between"/>
      </c:valAx>
      <c:dateAx>
        <c:axId val="1988627952"/>
        <c:scaling>
          <c:orientation val="minMax"/>
        </c:scaling>
        <c:delete val="1"/>
        <c:axPos val="b"/>
        <c:numFmt formatCode="yyyy/m/d;@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88635152"/>
        <c:crosses val="autoZero"/>
        <c:auto val="1"/>
        <c:lblOffset val="100"/>
        <c:baseTimeUnit val="years"/>
      </c:dateAx>
      <c:valAx>
        <c:axId val="1988635152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88627952"/>
        <c:crosses val="max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altLang="zh-CN" sz="8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楷体" panose="02010609060101010101" pitchFamily="49" charset="-122"/>
              <a:ea typeface="楷体" panose="02010609060101010101" pitchFamily="49" charset="-122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eb2f495-ad89-4bd5-9df9-7d90551d601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lang="zh-CN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rPr>
              <a:t>新加坡债券ETF历年总量</a:t>
            </a:r>
            <a:endParaRPr lang="zh-CN" alt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楷体" panose="02010609060101010101" pitchFamily="49" charset="-122"/>
              <a:ea typeface="楷体" panose="02010609060101010101" pitchFamily="49" charset="-122"/>
              <a:cs typeface="+mn-cs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美日新港债券ETF资产规模!$F$1</c:f>
              <c:strCache>
                <c:ptCount val="1"/>
                <c:pt idx="0">
                  <c:v>SG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美日新港债券ETF资产规模!$A$2:$A$27</c:f>
              <c:numCache>
                <c:formatCode>yyyy/m/d;@</c:formatCode>
                <c:ptCount val="26"/>
                <c:pt idx="0" c:formatCode="yyyy/m/d;@">
                  <c:v>36891</c:v>
                </c:pt>
                <c:pt idx="1" c:formatCode="yyyy/m/d;@">
                  <c:v>37256</c:v>
                </c:pt>
                <c:pt idx="2" c:formatCode="yyyy/m/d;@">
                  <c:v>37621</c:v>
                </c:pt>
                <c:pt idx="3" c:formatCode="yyyy/m/d;@">
                  <c:v>37986</c:v>
                </c:pt>
                <c:pt idx="4" c:formatCode="yyyy/m/d;@">
                  <c:v>38352</c:v>
                </c:pt>
                <c:pt idx="5" c:formatCode="yyyy/m/d;@">
                  <c:v>38717</c:v>
                </c:pt>
                <c:pt idx="6" c:formatCode="yyyy/m/d;@">
                  <c:v>39082</c:v>
                </c:pt>
                <c:pt idx="7" c:formatCode="yyyy/m/d;@">
                  <c:v>39447</c:v>
                </c:pt>
                <c:pt idx="8" c:formatCode="yyyy/m/d;@">
                  <c:v>39813</c:v>
                </c:pt>
                <c:pt idx="9" c:formatCode="yyyy/m/d;@">
                  <c:v>40178</c:v>
                </c:pt>
                <c:pt idx="10" c:formatCode="yyyy/m/d;@">
                  <c:v>40543</c:v>
                </c:pt>
                <c:pt idx="11" c:formatCode="yyyy/m/d;@">
                  <c:v>40908</c:v>
                </c:pt>
                <c:pt idx="12" c:formatCode="yyyy/m/d;@">
                  <c:v>41274</c:v>
                </c:pt>
                <c:pt idx="13" c:formatCode="yyyy/m/d;@">
                  <c:v>41639</c:v>
                </c:pt>
                <c:pt idx="14" c:formatCode="yyyy/m/d;@">
                  <c:v>42004</c:v>
                </c:pt>
                <c:pt idx="15" c:formatCode="yyyy/m/d;@">
                  <c:v>42369</c:v>
                </c:pt>
                <c:pt idx="16" c:formatCode="yyyy/m/d;@">
                  <c:v>42735</c:v>
                </c:pt>
                <c:pt idx="17" c:formatCode="yyyy/m/d;@">
                  <c:v>43100</c:v>
                </c:pt>
                <c:pt idx="18" c:formatCode="yyyy/m/d;@">
                  <c:v>43465</c:v>
                </c:pt>
                <c:pt idx="19" c:formatCode="yyyy/m/d;@">
                  <c:v>43830</c:v>
                </c:pt>
                <c:pt idx="20" c:formatCode="yyyy/m/d;@">
                  <c:v>44196</c:v>
                </c:pt>
                <c:pt idx="21" c:formatCode="yyyy/m/d;@">
                  <c:v>44561</c:v>
                </c:pt>
                <c:pt idx="22" c:formatCode="yyyy/m/d;@">
                  <c:v>44926</c:v>
                </c:pt>
                <c:pt idx="23" c:formatCode="yyyy/m/d;@">
                  <c:v>45291</c:v>
                </c:pt>
                <c:pt idx="24" c:formatCode="yyyy/m/d;@">
                  <c:v>45657</c:v>
                </c:pt>
                <c:pt idx="25" c:formatCode="yyyy/m/d;@">
                  <c:v>46022</c:v>
                </c:pt>
              </c:numCache>
            </c:numRef>
          </c:cat>
          <c:val>
            <c:numRef>
              <c:f>美日新港债券ETF资产规模!$F$2:$F$27</c:f>
              <c:numCache>
                <c:formatCode>0.00_);[Red]\(0.00\)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1370419744.12941</c:v>
                </c:pt>
                <c:pt idx="6">
                  <c:v>1720445977.09939</c:v>
                </c:pt>
                <c:pt idx="7">
                  <c:v>1632252032</c:v>
                </c:pt>
                <c:pt idx="8">
                  <c:v>1914641164.44022</c:v>
                </c:pt>
                <c:pt idx="9">
                  <c:v>2089138904.15885</c:v>
                </c:pt>
                <c:pt idx="10">
                  <c:v>2628364163.889</c:v>
                </c:pt>
                <c:pt idx="11">
                  <c:v>2951898649.7225</c:v>
                </c:pt>
                <c:pt idx="12">
                  <c:v>3779319637.98651</c:v>
                </c:pt>
                <c:pt idx="13">
                  <c:v>3608052643.77214</c:v>
                </c:pt>
                <c:pt idx="14">
                  <c:v>3595730713.499</c:v>
                </c:pt>
                <c:pt idx="15">
                  <c:v>3510264267.05125</c:v>
                </c:pt>
                <c:pt idx="16">
                  <c:v>4411238557.18653</c:v>
                </c:pt>
                <c:pt idx="17">
                  <c:v>4546517846.19682</c:v>
                </c:pt>
                <c:pt idx="18">
                  <c:v>4621379234.39742</c:v>
                </c:pt>
                <c:pt idx="19">
                  <c:v>4923968369.25919</c:v>
                </c:pt>
                <c:pt idx="20">
                  <c:v>5256909518.7056</c:v>
                </c:pt>
                <c:pt idx="21">
                  <c:v>7398413914.53539</c:v>
                </c:pt>
                <c:pt idx="22">
                  <c:v>7425950798.31009</c:v>
                </c:pt>
                <c:pt idx="23">
                  <c:v>5374046330.72981</c:v>
                </c:pt>
                <c:pt idx="24">
                  <c:v>6487581238.31189</c:v>
                </c:pt>
                <c:pt idx="25">
                  <c:v>6896684475.97073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4552080"/>
        <c:axId val="1984564080"/>
      </c:barChart>
      <c:lineChart>
        <c:grouping val="standard"/>
        <c:varyColors val="0"/>
        <c:ser>
          <c:idx val="1"/>
          <c:order val="1"/>
          <c:tx>
            <c:strRef>
              <c:f>美日新港债券ETF资产规模!$G$1</c:f>
              <c:strCache>
                <c:ptCount val="1"/>
                <c:pt idx="0">
                  <c:v>同比增长率(%)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美日新港债券ETF资产规模!$A$2:$A$27</c:f>
              <c:numCache>
                <c:formatCode>yyyy/m/d;@</c:formatCode>
                <c:ptCount val="26"/>
                <c:pt idx="0" c:formatCode="yyyy/m/d;@">
                  <c:v>36891</c:v>
                </c:pt>
                <c:pt idx="1" c:formatCode="yyyy/m/d;@">
                  <c:v>37256</c:v>
                </c:pt>
                <c:pt idx="2" c:formatCode="yyyy/m/d;@">
                  <c:v>37621</c:v>
                </c:pt>
                <c:pt idx="3" c:formatCode="yyyy/m/d;@">
                  <c:v>37986</c:v>
                </c:pt>
                <c:pt idx="4" c:formatCode="yyyy/m/d;@">
                  <c:v>38352</c:v>
                </c:pt>
                <c:pt idx="5" c:formatCode="yyyy/m/d;@">
                  <c:v>38717</c:v>
                </c:pt>
                <c:pt idx="6" c:formatCode="yyyy/m/d;@">
                  <c:v>39082</c:v>
                </c:pt>
                <c:pt idx="7" c:formatCode="yyyy/m/d;@">
                  <c:v>39447</c:v>
                </c:pt>
                <c:pt idx="8" c:formatCode="yyyy/m/d;@">
                  <c:v>39813</c:v>
                </c:pt>
                <c:pt idx="9" c:formatCode="yyyy/m/d;@">
                  <c:v>40178</c:v>
                </c:pt>
                <c:pt idx="10" c:formatCode="yyyy/m/d;@">
                  <c:v>40543</c:v>
                </c:pt>
                <c:pt idx="11" c:formatCode="yyyy/m/d;@">
                  <c:v>40908</c:v>
                </c:pt>
                <c:pt idx="12" c:formatCode="yyyy/m/d;@">
                  <c:v>41274</c:v>
                </c:pt>
                <c:pt idx="13" c:formatCode="yyyy/m/d;@">
                  <c:v>41639</c:v>
                </c:pt>
                <c:pt idx="14" c:formatCode="yyyy/m/d;@">
                  <c:v>42004</c:v>
                </c:pt>
                <c:pt idx="15" c:formatCode="yyyy/m/d;@">
                  <c:v>42369</c:v>
                </c:pt>
                <c:pt idx="16" c:formatCode="yyyy/m/d;@">
                  <c:v>42735</c:v>
                </c:pt>
                <c:pt idx="17" c:formatCode="yyyy/m/d;@">
                  <c:v>43100</c:v>
                </c:pt>
                <c:pt idx="18" c:formatCode="yyyy/m/d;@">
                  <c:v>43465</c:v>
                </c:pt>
                <c:pt idx="19" c:formatCode="yyyy/m/d;@">
                  <c:v>43830</c:v>
                </c:pt>
                <c:pt idx="20" c:formatCode="yyyy/m/d;@">
                  <c:v>44196</c:v>
                </c:pt>
                <c:pt idx="21" c:formatCode="yyyy/m/d;@">
                  <c:v>44561</c:v>
                </c:pt>
                <c:pt idx="22" c:formatCode="yyyy/m/d;@">
                  <c:v>44926</c:v>
                </c:pt>
                <c:pt idx="23" c:formatCode="yyyy/m/d;@">
                  <c:v>45291</c:v>
                </c:pt>
                <c:pt idx="24" c:formatCode="yyyy/m/d;@">
                  <c:v>45657</c:v>
                </c:pt>
                <c:pt idx="25" c:formatCode="yyyy/m/d;@">
                  <c:v>46022</c:v>
                </c:pt>
              </c:numCache>
            </c:numRef>
          </c:cat>
          <c:val>
            <c:numRef>
              <c:f>美日新港债券ETF资产规模!$G$2:$G$27</c:f>
              <c:numCache>
                <c:formatCode>0.00%</c:formatCode>
                <c:ptCount val="26"/>
                <c:pt idx="6">
                  <c:v>0.255415345896335</c:v>
                </c:pt>
                <c:pt idx="7">
                  <c:v>-0.0512622577362655</c:v>
                </c:pt>
                <c:pt idx="8">
                  <c:v>0.173005839113098</c:v>
                </c:pt>
                <c:pt idx="9">
                  <c:v>0.0911386127904794</c:v>
                </c:pt>
                <c:pt idx="10">
                  <c:v>0.258108859423715</c:v>
                </c:pt>
                <c:pt idx="11">
                  <c:v>0.123093477790684</c:v>
                </c:pt>
                <c:pt idx="12">
                  <c:v>0.280301286204997</c:v>
                </c:pt>
                <c:pt idx="13">
                  <c:v>-0.0453168852120735</c:v>
                </c:pt>
                <c:pt idx="14">
                  <c:v>-0.00341511931496034</c:v>
                </c:pt>
                <c:pt idx="15">
                  <c:v>-0.0237688673756614</c:v>
                </c:pt>
                <c:pt idx="16">
                  <c:v>0.256668507437513</c:v>
                </c:pt>
                <c:pt idx="17">
                  <c:v>0.0306669628623691</c:v>
                </c:pt>
                <c:pt idx="18">
                  <c:v>0.0164656536569457</c:v>
                </c:pt>
                <c:pt idx="19">
                  <c:v>0.0654759368392809</c:v>
                </c:pt>
                <c:pt idx="20">
                  <c:v>0.0676164273363318</c:v>
                </c:pt>
                <c:pt idx="21">
                  <c:v>0.407369460746794</c:v>
                </c:pt>
                <c:pt idx="22">
                  <c:v>0.00372199826784488</c:v>
                </c:pt>
                <c:pt idx="23">
                  <c:v>-0.276315386852176</c:v>
                </c:pt>
                <c:pt idx="24">
                  <c:v>0.207206049046261</c:v>
                </c:pt>
                <c:pt idx="25">
                  <c:v>0.0630594396634163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84566000"/>
        <c:axId val="1984565520"/>
      </c:lineChart>
      <c:dateAx>
        <c:axId val="1984552080"/>
        <c:scaling>
          <c:orientation val="minMax"/>
        </c:scaling>
        <c:delete val="0"/>
        <c:axPos val="b"/>
        <c:numFmt formatCode="yyyy/m/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84564080"/>
        <c:crosses val="autoZero"/>
        <c:auto val="1"/>
        <c:lblOffset val="100"/>
        <c:baseTimeUnit val="years"/>
      </c:dateAx>
      <c:valAx>
        <c:axId val="1984564080"/>
        <c:scaling>
          <c:orientation val="minMax"/>
        </c:scaling>
        <c:delete val="0"/>
        <c:axPos val="l"/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84552080"/>
        <c:crosses val="autoZero"/>
        <c:crossBetween val="between"/>
      </c:valAx>
      <c:dateAx>
        <c:axId val="1984566000"/>
        <c:scaling>
          <c:orientation val="minMax"/>
        </c:scaling>
        <c:delete val="1"/>
        <c:axPos val="b"/>
        <c:numFmt formatCode="yyyy/m/d;@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84565520"/>
        <c:crosses val="autoZero"/>
        <c:auto val="1"/>
        <c:lblOffset val="100"/>
        <c:baseTimeUnit val="years"/>
      </c:dateAx>
      <c:valAx>
        <c:axId val="1984565520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84566000"/>
        <c:crosses val="max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altLang="zh-CN" sz="8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楷体" panose="02010609060101010101" pitchFamily="49" charset="-122"/>
              <a:ea typeface="楷体" panose="02010609060101010101" pitchFamily="49" charset="-122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c83d03f-c2f9-4e32-b7ee-f0f4b03c923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lang="zh-CN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rPr>
              <a:t>香港债券ETF历年总量</a:t>
            </a:r>
            <a:endParaRPr lang="zh-CN" alt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楷体" panose="02010609060101010101" pitchFamily="49" charset="-122"/>
              <a:ea typeface="楷体" panose="02010609060101010101" pitchFamily="49" charset="-122"/>
              <a:cs typeface="+mn-cs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美日新港债券ETF资产规模!$H$1</c:f>
              <c:strCache>
                <c:ptCount val="1"/>
                <c:pt idx="0">
                  <c:v>HK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美日新港债券ETF资产规模!$A$2:$A$27</c:f>
              <c:numCache>
                <c:formatCode>yyyy/m/d;@</c:formatCode>
                <c:ptCount val="26"/>
                <c:pt idx="0" c:formatCode="yyyy/m/d;@">
                  <c:v>36891</c:v>
                </c:pt>
                <c:pt idx="1" c:formatCode="yyyy/m/d;@">
                  <c:v>37256</c:v>
                </c:pt>
                <c:pt idx="2" c:formatCode="yyyy/m/d;@">
                  <c:v>37621</c:v>
                </c:pt>
                <c:pt idx="3" c:formatCode="yyyy/m/d;@">
                  <c:v>37986</c:v>
                </c:pt>
                <c:pt idx="4" c:formatCode="yyyy/m/d;@">
                  <c:v>38352</c:v>
                </c:pt>
                <c:pt idx="5" c:formatCode="yyyy/m/d;@">
                  <c:v>38717</c:v>
                </c:pt>
                <c:pt idx="6" c:formatCode="yyyy/m/d;@">
                  <c:v>39082</c:v>
                </c:pt>
                <c:pt idx="7" c:formatCode="yyyy/m/d;@">
                  <c:v>39447</c:v>
                </c:pt>
                <c:pt idx="8" c:formatCode="yyyy/m/d;@">
                  <c:v>39813</c:v>
                </c:pt>
                <c:pt idx="9" c:formatCode="yyyy/m/d;@">
                  <c:v>40178</c:v>
                </c:pt>
                <c:pt idx="10" c:formatCode="yyyy/m/d;@">
                  <c:v>40543</c:v>
                </c:pt>
                <c:pt idx="11" c:formatCode="yyyy/m/d;@">
                  <c:v>40908</c:v>
                </c:pt>
                <c:pt idx="12" c:formatCode="yyyy/m/d;@">
                  <c:v>41274</c:v>
                </c:pt>
                <c:pt idx="13" c:formatCode="yyyy/m/d;@">
                  <c:v>41639</c:v>
                </c:pt>
                <c:pt idx="14" c:formatCode="yyyy/m/d;@">
                  <c:v>42004</c:v>
                </c:pt>
                <c:pt idx="15" c:formatCode="yyyy/m/d;@">
                  <c:v>42369</c:v>
                </c:pt>
                <c:pt idx="16" c:formatCode="yyyy/m/d;@">
                  <c:v>42735</c:v>
                </c:pt>
                <c:pt idx="17" c:formatCode="yyyy/m/d;@">
                  <c:v>43100</c:v>
                </c:pt>
                <c:pt idx="18" c:formatCode="yyyy/m/d;@">
                  <c:v>43465</c:v>
                </c:pt>
                <c:pt idx="19" c:formatCode="yyyy/m/d;@">
                  <c:v>43830</c:v>
                </c:pt>
                <c:pt idx="20" c:formatCode="yyyy/m/d;@">
                  <c:v>44196</c:v>
                </c:pt>
                <c:pt idx="21" c:formatCode="yyyy/m/d;@">
                  <c:v>44561</c:v>
                </c:pt>
                <c:pt idx="22" c:formatCode="yyyy/m/d;@">
                  <c:v>44926</c:v>
                </c:pt>
                <c:pt idx="23" c:formatCode="yyyy/m/d;@">
                  <c:v>45291</c:v>
                </c:pt>
                <c:pt idx="24" c:formatCode="yyyy/m/d;@">
                  <c:v>45657</c:v>
                </c:pt>
                <c:pt idx="25" c:formatCode="yyyy/m/d;@">
                  <c:v>46022</c:v>
                </c:pt>
              </c:numCache>
            </c:numRef>
          </c:cat>
          <c:val>
            <c:numRef>
              <c:f>美日新港债券ETF资产规模!$H$2:$H$27</c:f>
              <c:numCache>
                <c:formatCode>0.00_);[Red]\(0.00\)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275211435.217377</c:v>
                </c:pt>
                <c:pt idx="6">
                  <c:v>286759524.814941</c:v>
                </c:pt>
                <c:pt idx="7">
                  <c:v>313096482.192398</c:v>
                </c:pt>
                <c:pt idx="8">
                  <c:v>299775253.312561</c:v>
                </c:pt>
                <c:pt idx="9">
                  <c:v>305726646.315868</c:v>
                </c:pt>
                <c:pt idx="10">
                  <c:v>329436865.359558</c:v>
                </c:pt>
                <c:pt idx="11">
                  <c:v>336497292.041779</c:v>
                </c:pt>
                <c:pt idx="12">
                  <c:v>441797405.11565</c:v>
                </c:pt>
                <c:pt idx="13">
                  <c:v>382558671.087112</c:v>
                </c:pt>
                <c:pt idx="14">
                  <c:v>1217208415.08769</c:v>
                </c:pt>
                <c:pt idx="15">
                  <c:v>726518889.849249</c:v>
                </c:pt>
                <c:pt idx="16">
                  <c:v>560531996.405885</c:v>
                </c:pt>
                <c:pt idx="17">
                  <c:v>585009967.5959</c:v>
                </c:pt>
                <c:pt idx="18">
                  <c:v>466487394.834219</c:v>
                </c:pt>
                <c:pt idx="19">
                  <c:v>606430669.38913</c:v>
                </c:pt>
                <c:pt idx="20">
                  <c:v>607357724.146545</c:v>
                </c:pt>
                <c:pt idx="21">
                  <c:v>1950870998.53819</c:v>
                </c:pt>
                <c:pt idx="22">
                  <c:v>1744330087.04946</c:v>
                </c:pt>
                <c:pt idx="23">
                  <c:v>1686783890.10033</c:v>
                </c:pt>
                <c:pt idx="24">
                  <c:v>2253410567.22911</c:v>
                </c:pt>
                <c:pt idx="25">
                  <c:v>2077251705.89645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8651472"/>
        <c:axId val="1988649072"/>
      </c:barChart>
      <c:lineChart>
        <c:grouping val="standard"/>
        <c:varyColors val="0"/>
        <c:ser>
          <c:idx val="1"/>
          <c:order val="1"/>
          <c:tx>
            <c:strRef>
              <c:f>美日新港债券ETF资产规模!$I$1</c:f>
              <c:strCache>
                <c:ptCount val="1"/>
                <c:pt idx="0">
                  <c:v>同比增长率(%)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美日新港债券ETF资产规模!$A$2:$A$27</c:f>
              <c:numCache>
                <c:formatCode>yyyy/m/d;@</c:formatCode>
                <c:ptCount val="26"/>
                <c:pt idx="0" c:formatCode="yyyy/m/d;@">
                  <c:v>36891</c:v>
                </c:pt>
                <c:pt idx="1" c:formatCode="yyyy/m/d;@">
                  <c:v>37256</c:v>
                </c:pt>
                <c:pt idx="2" c:formatCode="yyyy/m/d;@">
                  <c:v>37621</c:v>
                </c:pt>
                <c:pt idx="3" c:formatCode="yyyy/m/d;@">
                  <c:v>37986</c:v>
                </c:pt>
                <c:pt idx="4" c:formatCode="yyyy/m/d;@">
                  <c:v>38352</c:v>
                </c:pt>
                <c:pt idx="5" c:formatCode="yyyy/m/d;@">
                  <c:v>38717</c:v>
                </c:pt>
                <c:pt idx="6" c:formatCode="yyyy/m/d;@">
                  <c:v>39082</c:v>
                </c:pt>
                <c:pt idx="7" c:formatCode="yyyy/m/d;@">
                  <c:v>39447</c:v>
                </c:pt>
                <c:pt idx="8" c:formatCode="yyyy/m/d;@">
                  <c:v>39813</c:v>
                </c:pt>
                <c:pt idx="9" c:formatCode="yyyy/m/d;@">
                  <c:v>40178</c:v>
                </c:pt>
                <c:pt idx="10" c:formatCode="yyyy/m/d;@">
                  <c:v>40543</c:v>
                </c:pt>
                <c:pt idx="11" c:formatCode="yyyy/m/d;@">
                  <c:v>40908</c:v>
                </c:pt>
                <c:pt idx="12" c:formatCode="yyyy/m/d;@">
                  <c:v>41274</c:v>
                </c:pt>
                <c:pt idx="13" c:formatCode="yyyy/m/d;@">
                  <c:v>41639</c:v>
                </c:pt>
                <c:pt idx="14" c:formatCode="yyyy/m/d;@">
                  <c:v>42004</c:v>
                </c:pt>
                <c:pt idx="15" c:formatCode="yyyy/m/d;@">
                  <c:v>42369</c:v>
                </c:pt>
                <c:pt idx="16" c:formatCode="yyyy/m/d;@">
                  <c:v>42735</c:v>
                </c:pt>
                <c:pt idx="17" c:formatCode="yyyy/m/d;@">
                  <c:v>43100</c:v>
                </c:pt>
                <c:pt idx="18" c:formatCode="yyyy/m/d;@">
                  <c:v>43465</c:v>
                </c:pt>
                <c:pt idx="19" c:formatCode="yyyy/m/d;@">
                  <c:v>43830</c:v>
                </c:pt>
                <c:pt idx="20" c:formatCode="yyyy/m/d;@">
                  <c:v>44196</c:v>
                </c:pt>
                <c:pt idx="21" c:formatCode="yyyy/m/d;@">
                  <c:v>44561</c:v>
                </c:pt>
                <c:pt idx="22" c:formatCode="yyyy/m/d;@">
                  <c:v>44926</c:v>
                </c:pt>
                <c:pt idx="23" c:formatCode="yyyy/m/d;@">
                  <c:v>45291</c:v>
                </c:pt>
                <c:pt idx="24" c:formatCode="yyyy/m/d;@">
                  <c:v>45657</c:v>
                </c:pt>
                <c:pt idx="25" c:formatCode="yyyy/m/d;@">
                  <c:v>46022</c:v>
                </c:pt>
              </c:numCache>
            </c:numRef>
          </c:cat>
          <c:val>
            <c:numRef>
              <c:f>美日新港债券ETF资产规模!$I$2:$I$27</c:f>
              <c:numCache>
                <c:formatCode>0.00%</c:formatCode>
                <c:ptCount val="26"/>
                <c:pt idx="6">
                  <c:v>0.0419607913037577</c:v>
                </c:pt>
                <c:pt idx="7">
                  <c:v>0.0918433568839726</c:v>
                </c:pt>
                <c:pt idx="8">
                  <c:v>-0.0425467216576746</c:v>
                </c:pt>
                <c:pt idx="9">
                  <c:v>0.0198528495516</c:v>
                </c:pt>
                <c:pt idx="10">
                  <c:v>0.077553655624748</c:v>
                </c:pt>
                <c:pt idx="11">
                  <c:v>0.0214318050729235</c:v>
                </c:pt>
                <c:pt idx="12">
                  <c:v>0.312930045989188</c:v>
                </c:pt>
                <c:pt idx="13">
                  <c:v>-0.134085744602848</c:v>
                </c:pt>
                <c:pt idx="14">
                  <c:v>2.18175617776161</c:v>
                </c:pt>
                <c:pt idx="15">
                  <c:v>-0.403126957681352</c:v>
                </c:pt>
                <c:pt idx="16">
                  <c:v>-0.228468792432645</c:v>
                </c:pt>
                <c:pt idx="17">
                  <c:v>0.0436691774010532</c:v>
                </c:pt>
                <c:pt idx="18">
                  <c:v>-0.202599236468995</c:v>
                </c:pt>
                <c:pt idx="19">
                  <c:v>0.299993689228504</c:v>
                </c:pt>
                <c:pt idx="20">
                  <c:v>0.00152870691442584</c:v>
                </c:pt>
                <c:pt idx="21">
                  <c:v>2.21206254728964</c:v>
                </c:pt>
                <c:pt idx="22">
                  <c:v>-0.105871127123984</c:v>
                </c:pt>
                <c:pt idx="23">
                  <c:v>-0.032990428460974</c:v>
                </c:pt>
                <c:pt idx="24">
                  <c:v>0.335921323682476</c:v>
                </c:pt>
                <c:pt idx="25">
                  <c:v>-0.0781743300109186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88609712"/>
        <c:axId val="1988602032"/>
      </c:lineChart>
      <c:dateAx>
        <c:axId val="1988651472"/>
        <c:scaling>
          <c:orientation val="minMax"/>
        </c:scaling>
        <c:delete val="0"/>
        <c:axPos val="b"/>
        <c:numFmt formatCode="yyyy/m/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88649072"/>
        <c:crosses val="autoZero"/>
        <c:auto val="1"/>
        <c:lblOffset val="100"/>
        <c:baseTimeUnit val="years"/>
      </c:dateAx>
      <c:valAx>
        <c:axId val="1988649072"/>
        <c:scaling>
          <c:orientation val="minMax"/>
        </c:scaling>
        <c:delete val="0"/>
        <c:axPos val="l"/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88651472"/>
        <c:crosses val="autoZero"/>
        <c:crossBetween val="between"/>
      </c:valAx>
      <c:dateAx>
        <c:axId val="1988609712"/>
        <c:scaling>
          <c:orientation val="minMax"/>
        </c:scaling>
        <c:delete val="1"/>
        <c:axPos val="b"/>
        <c:numFmt formatCode="yyyy/m/d;@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88602032"/>
        <c:crosses val="autoZero"/>
        <c:auto val="1"/>
        <c:lblOffset val="100"/>
        <c:baseTimeUnit val="years"/>
      </c:dateAx>
      <c:valAx>
        <c:axId val="1988602032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88609712"/>
        <c:crosses val="max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altLang="zh-CN" sz="8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楷体" panose="02010609060101010101" pitchFamily="49" charset="-122"/>
              <a:ea typeface="楷体" panose="02010609060101010101" pitchFamily="49" charset="-122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ee63fda-27ea-4f1d-b00b-756c028c07e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美国前</a:t>
            </a:r>
            <a:r>
              <a:rPr lang="en-US" altLang="zh-CN"/>
              <a:t>10</a:t>
            </a:r>
            <a:r>
              <a:rPr lang="zh-CN" altLang="en-US"/>
              <a:t>公司持有占比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美国!$S$14:$S$124</c:f>
              <c:strCache>
                <c:ptCount val="111"/>
                <c:pt idx="0">
                  <c:v>iShares</c:v>
                </c:pt>
                <c:pt idx="1">
                  <c:v>Vanguard</c:v>
                </c:pt>
                <c:pt idx="2">
                  <c:v>State Street (SPDR/SSGA)</c:v>
                </c:pt>
                <c:pt idx="3">
                  <c:v>Jp Morgan</c:v>
                </c:pt>
                <c:pt idx="4">
                  <c:v>Schwab Strategic</c:v>
                </c:pt>
                <c:pt idx="5">
                  <c:v>Invesco</c:v>
                </c:pt>
                <c:pt idx="6">
                  <c:v>Pimco</c:v>
                </c:pt>
                <c:pt idx="7">
                  <c:v>Janus Detroit Street</c:v>
                </c:pt>
                <c:pt idx="8">
                  <c:v>First Trust</c:v>
                </c:pt>
                <c:pt idx="9">
                  <c:v>Fidelity Merrimack Street</c:v>
                </c:pt>
                <c:pt idx="10">
                  <c:v>Capital Group Fixed Income</c:v>
                </c:pt>
                <c:pt idx="11">
                  <c:v>Dimensional</c:v>
                </c:pt>
                <c:pt idx="12">
                  <c:v>Pgim</c:v>
                </c:pt>
                <c:pt idx="13">
                  <c:v>Vaneck</c:v>
                </c:pt>
                <c:pt idx="14">
                  <c:v>BlackRock</c:v>
                </c:pt>
                <c:pt idx="15">
                  <c:v>Wisdomtree</c:v>
                </c:pt>
                <c:pt idx="16">
                  <c:v>Franklin Templeton</c:v>
                </c:pt>
                <c:pt idx="17">
                  <c:v>Goldman Sachs</c:v>
                </c:pt>
                <c:pt idx="18">
                  <c:v>Morgan Stanley</c:v>
                </c:pt>
                <c:pt idx="19">
                  <c:v>RBB</c:v>
                </c:pt>
                <c:pt idx="20">
                  <c:v>Ab Active</c:v>
                </c:pt>
                <c:pt idx="21">
                  <c:v>BNY Mellon</c:v>
                </c:pt>
                <c:pt idx="22">
                  <c:v>Bondbloxx</c:v>
                </c:pt>
                <c:pt idx="23">
                  <c:v>Flexshares</c:v>
                </c:pt>
                <c:pt idx="24">
                  <c:v>Dws Xtrackers</c:v>
                </c:pt>
                <c:pt idx="25">
                  <c:v>Victory Portfolios</c:v>
                </c:pt>
                <c:pt idx="26">
                  <c:v>Nushares</c:v>
                </c:pt>
                <c:pt idx="27">
                  <c:v>Global X</c:v>
                </c:pt>
                <c:pt idx="28">
                  <c:v>T Rowe Price Exchange-traded Funds</c:v>
                </c:pt>
                <c:pt idx="29">
                  <c:v>Simplify Exchange Traded Funds</c:v>
                </c:pt>
                <c:pt idx="30">
                  <c:v>American Century</c:v>
                </c:pt>
                <c:pt idx="31">
                  <c:v>Direxion</c:v>
                </c:pt>
                <c:pt idx="32">
                  <c:v>Hartford Funds Exchange-traded</c:v>
                </c:pt>
                <c:pt idx="33">
                  <c:v>Tcw</c:v>
                </c:pt>
                <c:pt idx="34">
                  <c:v>Alps</c:v>
                </c:pt>
                <c:pt idx="35">
                  <c:v>New York Life Investment Management</c:v>
                </c:pt>
                <c:pt idx="36">
                  <c:v>Angel Oak Funds</c:v>
                </c:pt>
                <c:pt idx="37">
                  <c:v>Principal Exchange-traded Funds</c:v>
                </c:pt>
                <c:pt idx="38">
                  <c:v>ETFis Series Trust I</c:v>
                </c:pt>
                <c:pt idx="39">
                  <c:v>Doubleline</c:v>
                </c:pt>
                <c:pt idx="40">
                  <c:v>Tidal Trust</c:v>
                </c:pt>
                <c:pt idx="41">
                  <c:v>Northern Lights Fund Trust</c:v>
                </c:pt>
                <c:pt idx="42">
                  <c:v>ETF Series Solutions</c:v>
                </c:pt>
                <c:pt idx="43">
                  <c:v>Putnam</c:v>
                </c:pt>
                <c:pt idx="44">
                  <c:v>Columbia</c:v>
                </c:pt>
                <c:pt idx="45">
                  <c:v>Neos</c:v>
                </c:pt>
                <c:pt idx="46">
                  <c:v>Trust for Professional Managers</c:v>
                </c:pt>
                <c:pt idx="47">
                  <c:v>Series Portfolio Trust</c:v>
                </c:pt>
                <c:pt idx="48">
                  <c:v>Proshares</c:v>
                </c:pt>
                <c:pt idx="49">
                  <c:v>Neuberger Berman</c:v>
                </c:pt>
                <c:pt idx="50">
                  <c:v>Powershares Actively Managed</c:v>
                </c:pt>
                <c:pt idx="51">
                  <c:v>John Hancock</c:v>
                </c:pt>
                <c:pt idx="52">
                  <c:v>Virtus ETF Trust</c:v>
                </c:pt>
                <c:pt idx="53">
                  <c:v>Exchange-traded Concepts</c:v>
                </c:pt>
                <c:pt idx="54">
                  <c:v>Allspring Funds Management</c:v>
                </c:pt>
                <c:pt idx="55">
                  <c:v>Pacer</c:v>
                </c:pt>
                <c:pt idx="56">
                  <c:v>Kraneshares</c:v>
                </c:pt>
                <c:pt idx="57">
                  <c:v>Touchstone</c:v>
                </c:pt>
                <c:pt idx="58">
                  <c:v>Fidelity Covington</c:v>
                </c:pt>
                <c:pt idx="59">
                  <c:v>Ea Series</c:v>
                </c:pt>
                <c:pt idx="60">
                  <c:v>Thrivent</c:v>
                </c:pt>
                <c:pt idx="61">
                  <c:v>Federated Hermes</c:v>
                </c:pt>
                <c:pt idx="62">
                  <c:v>Amplify</c:v>
                </c:pt>
                <c:pt idx="63">
                  <c:v>Spend Life Wisely Funds Investment Tr</c:v>
                </c:pt>
                <c:pt idx="64">
                  <c:v>Professionally Managed Portfolios</c:v>
                </c:pt>
                <c:pt idx="65">
                  <c:v>Advisors' Inner Circle</c:v>
                </c:pt>
                <c:pt idx="66">
                  <c:v>Two Roads Shared Trust</c:v>
                </c:pt>
                <c:pt idx="67">
                  <c:v>Spinnaker ETF Trust</c:v>
                </c:pt>
                <c:pt idx="68">
                  <c:v>Harbor</c:v>
                </c:pt>
                <c:pt idx="69">
                  <c:v>Mfs Active Exchange Traded Funds</c:v>
                </c:pt>
                <c:pt idx="70">
                  <c:v>Horizons</c:v>
                </c:pt>
                <c:pt idx="71">
                  <c:v>Unified Series</c:v>
                </c:pt>
                <c:pt idx="72">
                  <c:v>Palmer Square Funds</c:v>
                </c:pt>
                <c:pt idx="73">
                  <c:v>Northern Funds</c:v>
                </c:pt>
                <c:pt idx="74">
                  <c:v>Cambria</c:v>
                </c:pt>
                <c:pt idx="75">
                  <c:v>Listed Funds Trust</c:v>
                </c:pt>
                <c:pt idx="76">
                  <c:v>Value Advisers</c:v>
                </c:pt>
                <c:pt idx="77">
                  <c:v>Roundhill</c:v>
                </c:pt>
                <c:pt idx="78">
                  <c:v>Collaborative Investment Series</c:v>
                </c:pt>
                <c:pt idx="79">
                  <c:v>Cohen &amp; Steers</c:v>
                </c:pt>
                <c:pt idx="80">
                  <c:v>Madison Funds</c:v>
                </c:pt>
                <c:pt idx="81">
                  <c:v>Quaker Investment</c:v>
                </c:pt>
                <c:pt idx="82">
                  <c:v>Innovator</c:v>
                </c:pt>
                <c:pt idx="83">
                  <c:v>Thornburg</c:v>
                </c:pt>
                <c:pt idx="84">
                  <c:v>Stone Ridge</c:v>
                </c:pt>
                <c:pt idx="85">
                  <c:v>Frontier</c:v>
                </c:pt>
                <c:pt idx="86">
                  <c:v>Kensington Asset Management</c:v>
                </c:pt>
                <c:pt idx="87">
                  <c:v>ETF Opportunities Trust</c:v>
                </c:pt>
                <c:pt idx="88">
                  <c:v>Exchange Place Advisors</c:v>
                </c:pt>
                <c:pt idx="89">
                  <c:v>Calamos</c:v>
                </c:pt>
                <c:pt idx="90">
                  <c:v>Arrow Investments</c:v>
                </c:pt>
                <c:pt idx="91">
                  <c:v>Investment Managers Series Trust</c:v>
                </c:pt>
                <c:pt idx="92">
                  <c:v>Man ETF Series</c:v>
                </c:pt>
                <c:pt idx="93">
                  <c:v>Nomura</c:v>
                </c:pt>
                <c:pt idx="94">
                  <c:v>Fundvantage</c:v>
                </c:pt>
                <c:pt idx="95">
                  <c:v>Little Harbor Funds</c:v>
                </c:pt>
                <c:pt idx="96">
                  <c:v>Carillon Series</c:v>
                </c:pt>
                <c:pt idx="97">
                  <c:v>Strategy Shares</c:v>
                </c:pt>
                <c:pt idx="98">
                  <c:v>Columbia ETF Trust I</c:v>
                </c:pt>
                <c:pt idx="99">
                  <c:v>Aberdeen Standard Investments</c:v>
                </c:pt>
                <c:pt idx="100">
                  <c:v>Gmo</c:v>
                </c:pt>
                <c:pt idx="101">
                  <c:v>Advisor Managed Portfolios</c:v>
                </c:pt>
                <c:pt idx="102">
                  <c:v>Build Funds</c:v>
                </c:pt>
                <c:pt idx="103">
                  <c:v>Amg</c:v>
                </c:pt>
                <c:pt idx="104">
                  <c:v>American Beacon Select Funds</c:v>
                </c:pt>
                <c:pt idx="105">
                  <c:v>Gabelli</c:v>
                </c:pt>
                <c:pt idx="106">
                  <c:v>Manager Directed Portfolios</c:v>
                </c:pt>
                <c:pt idx="107">
                  <c:v>X-square Series</c:v>
                </c:pt>
                <c:pt idx="108">
                  <c:v>Wisdomtree Digital</c:v>
                </c:pt>
                <c:pt idx="109">
                  <c:v>Abacus Fcf</c:v>
                </c:pt>
                <c:pt idx="110">
                  <c:v>Others</c:v>
                </c:pt>
              </c:strCache>
            </c:strRef>
          </c:cat>
          <c:val>
            <c:numRef>
              <c:f>美国!$U$14:$U$124</c:f>
              <c:numCache>
                <c:formatCode>0.00%</c:formatCode>
                <c:ptCount val="111"/>
                <c:pt idx="0">
                  <c:v>0.37272832443432</c:v>
                </c:pt>
                <c:pt idx="1">
                  <c:v>0.259432701399728</c:v>
                </c:pt>
                <c:pt idx="2">
                  <c:v>0.0758732236719829</c:v>
                </c:pt>
                <c:pt idx="3">
                  <c:v>0.0396150990451206</c:v>
                </c:pt>
                <c:pt idx="4">
                  <c:v>0.0315220053141325</c:v>
                </c:pt>
                <c:pt idx="5">
                  <c:v>0.0258516591971323</c:v>
                </c:pt>
                <c:pt idx="6">
                  <c:v>0.0203420884355713</c:v>
                </c:pt>
                <c:pt idx="7">
                  <c:v>0.0166460390849072</c:v>
                </c:pt>
                <c:pt idx="8">
                  <c:v>0.0156288142876895</c:v>
                </c:pt>
                <c:pt idx="9">
                  <c:v>0.01357928287194</c:v>
                </c:pt>
                <c:pt idx="10">
                  <c:v>0.0109916078221509</c:v>
                </c:pt>
                <c:pt idx="110">
                  <c:v>0.117789154435324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90b054a-3565-47f5-999c-86f5d29853a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美国基金策略占比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美国!$AF$3:$AF$12</c:f>
              <c:strCache>
                <c:ptCount val="10"/>
                <c:pt idx="0">
                  <c:v>地方债</c:v>
                </c:pt>
                <c:pt idx="1">
                  <c:v>抵押担保</c:v>
                </c:pt>
                <c:pt idx="2">
                  <c:v>公司债</c:v>
                </c:pt>
                <c:pt idx="3">
                  <c:v>合并</c:v>
                </c:pt>
                <c:pt idx="4">
                  <c:v>可转换债券</c:v>
                </c:pt>
                <c:pt idx="5">
                  <c:v>通胀保本</c:v>
                </c:pt>
                <c:pt idx="6">
                  <c:v>银行贷款</c:v>
                </c:pt>
                <c:pt idx="7">
                  <c:v>优先</c:v>
                </c:pt>
                <c:pt idx="8">
                  <c:v>政府</c:v>
                </c:pt>
                <c:pt idx="9">
                  <c:v>资产支持</c:v>
                </c:pt>
              </c:strCache>
            </c:strRef>
          </c:cat>
          <c:val>
            <c:numRef>
              <c:f>美国!$AH$3:$AH$12</c:f>
              <c:numCache>
                <c:formatCode>0.00%</c:formatCode>
                <c:ptCount val="10"/>
                <c:pt idx="0">
                  <c:v>0.169312169312169</c:v>
                </c:pt>
                <c:pt idx="1">
                  <c:v>0.0296296296296296</c:v>
                </c:pt>
                <c:pt idx="2">
                  <c:v>0.224338624338624</c:v>
                </c:pt>
                <c:pt idx="3">
                  <c:v>0.285714285714286</c:v>
                </c:pt>
                <c:pt idx="4">
                  <c:v>0.00846560846560847</c:v>
                </c:pt>
                <c:pt idx="5">
                  <c:v>0.0412698412698413</c:v>
                </c:pt>
                <c:pt idx="6">
                  <c:v>0.0158730158730159</c:v>
                </c:pt>
                <c:pt idx="7">
                  <c:v>0.0243386243386243</c:v>
                </c:pt>
                <c:pt idx="8">
                  <c:v>0.167195767195767</c:v>
                </c:pt>
                <c:pt idx="9">
                  <c:v>0.0338624338624339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57f4790-363a-4c14-85bd-5b66ebb5216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美国资产类别占比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美国!$AF$25:$AF$27</c:f>
              <c:strCache>
                <c:ptCount val="3"/>
                <c:pt idx="0">
                  <c:v>成长与收入型</c:v>
                </c:pt>
                <c:pt idx="1">
                  <c:v>反向操作型</c:v>
                </c:pt>
                <c:pt idx="2">
                  <c:v>增长</c:v>
                </c:pt>
              </c:strCache>
            </c:strRef>
          </c:cat>
          <c:val>
            <c:numRef>
              <c:f>美国!$AH$25:$AH$27</c:f>
              <c:numCache>
                <c:formatCode>0.00%</c:formatCode>
                <c:ptCount val="3"/>
                <c:pt idx="0">
                  <c:v>0.0107642626480086</c:v>
                </c:pt>
                <c:pt idx="1">
                  <c:v>0.946178686759957</c:v>
                </c:pt>
                <c:pt idx="2">
                  <c:v>0.0430570505920344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d57c650-624f-48d5-be2c-70e11a4c409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美国到期期限占比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美国!$AF$40:$AF$43</c:f>
              <c:strCache>
                <c:ptCount val="4"/>
                <c:pt idx="0">
                  <c:v>超短期</c:v>
                </c:pt>
                <c:pt idx="1">
                  <c:v>短期</c:v>
                </c:pt>
                <c:pt idx="2">
                  <c:v>长期</c:v>
                </c:pt>
                <c:pt idx="3">
                  <c:v>中期</c:v>
                </c:pt>
              </c:strCache>
            </c:strRef>
          </c:cat>
          <c:val>
            <c:numRef>
              <c:f>美国!$AH$40:$AH$43</c:f>
              <c:numCache>
                <c:formatCode>0.00%</c:formatCode>
                <c:ptCount val="4"/>
                <c:pt idx="0">
                  <c:v>0.14713216957606</c:v>
                </c:pt>
                <c:pt idx="1">
                  <c:v>0.264339152119701</c:v>
                </c:pt>
                <c:pt idx="2">
                  <c:v>0.256857855361596</c:v>
                </c:pt>
                <c:pt idx="3">
                  <c:v>0.331670822942643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c5010ed-69d1-4cd7-9926-49041b31cef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日本公司持有占比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日本!$R$7:$R$14</c:f>
              <c:strCache>
                <c:ptCount val="8"/>
                <c:pt idx="0">
                  <c:v>iShares ETFs/Japan</c:v>
                </c:pt>
                <c:pt idx="1">
                  <c:v>Nomura Asset Management Co Ltd</c:v>
                </c:pt>
                <c:pt idx="2">
                  <c:v>Amova Asset Management Co Ltd</c:v>
                </c:pt>
                <c:pt idx="3">
                  <c:v>Global X Japan Co Ltd</c:v>
                </c:pt>
                <c:pt idx="4">
                  <c:v>Daiwa Asset Management Co Ltd</c:v>
                </c:pt>
                <c:pt idx="5">
                  <c:v>Mitsubishi UFJ Asset Management Co Ltd</c:v>
                </c:pt>
                <c:pt idx="6">
                  <c:v>Norinchukin Zenkyoren Asset Management Co Ltd/Japan</c:v>
                </c:pt>
                <c:pt idx="7">
                  <c:v>BlackRock Japan Co Ltd</c:v>
                </c:pt>
              </c:strCache>
            </c:strRef>
          </c:cat>
          <c:val>
            <c:numRef>
              <c:f>日本!$T$7:$T$14</c:f>
              <c:numCache>
                <c:formatCode>0.00%</c:formatCode>
                <c:ptCount val="8"/>
                <c:pt idx="0">
                  <c:v>0.426580706356283</c:v>
                </c:pt>
                <c:pt idx="1">
                  <c:v>0.355398832821803</c:v>
                </c:pt>
                <c:pt idx="2">
                  <c:v>0.122100627860986</c:v>
                </c:pt>
                <c:pt idx="3">
                  <c:v>0.0400965870655117</c:v>
                </c:pt>
                <c:pt idx="4">
                  <c:v>0.0338061488357789</c:v>
                </c:pt>
                <c:pt idx="5">
                  <c:v>0.0174131586640254</c:v>
                </c:pt>
                <c:pt idx="6">
                  <c:v>0.0030349336738401</c:v>
                </c:pt>
                <c:pt idx="7">
                  <c:v>0.00156900472177146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be70a93-7eb5-40ad-a26d-e204b24b2fb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日本基金策略占比</a:t>
            </a:r>
            <a:endParaRPr lang="zh-CN" alt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日本!$AG$3:$AG$7</c:f>
              <c:strCache>
                <c:ptCount val="5"/>
                <c:pt idx="0">
                  <c:v>抵押担保</c:v>
                </c:pt>
                <c:pt idx="1">
                  <c:v>公司债</c:v>
                </c:pt>
                <c:pt idx="2">
                  <c:v>合并</c:v>
                </c:pt>
                <c:pt idx="3">
                  <c:v>优先</c:v>
                </c:pt>
                <c:pt idx="4">
                  <c:v>政府</c:v>
                </c:pt>
              </c:strCache>
            </c:strRef>
          </c:cat>
          <c:val>
            <c:numRef>
              <c:f>日本!$AI$3:$AI$7</c:f>
              <c:numCache>
                <c:formatCode>0.00%</c:formatCode>
                <c:ptCount val="5"/>
                <c:pt idx="0">
                  <c:v>0.015625</c:v>
                </c:pt>
                <c:pt idx="1">
                  <c:v>0.125</c:v>
                </c:pt>
                <c:pt idx="2">
                  <c:v>0.015625</c:v>
                </c:pt>
                <c:pt idx="3">
                  <c:v>0.03125</c:v>
                </c:pt>
                <c:pt idx="4">
                  <c:v>0.8125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2817d50-4658-4a39-acfa-013fca08045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日本资产类别占比</a:t>
            </a:r>
            <a:endParaRPr lang="zh-CN" alt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日本!$AG$15:$AG$17</c:f>
              <c:strCache>
                <c:ptCount val="3"/>
                <c:pt idx="0">
                  <c:v>成长与收入型</c:v>
                </c:pt>
                <c:pt idx="1">
                  <c:v>反向操作型</c:v>
                </c:pt>
                <c:pt idx="2">
                  <c:v>增长</c:v>
                </c:pt>
              </c:strCache>
            </c:strRef>
          </c:cat>
          <c:val>
            <c:numRef>
              <c:f>日本!$AI$15:$AI$17</c:f>
              <c:numCache>
                <c:formatCode>0.00%</c:formatCode>
                <c:ptCount val="3"/>
                <c:pt idx="0">
                  <c:v>0.0833333333333333</c:v>
                </c:pt>
                <c:pt idx="1">
                  <c:v>0.8</c:v>
                </c:pt>
                <c:pt idx="2">
                  <c:v>0.116666666666667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cf1b0d6-a408-4aa9-b43f-2df6ea2b604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日本到期期限占比</a:t>
            </a:r>
            <a:endParaRPr lang="zh-CN" alt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日本!$AG$27:$AG$30</c:f>
              <c:strCache>
                <c:ptCount val="4"/>
                <c:pt idx="0">
                  <c:v>超短期</c:v>
                </c:pt>
                <c:pt idx="1">
                  <c:v>短期</c:v>
                </c:pt>
                <c:pt idx="2">
                  <c:v>长期</c:v>
                </c:pt>
                <c:pt idx="3">
                  <c:v>中期</c:v>
                </c:pt>
              </c:strCache>
            </c:strRef>
          </c:cat>
          <c:val>
            <c:numRef>
              <c:f>日本!$AI$27:$AI$30</c:f>
              <c:numCache>
                <c:formatCode>0.00%</c:formatCode>
                <c:ptCount val="4"/>
                <c:pt idx="0">
                  <c:v>0.027027027027027</c:v>
                </c:pt>
                <c:pt idx="1">
                  <c:v>0.0810810810810811</c:v>
                </c:pt>
                <c:pt idx="2">
                  <c:v>0.243243243243243</c:v>
                </c:pt>
                <c:pt idx="3">
                  <c:v>0.648648648648649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7ef87bc-e2fc-4b37-ae73-ba4b0c2df76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新加坡公司持有占比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新加坡!$R$3:$R$7</c:f>
              <c:strCache>
                <c:ptCount val="5"/>
                <c:pt idx="0">
                  <c:v>State Street ETFs/Singapore</c:v>
                </c:pt>
                <c:pt idx="1">
                  <c:v>Amova Asset Management Asia Ltd</c:v>
                </c:pt>
                <c:pt idx="2">
                  <c:v>iShares ETFs/Singapore</c:v>
                </c:pt>
                <c:pt idx="3">
                  <c:v>CSOP Asset Management Pvt Ltd/Singapore</c:v>
                </c:pt>
                <c:pt idx="4">
                  <c:v>Lion Global Investors Ltd</c:v>
                </c:pt>
              </c:strCache>
            </c:strRef>
          </c:cat>
          <c:val>
            <c:numRef>
              <c:f>新加坡!$S$3:$S$7</c:f>
              <c:numCache>
                <c:formatCode>0.00%</c:formatCode>
                <c:ptCount val="5"/>
                <c:pt idx="0">
                  <c:v>0.575859361061797</c:v>
                </c:pt>
                <c:pt idx="1">
                  <c:v>0.248924427701946</c:v>
                </c:pt>
                <c:pt idx="2">
                  <c:v>0.123653377633361</c:v>
                </c:pt>
                <c:pt idx="3">
                  <c:v>0.0297695891620919</c:v>
                </c:pt>
                <c:pt idx="4">
                  <c:v>0.0217932444408048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a7ecbb3-c255-4a9e-983f-00d9df64c65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新加坡基金策略占比</a:t>
            </a:r>
            <a:endParaRPr lang="zh-CN" alt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layout>
        <c:manualLayout>
          <c:xMode val="edge"/>
          <c:yMode val="edge"/>
          <c:x val="0.413888888888889"/>
          <c:y val="0.032407407407407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新加坡!$N$30:$N$32</c:f>
              <c:strCache>
                <c:ptCount val="3"/>
                <c:pt idx="0">
                  <c:v>公司债</c:v>
                </c:pt>
                <c:pt idx="1">
                  <c:v>合并</c:v>
                </c:pt>
                <c:pt idx="2">
                  <c:v>政府</c:v>
                </c:pt>
              </c:strCache>
            </c:strRef>
          </c:cat>
          <c:val>
            <c:numRef>
              <c:f>新加坡!$P$30:$P$32</c:f>
              <c:numCache>
                <c:formatCode>0.00%</c:formatCode>
                <c:ptCount val="3"/>
                <c:pt idx="0">
                  <c:v>0.125</c:v>
                </c:pt>
                <c:pt idx="1">
                  <c:v>0.375</c:v>
                </c:pt>
                <c:pt idx="2">
                  <c:v>0.5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60e8c6c-fb31-4fc4-bea6-9c3f550aca5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新加坡到期期限占比</a:t>
            </a:r>
            <a:endParaRPr lang="zh-CN" alt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layout>
        <c:manualLayout>
          <c:xMode val="edge"/>
          <c:yMode val="edge"/>
          <c:x val="0.394236201725269"/>
          <c:y val="0.036829835646858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新加坡!$N$45:$N$46</c:f>
              <c:strCache>
                <c:ptCount val="2"/>
                <c:pt idx="0">
                  <c:v>短期</c:v>
                </c:pt>
                <c:pt idx="1">
                  <c:v>中期</c:v>
                </c:pt>
              </c:strCache>
            </c:strRef>
          </c:cat>
          <c:val>
            <c:numRef>
              <c:f>新加坡!$P$45:$P$46</c:f>
              <c:numCache>
                <c:formatCode>0.00%</c:formatCode>
                <c:ptCount val="2"/>
                <c:pt idx="0">
                  <c:v>0.333</c:v>
                </c:pt>
                <c:pt idx="1">
                  <c:v>0.667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08e9ee0-546a-4d70-a932-13318c22cee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新加坡资产类别占比</a:t>
            </a:r>
            <a:endParaRPr lang="zh-CN" alt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新加坡!$N$39</c:f>
              <c:strCache>
                <c:ptCount val="1"/>
                <c:pt idx="0">
                  <c:v>反向操作型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layout/>
              <c:tx>
                <c:rich>
                  <a:bodyPr rot="0" spcFirstLastPara="1" vertOverflow="clip" vert="horz" wrap="square" lIns="38100" tIns="19050" rIns="38100" bIns="19050" anchor="ctr" anchorCtr="1"/>
                  <a:lstStyle/>
                  <a:p>
                    <a:pPr>
                      <a:defRPr lang="zh-CN" sz="900" b="0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zh-CN" altLang="en-US" baseline="0"/>
                      <a:t>
反向操作型</a:t>
                    </a:r>
                    <a:r>
                      <a:rPr lang="en-US" altLang="zh-CN" baseline="0"/>
                      <a:t>100%</a:t>
                    </a:r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新加坡!$P$38</c:f>
              <c:strCache>
                <c:ptCount val="1"/>
                <c:pt idx="0">
                  <c:v>占比</c:v>
                </c:pt>
              </c:strCache>
            </c:strRef>
          </c:cat>
          <c:val>
            <c:numRef>
              <c:f>新加坡!$P$39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5b2bdf9-6b9d-4778-9ca5-4e707fa4987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香港公司持有占比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香港!$S$5:$S$12</c:f>
              <c:strCache>
                <c:ptCount val="8"/>
                <c:pt idx="0">
                  <c:v>CSOP Asset Management Ltd/Hong Kong</c:v>
                </c:pt>
                <c:pt idx="1">
                  <c:v>iShares ETFs/Hong Kong</c:v>
                </c:pt>
                <c:pt idx="2">
                  <c:v>HSBC Investment Funds Ltd/Hong Kong</c:v>
                </c:pt>
                <c:pt idx="3">
                  <c:v>Premia Partners Co Ltd/Hong Kong</c:v>
                </c:pt>
                <c:pt idx="4">
                  <c:v>Mirae Asset Global Investments Hong Kong Ltd/HK</c:v>
                </c:pt>
                <c:pt idx="5">
                  <c:v>Hang Seng Investment Management Ltd</c:v>
                </c:pt>
                <c:pt idx="6">
                  <c:v>China Asset Management Hong Kong Ltd</c:v>
                </c:pt>
                <c:pt idx="7">
                  <c:v>Bosera Asset Management International Co Ltd/Hong Kong</c:v>
                </c:pt>
              </c:strCache>
            </c:strRef>
          </c:cat>
          <c:val>
            <c:numRef>
              <c:f>香港!$T$5:$T$12</c:f>
              <c:numCache>
                <c:formatCode>0.00%</c:formatCode>
                <c:ptCount val="8"/>
                <c:pt idx="0">
                  <c:v>0.38757987747442</c:v>
                </c:pt>
                <c:pt idx="1">
                  <c:v>0.243528586982653</c:v>
                </c:pt>
                <c:pt idx="2">
                  <c:v>0.159681051529938</c:v>
                </c:pt>
                <c:pt idx="3">
                  <c:v>0.128293408791765</c:v>
                </c:pt>
                <c:pt idx="4">
                  <c:v>0.0452808169779551</c:v>
                </c:pt>
                <c:pt idx="5">
                  <c:v>0.0218236992513819</c:v>
                </c:pt>
                <c:pt idx="6">
                  <c:v>0.0133250286831931</c:v>
                </c:pt>
                <c:pt idx="7">
                  <c:v>0.000487530308694019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50fc718-e2e2-49a7-91aa-3a44b331c23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香港基金策略占比</a:t>
            </a:r>
            <a:endParaRPr lang="zh-CN" alt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香港!$M$41:$M$44</c:f>
              <c:strCache>
                <c:ptCount val="4"/>
                <c:pt idx="0">
                  <c:v>公司债</c:v>
                </c:pt>
                <c:pt idx="1">
                  <c:v>合并</c:v>
                </c:pt>
                <c:pt idx="2">
                  <c:v>银行贷款</c:v>
                </c:pt>
                <c:pt idx="3">
                  <c:v>政府</c:v>
                </c:pt>
              </c:strCache>
            </c:strRef>
          </c:cat>
          <c:val>
            <c:numRef>
              <c:f>香港!$O$41:$O$44</c:f>
              <c:numCache>
                <c:formatCode>0.00%</c:formatCode>
                <c:ptCount val="4"/>
                <c:pt idx="0">
                  <c:v>0.0526315789473684</c:v>
                </c:pt>
                <c:pt idx="1">
                  <c:v>0.210526315789474</c:v>
                </c:pt>
                <c:pt idx="2">
                  <c:v>0.0526315789473684</c:v>
                </c:pt>
                <c:pt idx="3">
                  <c:v>0.684210526315789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b714f70-abdd-43a0-b810-61f35a45248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香港资产类别占比</a:t>
            </a:r>
            <a:endParaRPr lang="zh-CN" alt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香港!$M$52:$M$55</c:f>
              <c:strCache>
                <c:ptCount val="4"/>
                <c:pt idx="0">
                  <c:v>超短期</c:v>
                </c:pt>
                <c:pt idx="1">
                  <c:v>短期</c:v>
                </c:pt>
                <c:pt idx="2">
                  <c:v>长期</c:v>
                </c:pt>
                <c:pt idx="3">
                  <c:v>中期</c:v>
                </c:pt>
              </c:strCache>
            </c:strRef>
          </c:cat>
          <c:val>
            <c:numRef>
              <c:f>香港!$O$52:$O$55</c:f>
              <c:numCache>
                <c:formatCode>0.00%</c:formatCode>
                <c:ptCount val="4"/>
                <c:pt idx="0">
                  <c:v>0.1</c:v>
                </c:pt>
                <c:pt idx="1">
                  <c:v>0.2</c:v>
                </c:pt>
                <c:pt idx="2">
                  <c:v>0.4</c:v>
                </c:pt>
                <c:pt idx="3">
                  <c:v>0.3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409c2f5-ec43-4070-b2f8-169f1f497f8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香港到期期限占比</a:t>
            </a:r>
            <a:endParaRPr lang="zh-CN" alt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香港!$M$63</c:f>
              <c:strCache>
                <c:ptCount val="1"/>
                <c:pt idx="0">
                  <c:v>反向操作型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layout/>
              <c:tx>
                <c:rich>
                  <a:bodyPr rot="0" spcFirstLastPara="1" vertOverflow="clip" vert="horz" wrap="square" lIns="38100" tIns="19050" rIns="38100" bIns="19050" anchor="ctr" anchorCtr="1"/>
                  <a:lstStyle/>
                  <a:p>
                    <a:pPr>
                      <a:defRPr lang="zh-CN" sz="900" b="0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zh-CN" altLang="en-US"/>
                      <a:t>反向操作型</a:t>
                    </a:r>
                    <a:r>
                      <a:rPr lang="en-US" altLang="zh-CN"/>
                      <a:t>100%</a:t>
                    </a:r>
                    <a:endParaRPr lang="en-US" altLang="zh-CN"/>
                  </a:p>
                </c:rich>
              </c:tx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香港!$O$63</c:f>
              <c:numCache>
                <c:formatCode>0.00%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a5fab29-279c-4069-9e28-eb15d874827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chart" Target="../charts/chart5.xml"/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4" Type="http://schemas.openxmlformats.org/officeDocument/2006/relationships/chart" Target="../charts/chart9.xml"/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4" Type="http://schemas.openxmlformats.org/officeDocument/2006/relationships/chart" Target="../charts/chart13.xml"/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4" Type="http://schemas.openxmlformats.org/officeDocument/2006/relationships/chart" Target="../charts/chart17.xml"/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6.xml.rels><?xml version="1.0" encoding="UTF-8" standalone="yes"?>
<Relationships xmlns="http://schemas.openxmlformats.org/package/2006/relationships"><Relationship Id="rId4" Type="http://schemas.openxmlformats.org/officeDocument/2006/relationships/chart" Target="../charts/chart21.xml"/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396875</xdr:colOff>
      <xdr:row>10</xdr:row>
      <xdr:rowOff>168275</xdr:rowOff>
    </xdr:from>
    <xdr:to>
      <xdr:col>15</xdr:col>
      <xdr:colOff>212725</xdr:colOff>
      <xdr:row>26</xdr:row>
      <xdr:rowOff>66675</xdr:rowOff>
    </xdr:to>
    <xdr:graphicFrame>
      <xdr:nvGraphicFramePr>
        <xdr:cNvPr id="2" name="图表 1"/>
        <xdr:cNvGraphicFramePr/>
      </xdr:nvGraphicFramePr>
      <xdr:xfrm>
        <a:off x="7210425" y="1952625"/>
        <a:ext cx="56642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28</xdr:row>
      <xdr:rowOff>47625</xdr:rowOff>
    </xdr:from>
    <xdr:to>
      <xdr:col>3</xdr:col>
      <xdr:colOff>977900</xdr:colOff>
      <xdr:row>44</xdr:row>
      <xdr:rowOff>38100</xdr:rowOff>
    </xdr:to>
    <xdr:graphicFrame>
      <xdr:nvGraphicFramePr>
        <xdr:cNvPr id="4" name="图表 3"/>
        <xdr:cNvGraphicFramePr/>
      </xdr:nvGraphicFramePr>
      <xdr:xfrm>
        <a:off x="0" y="5026025"/>
        <a:ext cx="4546600" cy="28352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231775</xdr:colOff>
      <xdr:row>28</xdr:row>
      <xdr:rowOff>60325</xdr:rowOff>
    </xdr:from>
    <xdr:to>
      <xdr:col>8</xdr:col>
      <xdr:colOff>257175</xdr:colOff>
      <xdr:row>43</xdr:row>
      <xdr:rowOff>136525</xdr:rowOff>
    </xdr:to>
    <xdr:graphicFrame>
      <xdr:nvGraphicFramePr>
        <xdr:cNvPr id="6" name="图表 5"/>
        <xdr:cNvGraphicFramePr/>
      </xdr:nvGraphicFramePr>
      <xdr:xfrm>
        <a:off x="4937125" y="5038725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46</xdr:row>
      <xdr:rowOff>155575</xdr:rowOff>
    </xdr:from>
    <xdr:to>
      <xdr:col>3</xdr:col>
      <xdr:colOff>1003300</xdr:colOff>
      <xdr:row>62</xdr:row>
      <xdr:rowOff>53975</xdr:rowOff>
    </xdr:to>
    <xdr:graphicFrame>
      <xdr:nvGraphicFramePr>
        <xdr:cNvPr id="7" name="图表 6"/>
        <xdr:cNvGraphicFramePr/>
      </xdr:nvGraphicFramePr>
      <xdr:xfrm>
        <a:off x="0" y="8334375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276225</xdr:colOff>
      <xdr:row>46</xdr:row>
      <xdr:rowOff>174625</xdr:rowOff>
    </xdr:from>
    <xdr:to>
      <xdr:col>8</xdr:col>
      <xdr:colOff>301625</xdr:colOff>
      <xdr:row>62</xdr:row>
      <xdr:rowOff>73025</xdr:rowOff>
    </xdr:to>
    <xdr:graphicFrame>
      <xdr:nvGraphicFramePr>
        <xdr:cNvPr id="8" name="图表 7"/>
        <xdr:cNvGraphicFramePr/>
      </xdr:nvGraphicFramePr>
      <xdr:xfrm>
        <a:off x="4981575" y="8353425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17</xdr:col>
      <xdr:colOff>324076</xdr:colOff>
      <xdr:row>124</xdr:row>
      <xdr:rowOff>83350</xdr:rowOff>
    </xdr:from>
    <xdr:to>
      <xdr:col>20</xdr:col>
      <xdr:colOff>440492</xdr:colOff>
      <xdr:row>139</xdr:row>
      <xdr:rowOff>144754</xdr:rowOff>
    </xdr:to>
    <xdr:graphicFrame>
      <xdr:nvGraphicFramePr>
        <xdr:cNvPr id="5" name="图表 4"/>
        <xdr:cNvGraphicFramePr/>
      </xdr:nvGraphicFramePr>
      <xdr:xfrm>
        <a:off x="22066250" y="22231985"/>
        <a:ext cx="4567555" cy="2727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34</xdr:col>
      <xdr:colOff>381000</xdr:colOff>
      <xdr:row>2</xdr:row>
      <xdr:rowOff>93437</xdr:rowOff>
    </xdr:from>
    <xdr:to>
      <xdr:col>41</xdr:col>
      <xdr:colOff>571500</xdr:colOff>
      <xdr:row>17</xdr:row>
      <xdr:rowOff>87994</xdr:rowOff>
    </xdr:to>
    <xdr:graphicFrame>
      <xdr:nvGraphicFramePr>
        <xdr:cNvPr id="2" name="图表 1"/>
        <xdr:cNvGraphicFramePr/>
      </xdr:nvGraphicFramePr>
      <xdr:xfrm>
        <a:off x="52349400" y="499745"/>
        <a:ext cx="4591050" cy="26866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426358</xdr:colOff>
      <xdr:row>22</xdr:row>
      <xdr:rowOff>57151</xdr:rowOff>
    </xdr:from>
    <xdr:to>
      <xdr:col>41</xdr:col>
      <xdr:colOff>616858</xdr:colOff>
      <xdr:row>37</xdr:row>
      <xdr:rowOff>60780</xdr:rowOff>
    </xdr:to>
    <xdr:graphicFrame>
      <xdr:nvGraphicFramePr>
        <xdr:cNvPr id="3" name="图表 2"/>
        <xdr:cNvGraphicFramePr/>
      </xdr:nvGraphicFramePr>
      <xdr:xfrm>
        <a:off x="52394485" y="4044950"/>
        <a:ext cx="4591050" cy="26955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417286</xdr:colOff>
      <xdr:row>41</xdr:row>
      <xdr:rowOff>111578</xdr:rowOff>
    </xdr:from>
    <xdr:to>
      <xdr:col>41</xdr:col>
      <xdr:colOff>607786</xdr:colOff>
      <xdr:row>56</xdr:row>
      <xdr:rowOff>133350</xdr:rowOff>
    </xdr:to>
    <xdr:graphicFrame>
      <xdr:nvGraphicFramePr>
        <xdr:cNvPr id="6" name="图表 5"/>
        <xdr:cNvGraphicFramePr/>
      </xdr:nvGraphicFramePr>
      <xdr:xfrm>
        <a:off x="52385595" y="7502525"/>
        <a:ext cx="4591050" cy="26892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581024</xdr:colOff>
      <xdr:row>16</xdr:row>
      <xdr:rowOff>117474</xdr:rowOff>
    </xdr:from>
    <xdr:to>
      <xdr:col>16</xdr:col>
      <xdr:colOff>1123949</xdr:colOff>
      <xdr:row>33</xdr:row>
      <xdr:rowOff>82549</xdr:rowOff>
    </xdr:to>
    <xdr:graphicFrame>
      <xdr:nvGraphicFramePr>
        <xdr:cNvPr id="3" name="图表 2"/>
        <xdr:cNvGraphicFramePr/>
      </xdr:nvGraphicFramePr>
      <xdr:xfrm>
        <a:off x="10518140" y="3088640"/>
        <a:ext cx="4429125" cy="29876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37</xdr:col>
      <xdr:colOff>8842</xdr:colOff>
      <xdr:row>0</xdr:row>
      <xdr:rowOff>0</xdr:rowOff>
    </xdr:from>
    <xdr:to>
      <xdr:col>44</xdr:col>
      <xdr:colOff>304639</xdr:colOff>
      <xdr:row>14</xdr:row>
      <xdr:rowOff>130858</xdr:rowOff>
    </xdr:to>
    <xdr:graphicFrame>
      <xdr:nvGraphicFramePr>
        <xdr:cNvPr id="2" name="图表 1"/>
        <xdr:cNvGraphicFramePr/>
      </xdr:nvGraphicFramePr>
      <xdr:xfrm>
        <a:off x="40495855" y="0"/>
        <a:ext cx="4563110" cy="27470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37</xdr:col>
      <xdr:colOff>81185</xdr:colOff>
      <xdr:row>15</xdr:row>
      <xdr:rowOff>63180</xdr:rowOff>
    </xdr:from>
    <xdr:to>
      <xdr:col>44</xdr:col>
      <xdr:colOff>376982</xdr:colOff>
      <xdr:row>30</xdr:row>
      <xdr:rowOff>153848</xdr:rowOff>
    </xdr:to>
    <xdr:graphicFrame>
      <xdr:nvGraphicFramePr>
        <xdr:cNvPr id="4" name="图表 3"/>
        <xdr:cNvGraphicFramePr/>
      </xdr:nvGraphicFramePr>
      <xdr:xfrm>
        <a:off x="40568245" y="2856865"/>
        <a:ext cx="4563110" cy="27578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36</xdr:col>
      <xdr:colOff>426816</xdr:colOff>
      <xdr:row>33</xdr:row>
      <xdr:rowOff>31027</xdr:rowOff>
    </xdr:from>
    <xdr:to>
      <xdr:col>44</xdr:col>
      <xdr:colOff>111727</xdr:colOff>
      <xdr:row>48</xdr:row>
      <xdr:rowOff>121695</xdr:rowOff>
    </xdr:to>
    <xdr:graphicFrame>
      <xdr:nvGraphicFramePr>
        <xdr:cNvPr id="5" name="图表 4"/>
        <xdr:cNvGraphicFramePr/>
      </xdr:nvGraphicFramePr>
      <xdr:xfrm>
        <a:off x="40304720" y="6024880"/>
        <a:ext cx="4561205" cy="27578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14</xdr:col>
      <xdr:colOff>808743</xdr:colOff>
      <xdr:row>10</xdr:row>
      <xdr:rowOff>85590</xdr:rowOff>
    </xdr:from>
    <xdr:to>
      <xdr:col>16</xdr:col>
      <xdr:colOff>844996</xdr:colOff>
      <xdr:row>25</xdr:row>
      <xdr:rowOff>162236</xdr:rowOff>
    </xdr:to>
    <xdr:graphicFrame>
      <xdr:nvGraphicFramePr>
        <xdr:cNvPr id="2" name="图表 1"/>
        <xdr:cNvGraphicFramePr/>
      </xdr:nvGraphicFramePr>
      <xdr:xfrm>
        <a:off x="11844655" y="1913890"/>
        <a:ext cx="4570095" cy="27438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1431562</xdr:colOff>
      <xdr:row>16</xdr:row>
      <xdr:rowOff>135521</xdr:rowOff>
    </xdr:from>
    <xdr:to>
      <xdr:col>22</xdr:col>
      <xdr:colOff>457360</xdr:colOff>
      <xdr:row>31</xdr:row>
      <xdr:rowOff>145810</xdr:rowOff>
    </xdr:to>
    <xdr:graphicFrame>
      <xdr:nvGraphicFramePr>
        <xdr:cNvPr id="3" name="图表 2"/>
        <xdr:cNvGraphicFramePr/>
      </xdr:nvGraphicFramePr>
      <xdr:xfrm>
        <a:off x="17001490" y="3030855"/>
        <a:ext cx="4563110" cy="2753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1343145</xdr:colOff>
      <xdr:row>50</xdr:row>
      <xdr:rowOff>95330</xdr:rowOff>
    </xdr:from>
    <xdr:to>
      <xdr:col>22</xdr:col>
      <xdr:colOff>368943</xdr:colOff>
      <xdr:row>66</xdr:row>
      <xdr:rowOff>9163</xdr:rowOff>
    </xdr:to>
    <xdr:graphicFrame>
      <xdr:nvGraphicFramePr>
        <xdr:cNvPr id="5" name="图表 4"/>
        <xdr:cNvGraphicFramePr/>
      </xdr:nvGraphicFramePr>
      <xdr:xfrm>
        <a:off x="16913225" y="9112250"/>
        <a:ext cx="4563110" cy="2758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1310994</xdr:colOff>
      <xdr:row>32</xdr:row>
      <xdr:rowOff>87292</xdr:rowOff>
    </xdr:from>
    <xdr:to>
      <xdr:col>22</xdr:col>
      <xdr:colOff>336792</xdr:colOff>
      <xdr:row>48</xdr:row>
      <xdr:rowOff>1125</xdr:rowOff>
    </xdr:to>
    <xdr:graphicFrame>
      <xdr:nvGraphicFramePr>
        <xdr:cNvPr id="6" name="图表 5"/>
        <xdr:cNvGraphicFramePr/>
      </xdr:nvGraphicFramePr>
      <xdr:xfrm>
        <a:off x="16880840" y="5903595"/>
        <a:ext cx="4563110" cy="2758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1719684</xdr:colOff>
      <xdr:row>13</xdr:row>
      <xdr:rowOff>128889</xdr:rowOff>
    </xdr:from>
    <xdr:to>
      <xdr:col>17</xdr:col>
      <xdr:colOff>627484</xdr:colOff>
      <xdr:row>29</xdr:row>
      <xdr:rowOff>24114</xdr:rowOff>
    </xdr:to>
    <xdr:graphicFrame>
      <xdr:nvGraphicFramePr>
        <xdr:cNvPr id="2" name="图表 1"/>
        <xdr:cNvGraphicFramePr/>
      </xdr:nvGraphicFramePr>
      <xdr:xfrm>
        <a:off x="14616430" y="2592070"/>
        <a:ext cx="4572000" cy="27400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394664</xdr:colOff>
      <xdr:row>30</xdr:row>
      <xdr:rowOff>6911</xdr:rowOff>
    </xdr:from>
    <xdr:to>
      <xdr:col>16</xdr:col>
      <xdr:colOff>851221</xdr:colOff>
      <xdr:row>45</xdr:row>
      <xdr:rowOff>129731</xdr:rowOff>
    </xdr:to>
    <xdr:graphicFrame>
      <xdr:nvGraphicFramePr>
        <xdr:cNvPr id="3" name="图表 2"/>
        <xdr:cNvGraphicFramePr/>
      </xdr:nvGraphicFramePr>
      <xdr:xfrm>
        <a:off x="13291185" y="5492750"/>
        <a:ext cx="4571365" cy="2758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402703</xdr:colOff>
      <xdr:row>46</xdr:row>
      <xdr:rowOff>39064</xdr:rowOff>
    </xdr:from>
    <xdr:to>
      <xdr:col>16</xdr:col>
      <xdr:colOff>859260</xdr:colOff>
      <xdr:row>61</xdr:row>
      <xdr:rowOff>129732</xdr:rowOff>
    </xdr:to>
    <xdr:graphicFrame>
      <xdr:nvGraphicFramePr>
        <xdr:cNvPr id="4" name="图表 3"/>
        <xdr:cNvGraphicFramePr/>
      </xdr:nvGraphicFramePr>
      <xdr:xfrm>
        <a:off x="13299440" y="8338185"/>
        <a:ext cx="4571365" cy="27578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370551</xdr:colOff>
      <xdr:row>63</xdr:row>
      <xdr:rowOff>119443</xdr:rowOff>
    </xdr:from>
    <xdr:to>
      <xdr:col>16</xdr:col>
      <xdr:colOff>827108</xdr:colOff>
      <xdr:row>79</xdr:row>
      <xdr:rowOff>33276</xdr:rowOff>
    </xdr:to>
    <xdr:graphicFrame>
      <xdr:nvGraphicFramePr>
        <xdr:cNvPr id="5" name="图表 4"/>
        <xdr:cNvGraphicFramePr/>
      </xdr:nvGraphicFramePr>
      <xdr:xfrm>
        <a:off x="13267055" y="11441430"/>
        <a:ext cx="4571365" cy="2758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_rels/pivotCacheDefinition1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.xml"/></Relationships>
</file>

<file path=xl/pivotCache/_rels/pivotCacheDefinition1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4.xml"/></Relationships>
</file>

<file path=xl/pivotCache/_rels/pivotCacheDefinition1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5.xml"/></Relationships>
</file>

<file path=xl/pivotCache/_rels/pivotCacheDefinition1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6.xml"/></Relationships>
</file>

<file path=xl/pivotCache/_rels/pivotCacheDefinition1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7.xml"/></Relationships>
</file>

<file path=xl/pivotCache/_rels/pivotCacheDefinition1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8.xml"/></Relationships>
</file>

<file path=xl/pivotCache/_rels/pivotCacheDefinition1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9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050.0464585648" refreshedBy="wuyan" recordCount="947">
  <cacheSource type="worksheet">
    <worksheetSource ref="M6:N953" sheet="美国"/>
  </cacheSource>
  <cacheFields count="2">
    <cacheField name="母公司名称_x000a_" numFmtId="0">
      <sharedItems containsBlank="1" count="161">
        <s v="Rex Shares/ETF Opportunities Trust"/>
        <s v="Calamos ETF Trust"/>
        <s v="First Trust Exchange-Traded Fund IV"/>
        <s v="Tidal Trust II"/>
        <s v="Tidal Trust I"/>
        <s v="SPDR Series Trust"/>
        <s v="iShares Trust"/>
        <s v="VanEck ETFs/USA"/>
        <s v="Global X ETFs/USA"/>
        <s v="WisdomTree ETFs/USA"/>
        <s v="Innovator ETF Trust"/>
        <s v="ETFis Series Trust I/Virtus ETF Advisers LLC"/>
        <s v="Cambria ETF Trust"/>
        <s v="Columbia ETFs/USA"/>
        <s v="Collaborative Investment Series Trust"/>
        <s v="Pimco ETF Trust"/>
        <s v="Direxion ETFs/USA"/>
        <s v="Simplify Exchange Traded Funds"/>
        <s v="RBB Fund Trust/The"/>
        <s v="DWS Xtrackers ETFs/USA"/>
        <s v="KraneShares Trust"/>
        <s v="Virtus ETF Trust II"/>
        <s v="X-Square Series Trust"/>
        <s v="Listed Funds Trust"/>
        <s v="Invesco Exchange-Traded Fund Trust"/>
        <s v="ProShares Trust"/>
        <s v="Cohen &amp; Steers ETF Trust"/>
        <s v="Northern Lights Fund Trust IV/Kingsview Wealth Management LLC"/>
        <s v="FlexShares ETFs/USA"/>
        <s v="Invesco Exchange-Traded Self-Indexed Fund Trust"/>
        <s v="Invesco Exchange-Traded Fund Trust II"/>
        <s v="ALPS ETF Trust"/>
        <s v="BondBloxx ETF Trust"/>
        <s v="John Hancock Exchange-Traded Fund Trust"/>
        <s v="Exchange-Traded Concepts ETFs/USA"/>
        <s v="Fidelity Covington Trust"/>
        <s v="Vanguard World Fund"/>
        <s v="Morgan Stanley Etf Trust"/>
        <s v="Northern Lights Fund Trust/Ocean Park Asset Management Inc"/>
        <s v="Touchstone ETF Trust"/>
        <s v="Nomura ETF Trust"/>
        <s v="Blackrock ETF Trust II"/>
        <s v="Series Portfolio Trust/Infrastructure Capital Advisors LLC"/>
        <s v="TCW Etf Trust"/>
        <s v="T Rowe Price Exchange-Traded Funds Inc"/>
        <s v="State Street ETF/USA"/>
        <s v="iShares Inc"/>
        <s v="Build Funds Trust"/>
        <s v="Northern Funds"/>
        <s v="Dimensional ETF Trust"/>
        <s v="Franklin Templeton ETF Trust"/>
        <s v="American Century ETF Trust"/>
        <s v="Spinnaker ETF Trust"/>
        <s v="Horizons ETF Trust/USA"/>
        <s v="Goldman Sachs ETF Trust"/>
        <s v="Vanguard Municipal Bond Funds"/>
        <s v="Invesco ETFs/USA"/>
        <s v="Schwab Strategic Trust"/>
        <s v="First Trust Exchange-Traded Fund VIII"/>
        <s v="ETF Series Solutions/Advisors Asset Management Inc"/>
        <s v="Trust For Professional Managers/Envestnet Asset Management Inc"/>
        <s v="First Trust Exchange-Traded Fund III"/>
        <s v="Janus Detroit Street Trust"/>
        <s v="Hartford Funds Exchange-Traded Trust"/>
        <s v="Capital Group Fixed Income ETF Trust"/>
        <s v="Vanguard Scottsdale Funds"/>
        <s v="Amg ETF Trust"/>
        <s v="Northern Lights Fund Trust II/Weitz Investment Management Inc"/>
        <s v="New York Life Investments ETF Trust"/>
        <s v="MAN ETF Series Trust"/>
        <s v="Nushares ETF Trust"/>
        <s v="SSGA Active Trust"/>
        <s v="AB Active ETFs Inc"/>
        <s v="Neos ETF Trust"/>
        <s v="Neuberger Berman ETF Trust"/>
        <s v="Vanguard Fixed Income Securities Fund Inc"/>
        <s v="Pacer ETFs/USA"/>
        <s v="iShares US ETF Trust"/>
        <s v="Powershares Actively Managed Exchange-Traded Fund Trust"/>
        <s v="Angel Oak Funds Trust"/>
        <s v="JP Morgan Exchange-Traded Fund Trust"/>
        <s v="Vanguard California Tax-Free Funds"/>
        <s v="Vanguard Charlotte Funds"/>
        <s v="PGIM ETF Trust"/>
        <s v="Harbor ETF Trust"/>
        <s v="New York Life Investment Management LLC"/>
        <s v="Stone Ridge Trust"/>
        <s v="Fidelity Merrimack Street Trust"/>
        <s v="Vanguard New York Tax-Free Funds"/>
        <s v="Spinnaker ETF Trust/Obra Fund Management LLC"/>
        <s v="FundVantage Trust/Polen Capital Management LLC"/>
        <s v="DoubleLine ETF Trust"/>
        <s v="iShares ETFs/USA"/>
        <s v="RBB ETFs/F/m Investments"/>
        <s v="Vanguard Bond Index Funds"/>
        <s v="Listed Funds Trust/Reckoner Capital Management LLC"/>
        <s v="Quaker Investment Trust/Community Capital Management LLC"/>
        <s v="Victory Portfolios II"/>
        <s v="Series Portfolio Trust/Eldridge Capital Management LLC"/>
        <s v="Northern Lights Fund Trust III/Counterpoint Mutual Funds LLC"/>
        <s v="Principal Exchange-Traded Funds"/>
        <s v="Exchange Place Advisors Trust"/>
        <s v="Columbia ETF Trust I"/>
        <s v="Northern Lights Fund Trust IV/Sterling Capital Management LLC"/>
        <s v="Gabelli ETFs Trust"/>
        <s v="BNY Mellon ETF Trust"/>
        <s v="Tidal Trust III"/>
        <s v="Carillon Series Trust"/>
        <s v="Amplify ETF Trust"/>
        <s v="Vanguard Wellington Fund/Fund Parent"/>
        <s v="Putnam ETF Trust"/>
        <s v="Two Roads Shared Trust/Anfield Capital Management LLC"/>
        <s v="Invesco Actively Managed Exchange-Traded Fund Trust"/>
        <s v="MFS Active Exchange Traded Funds Trust"/>
        <s v="Kensington Asset Management ETFs"/>
        <s v="Allspring Funds Management LLC"/>
        <s v="Roundhill ETF Trust"/>
        <s v="Thornburg ETF Trust"/>
        <s v="Little Harbor Funds/USA"/>
        <s v="Vanguard Malvern Funds"/>
        <s v="Thrivent ETF Trust"/>
        <s v="Palmer Square Funds Trust"/>
        <s v="Madison Funds"/>
        <s v="Trust for Professional Managers/Mairs &amp; Power Inc"/>
        <s v="GMO ETF Trust"/>
        <s v="ETF Opportunities Trust/Kingsbarn Capital Management"/>
        <s v="EA Series Trust"/>
        <s v="Federated Hermes ETFs/USA"/>
        <s v="Franklin LibertyShares ETFs/USA"/>
        <s v="Strategy Shares Inc/Fund Parent"/>
        <s v="Tidal Trust IV"/>
        <s v="Advisor Managed Portfolios/Fund Parent"/>
        <m/>
        <s v="Spend Life Wisely Funds Investment Tr/Wisdom Fixed Income Management LLC"/>
        <s v="Trust for Professional Managers/USA"/>
        <s v="Frontier ETFs/USA"/>
        <s v="Abacus FCF ETFs/USA"/>
        <s v="ETF Opportunities Trust/IDX Advisors LLC"/>
        <s v="Vanguard Quantitative Funds"/>
        <s v="ETF Series Solutions/Aptus Capital Advisors LLC"/>
        <s v="RBB Fund Inc/Summit Global Investments LLC"/>
        <s v="BlackRock ETF Trust"/>
        <s v="American Beacon Select Funds"/>
        <s v="Arrow Investments Trust"/>
        <s v="Aberdeen Standard Investments ETFs"/>
        <s v="Vanguard Institutional Index Funds"/>
        <s v="ETF Series Solutions"/>
        <s v="Advisors' Inner Circle Fund II/3EDGE Asset Management LP"/>
        <s v="Northern Lights Fund Trust IV/Brookstone Asset Management LLC"/>
        <s v="Manager Directed Portfolios"/>
        <s v="Two Roads Shared Trust/Redwood Investment Management LLC"/>
        <s v="Unified Series Trust/Oneascent Investment Solutions LLC"/>
        <s v="Investment Managers Series Trust II"/>
        <s v="Professionally Managed Portfolios/Congress Asset Management Co LLP/ETFs"/>
        <s v="WisdomTree Digital Trust"/>
        <s v="Franklin ETF Trust"/>
        <s v="Vanguard Whitehall Funds"/>
        <s v="Value Advisers Trust/Regan"/>
        <s v="Investment Managers Series Trust III"/>
        <s v="Northern Lights Fund Trust IV/CWM Advisors LLC"/>
        <s v="BNY Mellon ETF Trust II"/>
      </sharedItems>
    </cacheField>
    <cacheField name="总资产(百万)_x000a_" numFmtId="0"/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050.0488861111" refreshedBy="wuyan" recordCount="64">
  <cacheSource type="worksheet">
    <worksheetSource ref="M3:N67" sheet="日本"/>
  </cacheSource>
  <cacheFields count="2">
    <cacheField name="母公司名称_x000a_" numFmtId="0">
      <sharedItems count="8">
        <s v="Global X Japan Co Ltd"/>
        <s v="Amova Asset Management Co Ltd"/>
        <s v="Nomura Asset Management Co Ltd"/>
        <s v="iShares ETFs/Japan"/>
        <s v="Mitsubishi UFJ Asset Management Co Ltd"/>
        <s v="Daiwa Asset Management Co Ltd"/>
        <s v="BlackRock Japan Co Ltd"/>
        <s v="Norinchukin Zenkyoren Asset Management Co Ltd/Japan"/>
      </sharedItems>
    </cacheField>
    <cacheField name="总资产(百万)_x000a_" numFmtId="0"/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050.0549403935" refreshedBy="wuyan" recordCount="8">
  <cacheSource type="worksheet">
    <worksheetSource ref="M1:N9" sheet="新加坡"/>
  </cacheSource>
  <cacheFields count="2">
    <cacheField name="母公司名称_x000a_" numFmtId="0">
      <sharedItems count="5">
        <s v="iShares ETFs/Singapore"/>
        <s v="Amova Asset Management Asia Ltd"/>
        <s v="CSOP Asset Management Pvt Ltd/Singapore"/>
        <s v="Lion Global Investors Ltd"/>
        <s v="State Street ETFs/Singapore"/>
      </sharedItems>
    </cacheField>
    <cacheField name="总资产(百万)_x000a_" numFmtId="0"/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050.0561841435" refreshedBy="wuyan" recordCount="19">
  <cacheSource type="worksheet">
    <worksheetSource ref="M2:N21" sheet="香港"/>
  </cacheSource>
  <cacheFields count="2">
    <cacheField name="母公司名称_x000a_" numFmtId="0">
      <sharedItems count="8">
        <s v="Mirae Asset Global Investments Hong Kong Ltd/HK"/>
        <s v="Premia Partners Co Ltd/Hong Kong"/>
        <s v="iShares ETFs/Hong Kong"/>
        <s v="CSOP Asset Management Ltd/Hong Kong"/>
        <s v="HSBC Investment Funds Ltd/Hong Kong"/>
        <s v="Bosera Asset Management International Co Ltd/Hong Kong"/>
        <s v="Hang Seng Investment Management Ltd"/>
        <s v="China Asset Management Hong Kong Ltd"/>
      </sharedItems>
    </cacheField>
    <cacheField name="总资产(百万)_x000a_" numFmtId="0"/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051.8690046296" refreshedBy="wuyan" recordCount="947">
  <cacheSource type="worksheet">
    <worksheetSource ref="V1:V948" sheet="美国"/>
  </cacheSource>
  <cacheFields count="1">
    <cacheField name="基金策略_x000a_" numFmtId="0">
      <sharedItems count="11">
        <s v="可转换债券"/>
        <s v="合并"/>
        <s v="公司债"/>
        <s v="优先"/>
        <s v="通胀保本"/>
        <s v="地方债"/>
        <s v="政府"/>
        <s v="抵押担保"/>
        <s v="资产支持"/>
        <s v="银行贷款"/>
        <s v="N.A."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051.8696846065" refreshedBy="wuyan" recordCount="947">
  <cacheSource type="worksheet">
    <worksheetSource ref="W1:W948" sheet="美国"/>
  </cacheSource>
  <cacheFields count="1">
    <cacheField name="资产类别型(按持有)_x000a_" numFmtId="0">
      <sharedItems count="4">
        <s v="反向操作型"/>
        <s v="增长"/>
        <s v="成长与收入型"/>
        <s v="N.A."/>
      </sharedItems>
    </cacheField>
  </cacheFields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051.8741993056" refreshedBy="wuyan" recordCount="947">
  <cacheSource type="worksheet">
    <worksheetSource ref="X1:X948" sheet="美国"/>
  </cacheSource>
  <cacheFields count="1">
    <cacheField name="到期期限_x000a_" numFmtId="0">
      <sharedItems count="5">
        <s v="N.A."/>
        <s v="中期"/>
        <s v="长期"/>
        <s v="短期"/>
        <s v="超短期"/>
      </sharedItems>
    </cacheField>
  </cacheFields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051.8759693287" refreshedBy="wuyan" recordCount="8">
  <cacheSource type="worksheet">
    <worksheetSource ref="E30:E38" sheet="新加坡"/>
  </cacheSource>
  <cacheFields count="1">
    <cacheField name="基金策略_x000a_" numFmtId="0">
      <sharedItems count="3">
        <s v="合并"/>
        <s v="政府"/>
        <s v="公司债"/>
      </sharedItems>
    </cacheField>
  </cacheFields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051.876244213" refreshedBy="wuyan" recordCount="8">
  <cacheSource type="worksheet">
    <worksheetSource ref="F30:F38" sheet="新加坡"/>
  </cacheSource>
  <cacheFields count="1">
    <cacheField name="资产类别型(按持有)_x000a_" numFmtId="0">
      <sharedItems count="2">
        <s v="反向操作型"/>
        <s v="N.A."/>
      </sharedItems>
    </cacheField>
  </cacheFields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051.8764204861" refreshedBy="wuyan" recordCount="8">
  <cacheSource type="worksheet">
    <worksheetSource ref="G30:G38" sheet="新加坡"/>
  </cacheSource>
  <cacheFields count="1">
    <cacheField name="到期期限_x000a_" numFmtId="0">
      <sharedItems count="3">
        <s v="短期"/>
        <s v="中期"/>
        <s v="N.A."/>
      </sharedItems>
    </cacheField>
  </cacheFields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051.8821219907" refreshedBy="wuyan" recordCount="64">
  <cacheSource type="worksheet">
    <worksheetSource ref="W1:W65" sheet="日本"/>
  </cacheSource>
  <cacheFields count="1">
    <cacheField name="基金策略_x000a_" numFmtId="0">
      <sharedItems count="5">
        <s v="优先"/>
        <s v="政府"/>
        <s v="公司债"/>
        <s v="合并"/>
        <s v="抵押担保"/>
      </sharedItems>
    </cacheField>
  </cacheFields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051.8825087963" refreshedBy="wuyan" recordCount="64">
  <cacheSource type="worksheet">
    <worksheetSource ref="X1:X65" sheet="日本"/>
  </cacheSource>
  <cacheFields count="1">
    <cacheField name="资产类别型(按持有)_x000a_" numFmtId="0">
      <sharedItems count="4">
        <s v="成长与收入型"/>
        <s v="反向操作型"/>
        <s v="N.A."/>
        <s v="增长"/>
      </sharedItems>
    </cacheField>
  </cacheFields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051.8837829861" refreshedBy="wuyan" recordCount="64">
  <cacheSource type="worksheet">
    <worksheetSource ref="Y1:Y65" sheet="日本"/>
  </cacheSource>
  <cacheFields count="1">
    <cacheField name="到期期限_x000a_" numFmtId="0">
      <sharedItems count="5">
        <s v="N.A."/>
        <s v="中期"/>
        <s v="短期"/>
        <s v="超短期"/>
        <s v="长期"/>
      </sharedItems>
    </cacheField>
  </cacheFields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051.8846741898" refreshedBy="wuyan" recordCount="19">
  <cacheSource type="worksheet">
    <worksheetSource ref="D40:D59" sheet="香港"/>
  </cacheSource>
  <cacheFields count="1">
    <cacheField name="基金策略_x000a_" numFmtId="0">
      <sharedItems count="4">
        <s v="政府"/>
        <s v="银行贷款"/>
        <s v="合并"/>
        <s v="公司债"/>
      </sharedItems>
    </cacheField>
  </cacheFields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051.8848592593" refreshedBy="wuyan" recordCount="19">
  <cacheSource type="worksheet">
    <worksheetSource ref="F40:F59" sheet="香港"/>
  </cacheSource>
  <cacheFields count="1">
    <cacheField name="到期期限_x000a_" numFmtId="0">
      <sharedItems count="5">
        <s v="N.A."/>
        <s v="超短期"/>
        <s v="短期"/>
        <s v="中期"/>
        <s v="长期"/>
      </sharedItems>
    </cacheField>
  </cacheFields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051.8851065972" refreshedBy="wuyan" recordCount="19">
  <cacheSource type="worksheet">
    <worksheetSource ref="E40:E59" sheet="香港"/>
  </cacheSource>
  <cacheFields count="1">
    <cacheField name="资产类别型(按持有)_x000a_" numFmtId="0">
      <sharedItems count="2">
        <s v="反向操作型"/>
        <s v="N.A."/>
      </sharedItems>
    </cacheField>
  </cacheFields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052.5658849537" refreshedBy="wuyan" recordCount="947">
  <cacheSource type="worksheet">
    <worksheetSource ref="Z1:AB948" sheet="美国"/>
  </cacheSource>
  <cacheFields count="3">
    <cacheField name="母公司名称_x000a_" numFmtId="0">
      <sharedItems containsBlank="1" count="161">
        <s v="Rex Shares/ETF Opportunities Trust"/>
        <s v="Calamos ETF Trust"/>
        <s v="First Trust Exchange-Traded Fund IV"/>
        <s v="Tidal Trust II"/>
        <s v="Tidal Trust I"/>
        <s v="SPDR Series Trust"/>
        <s v="iShares Trust"/>
        <s v="VanEck ETFs/USA"/>
        <s v="Global X ETFs/USA"/>
        <s v="WisdomTree ETFs/USA"/>
        <s v="Innovator ETF Trust"/>
        <s v="ETFis Series Trust I/Virtus ETF Advisers LLC"/>
        <s v="Cambria ETF Trust"/>
        <s v="Columbia ETFs/USA"/>
        <s v="Collaborative Investment Series Trust"/>
        <s v="Pimco ETF Trust"/>
        <s v="Direxion ETFs/USA"/>
        <s v="Simplify Exchange Traded Funds"/>
        <s v="RBB Fund Trust/The"/>
        <s v="DWS Xtrackers ETFs/USA"/>
        <s v="KraneShares Trust"/>
        <s v="Virtus ETF Trust II"/>
        <s v="X-Square Series Trust"/>
        <s v="Listed Funds Trust"/>
        <s v="Invesco Exchange-Traded Fund Trust"/>
        <s v="ProShares Trust"/>
        <s v="Cohen &amp; Steers ETF Trust"/>
        <s v="Northern Lights Fund Trust IV/Kingsview Wealth Management LLC"/>
        <s v="FlexShares ETFs/USA"/>
        <s v="Invesco Exchange-Traded Self-Indexed Fund Trust"/>
        <s v="Invesco Exchange-Traded Fund Trust II"/>
        <s v="ALPS ETF Trust"/>
        <s v="BondBloxx ETF Trust"/>
        <s v="John Hancock Exchange-Traded Fund Trust"/>
        <s v="Exchange-Traded Concepts ETFs/USA"/>
        <s v="Fidelity Covington Trust"/>
        <s v="Vanguard World Fund"/>
        <s v="Morgan Stanley Etf Trust"/>
        <s v="Northern Lights Fund Trust/Ocean Park Asset Management Inc"/>
        <s v="Touchstone ETF Trust"/>
        <s v="Nomura ETF Trust"/>
        <s v="Blackrock ETF Trust II"/>
        <s v="Series Portfolio Trust/Infrastructure Capital Advisors LLC"/>
        <s v="TCW Etf Trust"/>
        <s v="T Rowe Price Exchange-Traded Funds Inc"/>
        <s v="State Street ETF/USA"/>
        <s v="iShares Inc"/>
        <s v="Build Funds Trust"/>
        <s v="Northern Funds"/>
        <s v="Dimensional ETF Trust"/>
        <s v="Franklin Templeton ETF Trust"/>
        <s v="American Century ETF Trust"/>
        <s v="Spinnaker ETF Trust"/>
        <s v="Horizons ETF Trust/USA"/>
        <s v="Goldman Sachs ETF Trust"/>
        <s v="Vanguard Municipal Bond Funds"/>
        <s v="Invesco ETFs/USA"/>
        <s v="Schwab Strategic Trust"/>
        <s v="First Trust Exchange-Traded Fund VIII"/>
        <s v="ETF Series Solutions/Advisors Asset Management Inc"/>
        <s v="Trust For Professional Managers/Envestnet Asset Management Inc"/>
        <s v="First Trust Exchange-Traded Fund III"/>
        <s v="Janus Detroit Street Trust"/>
        <s v="Hartford Funds Exchange-Traded Trust"/>
        <s v="Capital Group Fixed Income ETF Trust"/>
        <s v="Vanguard Scottsdale Funds"/>
        <s v="Amg ETF Trust"/>
        <s v="Northern Lights Fund Trust II/Weitz Investment Management Inc"/>
        <s v="New York Life Investments ETF Trust"/>
        <s v="MAN ETF Series Trust"/>
        <s v="Nushares ETF Trust"/>
        <s v="SSGA Active Trust"/>
        <s v="AB Active ETFs Inc"/>
        <s v="Neos ETF Trust"/>
        <s v="Neuberger Berman ETF Trust"/>
        <s v="Vanguard Fixed Income Securities Fund Inc"/>
        <s v="Pacer ETFs/USA"/>
        <s v="iShares US ETF Trust"/>
        <s v="Powershares Actively Managed Exchange-Traded Fund Trust"/>
        <s v="Angel Oak Funds Trust"/>
        <s v="JP Morgan Exchange-Traded Fund Trust"/>
        <s v="Vanguard California Tax-Free Funds"/>
        <s v="Vanguard Charlotte Funds"/>
        <s v="PGIM ETF Trust"/>
        <s v="Harbor ETF Trust"/>
        <s v="New York Life Investment Management LLC"/>
        <s v="Stone Ridge Trust"/>
        <s v="Fidelity Merrimack Street Trust"/>
        <s v="Vanguard New York Tax-Free Funds"/>
        <s v="Spinnaker ETF Trust/Obra Fund Management LLC"/>
        <s v="FundVantage Trust/Polen Capital Management LLC"/>
        <s v="DoubleLine ETF Trust"/>
        <s v="iShares ETFs/USA"/>
        <s v="RBB ETFs/F/m Investments"/>
        <s v="Vanguard Bond Index Funds"/>
        <s v="Listed Funds Trust/Reckoner Capital Management LLC"/>
        <s v="Quaker Investment Trust/Community Capital Management LLC"/>
        <s v="Victory Portfolios II"/>
        <s v="Series Portfolio Trust/Eldridge Capital Management LLC"/>
        <s v="Northern Lights Fund Trust III/Counterpoint Mutual Funds LLC"/>
        <s v="Principal Exchange-Traded Funds"/>
        <s v="Exchange Place Advisors Trust"/>
        <s v="Columbia ETF Trust I"/>
        <s v="Northern Lights Fund Trust IV/Sterling Capital Management LLC"/>
        <s v="Gabelli ETFs Trust"/>
        <s v="BNY Mellon ETF Trust"/>
        <s v="Tidal Trust III"/>
        <s v="Carillon Series Trust"/>
        <s v="Amplify ETF Trust"/>
        <s v="Vanguard Wellington Fund/Fund Parent"/>
        <s v="Putnam ETF Trust"/>
        <s v="Two Roads Shared Trust/Anfield Capital Management LLC"/>
        <s v="Invesco Actively Managed Exchange-Traded Fund Trust"/>
        <s v="MFS Active Exchange Traded Funds Trust"/>
        <s v="Kensington Asset Management ETFs"/>
        <s v="Allspring Funds Management LLC"/>
        <s v="Roundhill ETF Trust"/>
        <s v="Thornburg ETF Trust"/>
        <s v="Little Harbor Funds/USA"/>
        <s v="Vanguard Malvern Funds"/>
        <s v="Thrivent ETF Trust"/>
        <s v="Palmer Square Funds Trust"/>
        <s v="Madison Funds"/>
        <s v="Trust for Professional Managers/Mairs &amp; Power Inc"/>
        <s v="GMO ETF Trust"/>
        <s v="ETF Opportunities Trust/Kingsbarn Capital Management"/>
        <s v="EA Series Trust"/>
        <s v="Federated Hermes ETFs/USA"/>
        <s v="Franklin LibertyShares ETFs/USA"/>
        <s v="Strategy Shares Inc/Fund Parent"/>
        <s v="Tidal Trust IV"/>
        <s v="Advisor Managed Portfolios/Fund Parent"/>
        <m/>
        <s v="Spend Life Wisely Funds Investment Tr/Wisdom Fixed Income Management LLC"/>
        <s v="Trust for Professional Managers/USA"/>
        <s v="Frontier ETFs/USA"/>
        <s v="Abacus FCF ETFs/USA"/>
        <s v="ETF Opportunities Trust/IDX Advisors LLC"/>
        <s v="Vanguard Quantitative Funds"/>
        <s v="ETF Series Solutions/Aptus Capital Advisors LLC"/>
        <s v="RBB Fund Inc/Summit Global Investments LLC"/>
        <s v="BlackRock ETF Trust"/>
        <s v="American Beacon Select Funds"/>
        <s v="Arrow Investments Trust"/>
        <s v="Aberdeen Standard Investments ETFs"/>
        <s v="Vanguard Institutional Index Funds"/>
        <s v="ETF Series Solutions"/>
        <s v="Advisors' Inner Circle Fund II/3EDGE Asset Management LP"/>
        <s v="Northern Lights Fund Trust IV/Brookstone Asset Management LLC"/>
        <s v="Manager Directed Portfolios"/>
        <s v="Two Roads Shared Trust/Redwood Investment Management LLC"/>
        <s v="Unified Series Trust/Oneascent Investment Solutions LLC"/>
        <s v="Investment Managers Series Trust II"/>
        <s v="Professionally Managed Portfolios/Congress Asset Management Co LLP/ETFs"/>
        <s v="WisdomTree Digital Trust"/>
        <s v="Franklin ETF Trust"/>
        <s v="Vanguard Whitehall Funds"/>
        <s v="Value Advisers Trust/Regan"/>
        <s v="Investment Managers Series Trust III"/>
        <s v="Northern Lights Fund Trust IV/CWM Advisors LLC"/>
        <s v="BNY Mellon ETF Trust II"/>
      </sharedItems>
    </cacheField>
    <cacheField name="基金前十位持有市值 %_x000a_" numFmtId="0"/>
    <cacheField name="基金经理公布费用%" numFmtId="0"/>
  </cacheFields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052.5671645833" refreshedBy="wuyan" recordCount="64">
  <cacheSource type="worksheet">
    <worksheetSource ref="AA1:AC65" sheet="日本"/>
  </cacheSource>
  <cacheFields count="3">
    <cacheField name="母公司名称_x000a_" numFmtId="0">
      <sharedItems count="8">
        <s v="Global X Japan Co Ltd"/>
        <s v="Amova Asset Management Co Ltd"/>
        <s v="Nomura Asset Management Co Ltd"/>
        <s v="iShares ETFs/Japan"/>
        <s v="Mitsubishi UFJ Asset Management Co Ltd"/>
        <s v="Daiwa Asset Management Co Ltd"/>
        <s v="BlackRock Japan Co Ltd"/>
        <s v="Norinchukin Zenkyoren Asset Management Co Ltd/Japan"/>
      </sharedItems>
    </cacheField>
    <cacheField name="基金前十位持有市值 %_x000a_" numFmtId="0"/>
    <cacheField name="基金经理公布费用%" numFmtId="0"/>
  </cacheFields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052.5993563657" refreshedBy="wuyan" recordCount="2688">
  <cacheSource type="worksheet">
    <worksheetSource ref="E1:F2689" sheet="全球债券ETF资产规模"/>
  </cacheSource>
  <cacheFields count="2">
    <cacheField name="所在国_x000a_" numFmtId="0">
      <sharedItems count="35">
        <s v="尼日利亚"/>
        <s v="韩国"/>
        <s v="美国"/>
        <s v="中国"/>
        <s v="德国"/>
        <s v="印度尼西亚"/>
        <s v="爱尔兰"/>
        <s v="Hong Kong (China)"/>
        <s v="毛里求斯"/>
        <s v="加拿大"/>
        <s v="日本"/>
        <s v="卢森堡"/>
        <s v="南非"/>
        <s v="哥伦比亚"/>
        <s v="克罗地亚"/>
        <s v="Taiwan (China)"/>
        <s v="以色列"/>
        <s v="智利"/>
        <s v="巴西"/>
        <s v="澳大利亚"/>
        <s v="新加坡"/>
        <s v="波兰"/>
        <s v="土耳其"/>
        <s v="瑞典"/>
        <s v="荷兰"/>
        <s v="瑞士"/>
        <s v="法国"/>
        <s v="阿拉伯联合酋长国"/>
        <s v="印度"/>
        <s v="马来西亚"/>
        <s v="新西兰"/>
        <s v="沙特阿拉伯"/>
        <s v="秘鲁"/>
        <s v="巴基斯坦"/>
        <s v="泰国"/>
      </sharedItems>
    </cacheField>
    <cacheField name="总资产(百万)_x000a_" numFmtI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7">
  <r>
    <x v="0"/>
    <n v="6.0780000000000003"/>
  </r>
  <r>
    <x v="1"/>
    <n v="20.117000000000001"/>
  </r>
  <r>
    <x v="2"/>
    <n v="98.873999999999995"/>
  </r>
  <r>
    <x v="3"/>
    <n v="93.355000000000004"/>
  </r>
  <r>
    <x v="4"/>
    <n v="6.9329999999999998"/>
  </r>
  <r>
    <x v="5"/>
    <n v="4753.8220000000001"/>
  </r>
  <r>
    <x v="6"/>
    <n v="4313.6710000000003"/>
  </r>
  <r>
    <x v="7"/>
    <n v="2089.85"/>
  </r>
  <r>
    <x v="8"/>
    <n v="134.35599999999999"/>
  </r>
  <r>
    <x v="9"/>
    <n v="8.5129999999999999"/>
  </r>
  <r>
    <x v="8"/>
    <n v="2245.886"/>
  </r>
  <r>
    <x v="6"/>
    <n v="14172.021000000001"/>
  </r>
  <r>
    <x v="10"/>
    <n v="74.379000000000005"/>
  </r>
  <r>
    <x v="11"/>
    <n v="2116.797"/>
  </r>
  <r>
    <x v="12"/>
    <n v="22.308"/>
  </r>
  <r>
    <x v="13"/>
    <n v="537.71400000000006"/>
  </r>
  <r>
    <x v="5"/>
    <n v="354.47500000000002"/>
  </r>
  <r>
    <x v="14"/>
    <n v="18.093"/>
  </r>
  <r>
    <x v="15"/>
    <n v="91.787999999999997"/>
  </r>
  <r>
    <x v="16"/>
    <n v="3859.8090000000002"/>
  </r>
  <r>
    <x v="17"/>
    <n v="29.225999999999999"/>
  </r>
  <r>
    <x v="5"/>
    <n v="775.07600000000002"/>
  </r>
  <r>
    <x v="18"/>
    <n v="28.404"/>
  </r>
  <r>
    <x v="17"/>
    <n v="74.207999999999998"/>
  </r>
  <r>
    <x v="8"/>
    <n v="297.09399999999999"/>
  </r>
  <r>
    <x v="7"/>
    <n v="203.482"/>
  </r>
  <r>
    <x v="19"/>
    <n v="48.082999999999998"/>
  </r>
  <r>
    <x v="20"/>
    <n v="5.3520000000000003"/>
  </r>
  <r>
    <x v="21"/>
    <n v="16.818000000000001"/>
  </r>
  <r>
    <x v="22"/>
    <n v="5.1429999999999998"/>
  </r>
  <r>
    <x v="23"/>
    <n v="34.137999999999998"/>
  </r>
  <r>
    <x v="19"/>
    <n v="135.41999999999999"/>
  </r>
  <r>
    <x v="24"/>
    <n v="747.21699999999998"/>
  </r>
  <r>
    <x v="25"/>
    <n v="86.992000000000004"/>
  </r>
  <r>
    <x v="26"/>
    <n v="116.623"/>
  </r>
  <r>
    <x v="4"/>
    <n v="88.212000000000003"/>
  </r>
  <r>
    <x v="17"/>
    <n v="51.843000000000004"/>
  </r>
  <r>
    <x v="27"/>
    <n v="153.81800000000001"/>
  </r>
  <r>
    <x v="28"/>
    <n v="149.495"/>
  </r>
  <r>
    <x v="29"/>
    <n v="151.49299999999999"/>
  </r>
  <r>
    <x v="30"/>
    <n v="3981.25"/>
  </r>
  <r>
    <x v="6"/>
    <n v="59.957999999999998"/>
  </r>
  <r>
    <x v="31"/>
    <n v="43.725000000000001"/>
  </r>
  <r>
    <x v="6"/>
    <n v="1853.0360000000001"/>
  </r>
  <r>
    <x v="4"/>
    <n v="6.2709999999999999"/>
  </r>
  <r>
    <x v="32"/>
    <n v="32.209000000000003"/>
  </r>
  <r>
    <x v="29"/>
    <n v="96.337999999999994"/>
  </r>
  <r>
    <x v="33"/>
    <n v="69.888999999999996"/>
  </r>
  <r>
    <x v="17"/>
    <n v="188.62200000000001"/>
  </r>
  <r>
    <x v="34"/>
    <n v="93.209000000000003"/>
  </r>
  <r>
    <x v="35"/>
    <n v="92.507000000000005"/>
  </r>
  <r>
    <x v="23"/>
    <n v="33.415999999999997"/>
  </r>
  <r>
    <x v="36"/>
    <n v="4004.299"/>
  </r>
  <r>
    <x v="37"/>
    <n v="375.65699999999998"/>
  </r>
  <r>
    <x v="25"/>
    <n v="7.1710000000000003"/>
  </r>
  <r>
    <x v="38"/>
    <n v="22.928999999999998"/>
  </r>
  <r>
    <x v="39"/>
    <n v="229.453"/>
  </r>
  <r>
    <x v="40"/>
    <n v="33"/>
  </r>
  <r>
    <x v="41"/>
    <n v="2398.2060000000001"/>
  </r>
  <r>
    <x v="42"/>
    <n v="34.167000000000002"/>
  </r>
  <r>
    <x v="43"/>
    <n v="34.348999999999997"/>
  </r>
  <r>
    <x v="44"/>
    <n v="23.895"/>
  </r>
  <r>
    <x v="44"/>
    <n v="118.105"/>
  </r>
  <r>
    <x v="38"/>
    <n v="9.8170000000000002"/>
  </r>
  <r>
    <x v="45"/>
    <n v="7.5650000000000004"/>
  </r>
  <r>
    <x v="46"/>
    <n v="64.155000000000001"/>
  </r>
  <r>
    <x v="47"/>
    <n v="12.077999999999999"/>
  </r>
  <r>
    <x v="20"/>
    <n v="17.294"/>
  </r>
  <r>
    <x v="48"/>
    <n v="5.0830000000000002"/>
  </r>
  <r>
    <x v="49"/>
    <n v="1354.451"/>
  </r>
  <r>
    <x v="50"/>
    <n v="535.04499999999996"/>
  </r>
  <r>
    <x v="51"/>
    <n v="557.02200000000005"/>
  </r>
  <r>
    <x v="41"/>
    <n v="265.65600000000001"/>
  </r>
  <r>
    <x v="50"/>
    <n v="582.07299999999998"/>
  </r>
  <r>
    <x v="52"/>
    <n v="18.155999999999999"/>
  </r>
  <r>
    <x v="53"/>
    <n v="37.296999999999997"/>
  </r>
  <r>
    <x v="32"/>
    <n v="292.548"/>
  </r>
  <r>
    <x v="54"/>
    <n v="10.176"/>
  </r>
  <r>
    <x v="48"/>
    <n v="10.35"/>
  </r>
  <r>
    <x v="55"/>
    <n v="1160.9159999999999"/>
  </r>
  <r>
    <x v="9"/>
    <n v="71.527000000000001"/>
  </r>
  <r>
    <x v="56"/>
    <n v="25.533999999999999"/>
  </r>
  <r>
    <x v="6"/>
    <n v="323.78800000000001"/>
  </r>
  <r>
    <x v="19"/>
    <n v="29.591000000000001"/>
  </r>
  <r>
    <x v="57"/>
    <n v="5936.0550000000003"/>
  </r>
  <r>
    <x v="58"/>
    <n v="18.007000000000001"/>
  </r>
  <r>
    <x v="59"/>
    <n v="446.125"/>
  </r>
  <r>
    <x v="60"/>
    <n v="206.78"/>
  </r>
  <r>
    <x v="61"/>
    <n v="313.68400000000003"/>
  </r>
  <r>
    <x v="61"/>
    <n v="28.18"/>
  </r>
  <r>
    <x v="7"/>
    <n v="3208.17"/>
  </r>
  <r>
    <x v="62"/>
    <n v="1169.9159999999999"/>
  </r>
  <r>
    <x v="17"/>
    <n v="312.50200000000001"/>
  </r>
  <r>
    <x v="63"/>
    <n v="664.99"/>
  </r>
  <r>
    <x v="33"/>
    <n v="141.54300000000001"/>
  </r>
  <r>
    <x v="64"/>
    <n v="4895.1719999999996"/>
  </r>
  <r>
    <x v="65"/>
    <n v="7569.1750000000002"/>
  </r>
  <r>
    <x v="66"/>
    <n v="12.032"/>
  </r>
  <r>
    <x v="15"/>
    <n v="998.03"/>
  </r>
  <r>
    <x v="67"/>
    <n v="8.2479999999999993"/>
  </r>
  <r>
    <x v="68"/>
    <n v="27.765000000000001"/>
  </r>
  <r>
    <x v="1"/>
    <n v="31.533999999999999"/>
  </r>
  <r>
    <x v="9"/>
    <n v="5.1059999999999999"/>
  </r>
  <r>
    <x v="29"/>
    <n v="5.1029999999999998"/>
  </r>
  <r>
    <x v="69"/>
    <n v="19.484000000000002"/>
  </r>
  <r>
    <x v="70"/>
    <n v="112.732"/>
  </r>
  <r>
    <x v="32"/>
    <n v="751.69500000000005"/>
  </r>
  <r>
    <x v="15"/>
    <n v="687.06500000000005"/>
  </r>
  <r>
    <x v="71"/>
    <n v="11.792999999999999"/>
  </r>
  <r>
    <x v="72"/>
    <n v="47.662999999999997"/>
  </r>
  <r>
    <x v="48"/>
    <n v="28.934000000000001"/>
  </r>
  <r>
    <x v="67"/>
    <n v="136.52099999999999"/>
  </r>
  <r>
    <x v="6"/>
    <n v="46642.538999999997"/>
  </r>
  <r>
    <x v="41"/>
    <n v="443.08600000000001"/>
  </r>
  <r>
    <x v="51"/>
    <n v="60.335000000000001"/>
  </r>
  <r>
    <x v="73"/>
    <n v="9.7210000000000001"/>
  </r>
  <r>
    <x v="70"/>
    <n v="2839.1579999999999"/>
  </r>
  <r>
    <x v="74"/>
    <n v="109.86499999999999"/>
  </r>
  <r>
    <x v="50"/>
    <n v="629.13699999999994"/>
  </r>
  <r>
    <x v="35"/>
    <n v="77.555999999999997"/>
  </r>
  <r>
    <x v="6"/>
    <n v="1667.713"/>
  </r>
  <r>
    <x v="51"/>
    <n v="150.94800000000001"/>
  </r>
  <r>
    <x v="75"/>
    <n v="159.178"/>
  </r>
  <r>
    <x v="76"/>
    <n v="6.9059999999999997"/>
  </r>
  <r>
    <x v="62"/>
    <n v="7146.3530000000001"/>
  </r>
  <r>
    <x v="77"/>
    <n v="161.93899999999999"/>
  </r>
  <r>
    <x v="57"/>
    <n v="2130.0309999999999"/>
  </r>
  <r>
    <x v="37"/>
    <n v="151.97"/>
  </r>
  <r>
    <x v="78"/>
    <n v="7.9749999999999996"/>
  </r>
  <r>
    <x v="14"/>
    <n v="64.826999999999998"/>
  </r>
  <r>
    <x v="50"/>
    <n v="1483.1849999999999"/>
  </r>
  <r>
    <x v="5"/>
    <n v="2914.9209999999998"/>
  </r>
  <r>
    <x v="6"/>
    <n v="87.055000000000007"/>
  </r>
  <r>
    <x v="30"/>
    <n v="3327.9229999999998"/>
  </r>
  <r>
    <x v="49"/>
    <n v="1956.567"/>
  </r>
  <r>
    <x v="15"/>
    <n v="1596.9849999999999"/>
  </r>
  <r>
    <x v="17"/>
    <n v="46.509"/>
  </r>
  <r>
    <x v="79"/>
    <n v="19.021999999999998"/>
  </r>
  <r>
    <x v="70"/>
    <n v="76.277000000000001"/>
  </r>
  <r>
    <x v="5"/>
    <n v="6703.88"/>
  </r>
  <r>
    <x v="6"/>
    <n v="3850.0659999999998"/>
  </r>
  <r>
    <x v="7"/>
    <n v="114.108"/>
  </r>
  <r>
    <x v="32"/>
    <n v="4.8600000000000003"/>
  </r>
  <r>
    <x v="15"/>
    <n v="478.01100000000002"/>
  </r>
  <r>
    <x v="71"/>
    <n v="27.670999999999999"/>
  </r>
  <r>
    <x v="15"/>
    <n v="6986.8789999999999"/>
  </r>
  <r>
    <x v="80"/>
    <n v="1546.402"/>
  </r>
  <r>
    <x v="7"/>
    <n v="4225.5259999999998"/>
  </r>
  <r>
    <x v="6"/>
    <n v="1092.885"/>
  </r>
  <r>
    <x v="19"/>
    <n v="21.37"/>
  </r>
  <r>
    <x v="28"/>
    <n v="1181.77"/>
  </r>
  <r>
    <x v="6"/>
    <n v="11523.701999999999"/>
  </r>
  <r>
    <x v="81"/>
    <n v="1823.7380000000001"/>
  </r>
  <r>
    <x v="82"/>
    <n v="74969.891000000003"/>
  </r>
  <r>
    <x v="26"/>
    <n v="16.34"/>
  </r>
  <r>
    <x v="55"/>
    <n v="43182.23"/>
  </r>
  <r>
    <x v="2"/>
    <n v="27.713000000000001"/>
  </r>
  <r>
    <x v="6"/>
    <n v="2808.6570000000002"/>
  </r>
  <r>
    <x v="48"/>
    <n v="58.758000000000003"/>
  </r>
  <r>
    <x v="83"/>
    <n v="75.884"/>
  </r>
  <r>
    <x v="70"/>
    <n v="115.922"/>
  </r>
  <r>
    <x v="5"/>
    <n v="1246.567"/>
  </r>
  <r>
    <x v="72"/>
    <n v="458.62799999999999"/>
  </r>
  <r>
    <x v="9"/>
    <n v="203.34"/>
  </r>
  <r>
    <x v="32"/>
    <n v="210.113"/>
  </r>
  <r>
    <x v="30"/>
    <n v="193.53"/>
  </r>
  <r>
    <x v="84"/>
    <n v="171.197"/>
  </r>
  <r>
    <x v="29"/>
    <n v="114.11799999999999"/>
  </r>
  <r>
    <x v="28"/>
    <n v="44.776000000000003"/>
  </r>
  <r>
    <x v="6"/>
    <n v="25649.197"/>
  </r>
  <r>
    <x v="54"/>
    <n v="28.837"/>
  </r>
  <r>
    <x v="61"/>
    <n v="1966.981"/>
  </r>
  <r>
    <x v="49"/>
    <n v="2156.326"/>
  </r>
  <r>
    <x v="55"/>
    <n v="849.45600000000002"/>
  </r>
  <r>
    <x v="6"/>
    <n v="29.082000000000001"/>
  </r>
  <r>
    <x v="73"/>
    <n v="199.80600000000001"/>
  </r>
  <r>
    <x v="85"/>
    <n v="1330.338"/>
  </r>
  <r>
    <x v="64"/>
    <n v="2521.2489999999998"/>
  </r>
  <r>
    <x v="6"/>
    <n v="18821.848000000002"/>
  </r>
  <r>
    <x v="54"/>
    <n v="179.74799999999999"/>
  </r>
  <r>
    <x v="5"/>
    <n v="10730.683999999999"/>
  </r>
  <r>
    <x v="9"/>
    <n v="88.947000000000003"/>
  </r>
  <r>
    <x v="86"/>
    <n v="4.33"/>
  </r>
  <r>
    <x v="85"/>
    <n v="69.058999999999997"/>
  </r>
  <r>
    <x v="54"/>
    <n v="109.28"/>
  </r>
  <r>
    <x v="9"/>
    <n v="90.355000000000004"/>
  </r>
  <r>
    <x v="2"/>
    <n v="675.95299999999997"/>
  </r>
  <r>
    <x v="56"/>
    <n v="99.866"/>
  </r>
  <r>
    <x v="85"/>
    <n v="367.02199999999999"/>
  </r>
  <r>
    <x v="6"/>
    <n v="232.648"/>
  </r>
  <r>
    <x v="87"/>
    <n v="154.80799999999999"/>
  </r>
  <r>
    <x v="29"/>
    <n v="231.999"/>
  </r>
  <r>
    <x v="49"/>
    <n v="607.96699999999998"/>
  </r>
  <r>
    <x v="87"/>
    <n v="4307.9859999999999"/>
  </r>
  <r>
    <x v="80"/>
    <n v="1234.8230000000001"/>
  </r>
  <r>
    <x v="15"/>
    <n v="479.55799999999999"/>
  </r>
  <r>
    <x v="15"/>
    <n v="2573.4650000000001"/>
  </r>
  <r>
    <x v="80"/>
    <n v="699.38099999999997"/>
  </r>
  <r>
    <x v="88"/>
    <n v="235.62200000000001"/>
  </r>
  <r>
    <x v="54"/>
    <n v="116.994"/>
  </r>
  <r>
    <x v="61"/>
    <n v="6430.2169999999996"/>
  </r>
  <r>
    <x v="89"/>
    <n v="37.107999999999997"/>
  </r>
  <r>
    <x v="6"/>
    <n v="384.02699999999999"/>
  </r>
  <r>
    <x v="6"/>
    <n v="7.4450000000000003"/>
  </r>
  <r>
    <x v="90"/>
    <n v="9.7970000000000006"/>
  </r>
  <r>
    <x v="6"/>
    <n v="1713.962"/>
  </r>
  <r>
    <x v="80"/>
    <n v="6649.8310000000001"/>
  </r>
  <r>
    <x v="30"/>
    <n v="379.17700000000002"/>
  </r>
  <r>
    <x v="78"/>
    <n v="106.485"/>
  </r>
  <r>
    <x v="5"/>
    <n v="7714.3909999999996"/>
  </r>
  <r>
    <x v="37"/>
    <n v="47.152000000000001"/>
  </r>
  <r>
    <x v="5"/>
    <n v="3047.2919999999999"/>
  </r>
  <r>
    <x v="85"/>
    <n v="95.132999999999996"/>
  </r>
  <r>
    <x v="87"/>
    <n v="172.376"/>
  </r>
  <r>
    <x v="80"/>
    <n v="244.429"/>
  </r>
  <r>
    <x v="6"/>
    <n v="4.88"/>
  </r>
  <r>
    <x v="33"/>
    <n v="193.417"/>
  </r>
  <r>
    <x v="91"/>
    <n v="676.45299999999997"/>
  </r>
  <r>
    <x v="64"/>
    <n v="157.11799999999999"/>
  </r>
  <r>
    <x v="3"/>
    <n v="22.998999999999999"/>
  </r>
  <r>
    <x v="90"/>
    <n v="21.832999999999998"/>
  </r>
  <r>
    <x v="6"/>
    <n v="404.30599999999998"/>
  </r>
  <r>
    <x v="50"/>
    <n v="709.89800000000002"/>
  </r>
  <r>
    <x v="92"/>
    <n v="35.808999999999997"/>
  </r>
  <r>
    <x v="32"/>
    <n v="22.117999999999999"/>
  </r>
  <r>
    <x v="6"/>
    <n v="45.32"/>
  </r>
  <r>
    <x v="15"/>
    <n v="213.06899999999999"/>
  </r>
  <r>
    <x v="57"/>
    <n v="2836.1840000000002"/>
  </r>
  <r>
    <x v="29"/>
    <n v="422.959"/>
  </r>
  <r>
    <x v="77"/>
    <n v="446.12099999999998"/>
  </r>
  <r>
    <x v="8"/>
    <n v="35.634999999999998"/>
  </r>
  <r>
    <x v="93"/>
    <n v="2.06"/>
  </r>
  <r>
    <x v="19"/>
    <n v="4038.6709999999998"/>
  </r>
  <r>
    <x v="94"/>
    <n v="5930.9120000000003"/>
  </r>
  <r>
    <x v="95"/>
    <n v="27.597000000000001"/>
  </r>
  <r>
    <x v="96"/>
    <n v="113.092"/>
  </r>
  <r>
    <x v="32"/>
    <n v="25.332999999999998"/>
  </r>
  <r>
    <x v="64"/>
    <n v="969.00199999999995"/>
  </r>
  <r>
    <x v="30"/>
    <n v="1098.0820000000001"/>
  </r>
  <r>
    <x v="33"/>
    <n v="40.79"/>
  </r>
  <r>
    <x v="97"/>
    <n v="56.536000000000001"/>
  </r>
  <r>
    <x v="29"/>
    <n v="239.12"/>
  </r>
  <r>
    <x v="98"/>
    <n v="764.38099999999997"/>
  </r>
  <r>
    <x v="7"/>
    <n v="437.31900000000002"/>
  </r>
  <r>
    <x v="6"/>
    <n v="12523.986999999999"/>
  </r>
  <r>
    <x v="6"/>
    <n v="39612.535000000003"/>
  </r>
  <r>
    <x v="83"/>
    <n v="35.811"/>
  </r>
  <r>
    <x v="83"/>
    <n v="1169.2739999999999"/>
  </r>
  <r>
    <x v="15"/>
    <n v="11130.647000000001"/>
  </r>
  <r>
    <x v="71"/>
    <n v="52.191000000000003"/>
  </r>
  <r>
    <x v="32"/>
    <n v="24.161000000000001"/>
  </r>
  <r>
    <x v="50"/>
    <n v="471.30200000000002"/>
  </r>
  <r>
    <x v="71"/>
    <n v="12.375"/>
  </r>
  <r>
    <x v="32"/>
    <n v="409.48399999999998"/>
  </r>
  <r>
    <x v="63"/>
    <n v="320.60899999999998"/>
  </r>
  <r>
    <x v="99"/>
    <n v="236.77799999999999"/>
  </r>
  <r>
    <x v="57"/>
    <n v="1006.189"/>
  </r>
  <r>
    <x v="86"/>
    <n v="3.056"/>
  </r>
  <r>
    <x v="69"/>
    <n v="21.023"/>
  </r>
  <r>
    <x v="31"/>
    <n v="74.882999999999996"/>
  </r>
  <r>
    <x v="2"/>
    <n v="2361.6570000000002"/>
  </r>
  <r>
    <x v="41"/>
    <n v="84.882999999999996"/>
  </r>
  <r>
    <x v="93"/>
    <n v="8.7309999999999999"/>
  </r>
  <r>
    <x v="80"/>
    <n v="2150.6979999999999"/>
  </r>
  <r>
    <x v="5"/>
    <n v="5250.0280000000002"/>
  </r>
  <r>
    <x v="100"/>
    <n v="66.661000000000001"/>
  </r>
  <r>
    <x v="101"/>
    <n v="68.945999999999998"/>
  </r>
  <r>
    <x v="40"/>
    <n v="5.7409999999999997"/>
  </r>
  <r>
    <x v="32"/>
    <n v="10.744999999999999"/>
  </r>
  <r>
    <x v="61"/>
    <n v="200.62700000000001"/>
  </r>
  <r>
    <x v="6"/>
    <n v="193.92599999999999"/>
  </r>
  <r>
    <x v="80"/>
    <n v="5.992"/>
  </r>
  <r>
    <x v="93"/>
    <n v="20.419"/>
  </r>
  <r>
    <x v="29"/>
    <n v="161.23599999999999"/>
  </r>
  <r>
    <x v="102"/>
    <n v="10.039"/>
  </r>
  <r>
    <x v="34"/>
    <n v="139.31200000000001"/>
  </r>
  <r>
    <x v="6"/>
    <n v="372.41399999999999"/>
  </r>
  <r>
    <x v="71"/>
    <n v="9.968"/>
  </r>
  <r>
    <x v="19"/>
    <n v="248.02500000000001"/>
  </r>
  <r>
    <x v="61"/>
    <n v="890.74199999999996"/>
  </r>
  <r>
    <x v="54"/>
    <n v="139.17500000000001"/>
  </r>
  <r>
    <x v="29"/>
    <n v="222.53899999999999"/>
  </r>
  <r>
    <x v="5"/>
    <n v="2231.183"/>
  </r>
  <r>
    <x v="100"/>
    <n v="460.81299999999999"/>
  </r>
  <r>
    <x v="6"/>
    <n v="8044.4009999999998"/>
  </r>
  <r>
    <x v="103"/>
    <n v="10.032"/>
  </r>
  <r>
    <x v="104"/>
    <n v="6.0519999999999996"/>
  </r>
  <r>
    <x v="43"/>
    <n v="214.16"/>
  </r>
  <r>
    <x v="55"/>
    <n v="371.47"/>
  </r>
  <r>
    <x v="6"/>
    <n v="309.66899999999998"/>
  </r>
  <r>
    <x v="44"/>
    <n v="479.267"/>
  </r>
  <r>
    <x v="50"/>
    <n v="65.117999999999995"/>
  </r>
  <r>
    <x v="105"/>
    <n v="386.05500000000001"/>
  </r>
  <r>
    <x v="106"/>
    <n v="12.13"/>
  </r>
  <r>
    <x v="5"/>
    <n v="10825.611000000001"/>
  </r>
  <r>
    <x v="87"/>
    <n v="34.75"/>
  </r>
  <r>
    <x v="2"/>
    <n v="84.245000000000005"/>
  </r>
  <r>
    <x v="49"/>
    <n v="605.26099999999997"/>
  </r>
  <r>
    <x v="9"/>
    <n v="94.772999999999996"/>
  </r>
  <r>
    <x v="61"/>
    <n v="1849.623"/>
  </r>
  <r>
    <x v="65"/>
    <n v="10172.235000000001"/>
  </r>
  <r>
    <x v="15"/>
    <n v="1612.345"/>
  </r>
  <r>
    <x v="30"/>
    <n v="2377.2750000000001"/>
  </r>
  <r>
    <x v="6"/>
    <n v="42039.258000000002"/>
  </r>
  <r>
    <x v="107"/>
    <n v="20.521999999999998"/>
  </r>
  <r>
    <x v="108"/>
    <n v="25.635000000000002"/>
  </r>
  <r>
    <x v="63"/>
    <n v="508.62299999999999"/>
  </r>
  <r>
    <x v="19"/>
    <n v="1885.1279999999999"/>
  </r>
  <r>
    <x v="109"/>
    <n v="1621.0050000000001"/>
  </r>
  <r>
    <x v="9"/>
    <n v="10.384"/>
  </r>
  <r>
    <x v="79"/>
    <n v="122.45099999999999"/>
  </r>
  <r>
    <x v="55"/>
    <n v="181.982"/>
  </r>
  <r>
    <x v="65"/>
    <n v="14951.254999999999"/>
  </r>
  <r>
    <x v="110"/>
    <n v="232.059"/>
  </r>
  <r>
    <x v="6"/>
    <n v="258.18799999999999"/>
  </r>
  <r>
    <x v="2"/>
    <n v="5754.7920000000004"/>
  </r>
  <r>
    <x v="72"/>
    <n v="309.40499999999997"/>
  </r>
  <r>
    <x v="44"/>
    <n v="21.39"/>
  </r>
  <r>
    <x v="86"/>
    <n v="4.5720000000000001"/>
  </r>
  <r>
    <x v="50"/>
    <n v="666.029"/>
  </r>
  <r>
    <x v="64"/>
    <n v="53.417000000000002"/>
  </r>
  <r>
    <x v="111"/>
    <n v="206.48"/>
  </r>
  <r>
    <x v="7"/>
    <n v="395.358"/>
  </r>
  <r>
    <x v="33"/>
    <n v="70.408000000000001"/>
  </r>
  <r>
    <x v="32"/>
    <n v="37.406999999999996"/>
  </r>
  <r>
    <x v="46"/>
    <n v="202.577"/>
  </r>
  <r>
    <x v="74"/>
    <n v="59.01"/>
  </r>
  <r>
    <x v="32"/>
    <n v="20.681000000000001"/>
  </r>
  <r>
    <x v="6"/>
    <n v="271.26299999999998"/>
  </r>
  <r>
    <x v="80"/>
    <n v="346.56799999999998"/>
  </r>
  <r>
    <x v="28"/>
    <n v="91.638000000000005"/>
  </r>
  <r>
    <x v="46"/>
    <n v="680.08500000000004"/>
  </r>
  <r>
    <x v="50"/>
    <n v="173.357"/>
  </r>
  <r>
    <x v="48"/>
    <n v="8.2870000000000008"/>
  </r>
  <r>
    <x v="50"/>
    <n v="81.085999999999999"/>
  </r>
  <r>
    <x v="76"/>
    <n v="607.90700000000004"/>
  </r>
  <r>
    <x v="17"/>
    <n v="151.42500000000001"/>
  </r>
  <r>
    <x v="112"/>
    <n v="2044.539"/>
  </r>
  <r>
    <x v="113"/>
    <n v="53.393999999999998"/>
  </r>
  <r>
    <x v="72"/>
    <n v="1133.413"/>
  </r>
  <r>
    <x v="6"/>
    <n v="3.5609999999999999"/>
  </r>
  <r>
    <x v="50"/>
    <n v="91.989000000000004"/>
  </r>
  <r>
    <x v="65"/>
    <n v="1552.2750000000001"/>
  </r>
  <r>
    <x v="17"/>
    <n v="1685.7919999999999"/>
  </r>
  <r>
    <x v="15"/>
    <n v="987.71400000000006"/>
  </r>
  <r>
    <x v="49"/>
    <n v="823.46500000000003"/>
  </r>
  <r>
    <x v="21"/>
    <n v="31.24"/>
  </r>
  <r>
    <x v="7"/>
    <n v="4029.739"/>
  </r>
  <r>
    <x v="79"/>
    <n v="163.86600000000001"/>
  </r>
  <r>
    <x v="58"/>
    <n v="77.963999999999999"/>
  </r>
  <r>
    <x v="29"/>
    <n v="31.029"/>
  </r>
  <r>
    <x v="32"/>
    <n v="52.09"/>
  </r>
  <r>
    <x v="85"/>
    <n v="157.25399999999999"/>
  </r>
  <r>
    <x v="21"/>
    <n v="271.10000000000002"/>
  </r>
  <r>
    <x v="71"/>
    <n v="6635.7079999999996"/>
  </r>
  <r>
    <x v="70"/>
    <n v="128.721"/>
  </r>
  <r>
    <x v="48"/>
    <n v="3.0230000000000001"/>
  </r>
  <r>
    <x v="7"/>
    <n v="2189.4279999999999"/>
  </r>
  <r>
    <x v="114"/>
    <n v="79.111000000000004"/>
  </r>
  <r>
    <x v="106"/>
    <n v="278.68"/>
  </r>
  <r>
    <x v="59"/>
    <n v="52.576000000000001"/>
  </r>
  <r>
    <x v="58"/>
    <n v="59.048999999999999"/>
  </r>
  <r>
    <x v="115"/>
    <n v="202.03200000000001"/>
  </r>
  <r>
    <x v="29"/>
    <n v="72.128"/>
  </r>
  <r>
    <x v="86"/>
    <n v="0.875"/>
  </r>
  <r>
    <x v="85"/>
    <n v="57.322000000000003"/>
  </r>
  <r>
    <x v="112"/>
    <n v="149.41900000000001"/>
  </r>
  <r>
    <x v="86"/>
    <n v="3.2610000000000001"/>
  </r>
  <r>
    <x v="6"/>
    <n v="626.60799999999995"/>
  </r>
  <r>
    <x v="50"/>
    <n v="140.65100000000001"/>
  </r>
  <r>
    <x v="4"/>
    <n v="10.003"/>
  </r>
  <r>
    <x v="41"/>
    <n v="15644.453"/>
  </r>
  <r>
    <x v="43"/>
    <n v="39.737000000000002"/>
  </r>
  <r>
    <x v="9"/>
    <n v="204.988"/>
  </r>
  <r>
    <x v="29"/>
    <n v="307.95499999999998"/>
  </r>
  <r>
    <x v="14"/>
    <n v="53.204000000000001"/>
  </r>
  <r>
    <x v="44"/>
    <n v="22.6"/>
  </r>
  <r>
    <x v="116"/>
    <n v="5.7080000000000002"/>
  </r>
  <r>
    <x v="70"/>
    <n v="1615.492"/>
  </r>
  <r>
    <x v="83"/>
    <n v="118.43300000000001"/>
  </r>
  <r>
    <x v="84"/>
    <n v="37.143999999999998"/>
  </r>
  <r>
    <x v="25"/>
    <n v="158.434"/>
  </r>
  <r>
    <x v="32"/>
    <n v="21.829000000000001"/>
  </r>
  <r>
    <x v="7"/>
    <n v="152.35599999999999"/>
  </r>
  <r>
    <x v="6"/>
    <n v="12.853999999999999"/>
  </r>
  <r>
    <x v="37"/>
    <n v="593.54100000000005"/>
  </r>
  <r>
    <x v="5"/>
    <n v="3517.7739999999999"/>
  </r>
  <r>
    <x v="41"/>
    <n v="74.516000000000005"/>
  </r>
  <r>
    <x v="13"/>
    <n v="104.337"/>
  </r>
  <r>
    <x v="7"/>
    <n v="48.36"/>
  </r>
  <r>
    <x v="29"/>
    <n v="606.58399999999995"/>
  </r>
  <r>
    <x v="93"/>
    <n v="25.242000000000001"/>
  </r>
  <r>
    <x v="51"/>
    <n v="663.61699999999996"/>
  </r>
  <r>
    <x v="41"/>
    <n v="523.78200000000004"/>
  </r>
  <r>
    <x v="78"/>
    <n v="182.00899999999999"/>
  </r>
  <r>
    <x v="17"/>
    <n v="16.823"/>
  </r>
  <r>
    <x v="117"/>
    <n v="75.518000000000001"/>
  </r>
  <r>
    <x v="86"/>
    <n v="3.5230000000000001"/>
  </r>
  <r>
    <x v="118"/>
    <n v="31.24"/>
  </r>
  <r>
    <x v="54"/>
    <n v="214.273"/>
  </r>
  <r>
    <x v="46"/>
    <n v="387.44600000000003"/>
  </r>
  <r>
    <x v="32"/>
    <n v="31.710999999999999"/>
  </r>
  <r>
    <x v="6"/>
    <n v="109.00700000000001"/>
  </r>
  <r>
    <x v="77"/>
    <n v="70.234999999999999"/>
  </r>
  <r>
    <x v="50"/>
    <n v="162.803"/>
  </r>
  <r>
    <x v="119"/>
    <n v="5175.0259999999998"/>
  </r>
  <r>
    <x v="72"/>
    <n v="1306.2460000000001"/>
  </r>
  <r>
    <x v="50"/>
    <n v="939.77599999999995"/>
  </r>
  <r>
    <x v="29"/>
    <n v="256.351"/>
  </r>
  <r>
    <x v="89"/>
    <n v="5.15"/>
  </r>
  <r>
    <x v="44"/>
    <n v="791.13300000000004"/>
  </r>
  <r>
    <x v="30"/>
    <n v="134.833"/>
  </r>
  <r>
    <x v="17"/>
    <n v="37.307000000000002"/>
  </r>
  <r>
    <x v="6"/>
    <n v="584.99099999999999"/>
  </r>
  <r>
    <x v="23"/>
    <n v="51.381999999999998"/>
  </r>
  <r>
    <x v="120"/>
    <n v="369.93"/>
  </r>
  <r>
    <x v="6"/>
    <n v="28787.682000000001"/>
  </r>
  <r>
    <x v="64"/>
    <n v="4073.9929999999999"/>
  </r>
  <r>
    <x v="62"/>
    <n v="1422.366"/>
  </r>
  <r>
    <x v="48"/>
    <n v="71.619"/>
  </r>
  <r>
    <x v="100"/>
    <n v="151.32"/>
  </r>
  <r>
    <x v="86"/>
    <n v="4.4219999999999997"/>
  </r>
  <r>
    <x v="2"/>
    <n v="1775.8530000000001"/>
  </r>
  <r>
    <x v="106"/>
    <n v="19.622"/>
  </r>
  <r>
    <x v="30"/>
    <n v="7428.9520000000002"/>
  </r>
  <r>
    <x v="71"/>
    <n v="6.1710000000000003"/>
  </r>
  <r>
    <x v="119"/>
    <n v="1129.5989999999999"/>
  </r>
  <r>
    <x v="85"/>
    <n v="293.18299999999999"/>
  </r>
  <r>
    <x v="71"/>
    <n v="569.60500000000002"/>
  </r>
  <r>
    <x v="32"/>
    <n v="867.53399999999999"/>
  </r>
  <r>
    <x v="4"/>
    <n v="41.887"/>
  </r>
  <r>
    <x v="115"/>
    <n v="178.506"/>
  </r>
  <r>
    <x v="43"/>
    <n v="2523.9409999999998"/>
  </r>
  <r>
    <x v="72"/>
    <n v="1073.809"/>
  </r>
  <r>
    <x v="32"/>
    <n v="27.556999999999999"/>
  </r>
  <r>
    <x v="33"/>
    <n v="15.935"/>
  </r>
  <r>
    <x v="6"/>
    <n v="435.702"/>
  </r>
  <r>
    <x v="80"/>
    <n v="6485.7929999999997"/>
  </r>
  <r>
    <x v="37"/>
    <n v="4331.5680000000002"/>
  </r>
  <r>
    <x v="6"/>
    <n v="278.73599999999999"/>
  </r>
  <r>
    <x v="119"/>
    <n v="174.822"/>
  </r>
  <r>
    <x v="44"/>
    <n v="549.83900000000006"/>
  </r>
  <r>
    <x v="43"/>
    <n v="246.279"/>
  </r>
  <r>
    <x v="77"/>
    <n v="547.45100000000002"/>
  </r>
  <r>
    <x v="6"/>
    <n v="125.998"/>
  </r>
  <r>
    <x v="37"/>
    <n v="803.56299999999999"/>
  </r>
  <r>
    <x v="70"/>
    <n v="56.923000000000002"/>
  </r>
  <r>
    <x v="54"/>
    <n v="68.688000000000002"/>
  </r>
  <r>
    <x v="64"/>
    <n v="6638.4570000000003"/>
  </r>
  <r>
    <x v="57"/>
    <n v="14593.39"/>
  </r>
  <r>
    <x v="6"/>
    <n v="6.4950000000000001"/>
  </r>
  <r>
    <x v="86"/>
    <n v="4.6139999999999999"/>
  </r>
  <r>
    <x v="79"/>
    <n v="738.82500000000005"/>
  </r>
  <r>
    <x v="48"/>
    <n v="3.0179999999999998"/>
  </r>
  <r>
    <x v="76"/>
    <n v="114.935"/>
  </r>
  <r>
    <x v="57"/>
    <n v="9610.1090000000004"/>
  </r>
  <r>
    <x v="10"/>
    <n v="7.9409999999999998"/>
  </r>
  <r>
    <x v="110"/>
    <n v="906.84199999999998"/>
  </r>
  <r>
    <x v="30"/>
    <n v="888.29200000000003"/>
  </r>
  <r>
    <x v="80"/>
    <n v="9534.8950000000004"/>
  </r>
  <r>
    <x v="17"/>
    <n v="349.358"/>
  </r>
  <r>
    <x v="6"/>
    <n v="28.35"/>
  </r>
  <r>
    <x v="105"/>
    <n v="2142.451"/>
  </r>
  <r>
    <x v="73"/>
    <n v="134.34399999999999"/>
  </r>
  <r>
    <x v="62"/>
    <n v="149.02000000000001"/>
  </r>
  <r>
    <x v="6"/>
    <n v="4407.5649999999996"/>
  </r>
  <r>
    <x v="5"/>
    <n v="970.428"/>
  </r>
  <r>
    <x v="61"/>
    <n v="236.33"/>
  </r>
  <r>
    <x v="91"/>
    <n v="626.37599999999998"/>
  </r>
  <r>
    <x v="39"/>
    <n v="122.935"/>
  </r>
  <r>
    <x v="107"/>
    <n v="10.003"/>
  </r>
  <r>
    <x v="87"/>
    <n v="313.67200000000003"/>
  </r>
  <r>
    <x v="70"/>
    <n v="468.74700000000001"/>
  </r>
  <r>
    <x v="6"/>
    <n v="13838.415999999999"/>
  </r>
  <r>
    <x v="121"/>
    <n v="76.415000000000006"/>
  </r>
  <r>
    <x v="6"/>
    <n v="710.22199999999998"/>
  </r>
  <r>
    <x v="91"/>
    <n v="334.82499999999999"/>
  </r>
  <r>
    <x v="122"/>
    <n v="64.722999999999999"/>
  </r>
  <r>
    <x v="35"/>
    <n v="478.69799999999998"/>
  </r>
  <r>
    <x v="71"/>
    <n v="7.4139999999999997"/>
  </r>
  <r>
    <x v="6"/>
    <n v="48.01"/>
  </r>
  <r>
    <x v="97"/>
    <n v="1615.1379999999999"/>
  </r>
  <r>
    <x v="84"/>
    <n v="32.927999999999997"/>
  </r>
  <r>
    <x v="49"/>
    <n v="1051.3420000000001"/>
  </r>
  <r>
    <x v="2"/>
    <n v="136.21700000000001"/>
  </r>
  <r>
    <x v="37"/>
    <n v="34.485999999999997"/>
  </r>
  <r>
    <x v="95"/>
    <n v="27.617999999999999"/>
  </r>
  <r>
    <x v="41"/>
    <n v="59.737000000000002"/>
  </r>
  <r>
    <x v="119"/>
    <n v="77.745999999999995"/>
  </r>
  <r>
    <x v="74"/>
    <n v="54.5"/>
  </r>
  <r>
    <x v="9"/>
    <n v="90.581000000000003"/>
  </r>
  <r>
    <x v="83"/>
    <n v="6492.2290000000003"/>
  </r>
  <r>
    <x v="83"/>
    <n v="97.430999999999997"/>
  </r>
  <r>
    <x v="53"/>
    <n v="186.583"/>
  </r>
  <r>
    <x v="6"/>
    <n v="497.75799999999998"/>
  </r>
  <r>
    <x v="58"/>
    <n v="150.744"/>
  </r>
  <r>
    <x v="5"/>
    <n v="9119.4310000000005"/>
  </r>
  <r>
    <x v="33"/>
    <n v="103.295"/>
  </r>
  <r>
    <x v="6"/>
    <n v="40.122999999999998"/>
  </r>
  <r>
    <x v="123"/>
    <n v="36.24"/>
  </r>
  <r>
    <x v="6"/>
    <n v="136720.81200000001"/>
  </r>
  <r>
    <x v="124"/>
    <n v="19.29"/>
  </r>
  <r>
    <x v="119"/>
    <n v="38.034999999999997"/>
  </r>
  <r>
    <x v="54"/>
    <n v="719.74900000000002"/>
  </r>
  <r>
    <x v="43"/>
    <n v="320.00599999999997"/>
  </r>
  <r>
    <x v="44"/>
    <n v="27.728999999999999"/>
  </r>
  <r>
    <x v="125"/>
    <n v="2.327"/>
  </r>
  <r>
    <x v="83"/>
    <n v="49.185000000000002"/>
  </r>
  <r>
    <x v="63"/>
    <n v="346.21600000000001"/>
  </r>
  <r>
    <x v="126"/>
    <n v="13.723000000000001"/>
  </r>
  <r>
    <x v="29"/>
    <n v="759.14200000000005"/>
  </r>
  <r>
    <x v="72"/>
    <n v="869.41899999999998"/>
  </r>
  <r>
    <x v="50"/>
    <n v="240.511"/>
  </r>
  <r>
    <x v="93"/>
    <n v="49.969000000000001"/>
  </r>
  <r>
    <x v="31"/>
    <n v="16.481000000000002"/>
  </r>
  <r>
    <x v="21"/>
    <n v="17.5"/>
  </r>
  <r>
    <x v="65"/>
    <n v="1532.65"/>
  </r>
  <r>
    <x v="5"/>
    <n v="23.966999999999999"/>
  </r>
  <r>
    <x v="87"/>
    <n v="341.94099999999997"/>
  </r>
  <r>
    <x v="21"/>
    <n v="356.89800000000002"/>
  </r>
  <r>
    <x v="54"/>
    <n v="765.54700000000003"/>
  </r>
  <r>
    <x v="51"/>
    <n v="190.11099999999999"/>
  </r>
  <r>
    <x v="6"/>
    <n v="34793.315999999999"/>
  </r>
  <r>
    <x v="127"/>
    <n v="51.351999999999997"/>
  </r>
  <r>
    <x v="128"/>
    <n v="16.52"/>
  </r>
  <r>
    <x v="51"/>
    <n v="58.496000000000002"/>
  </r>
  <r>
    <x v="49"/>
    <n v="8939.0249999999996"/>
  </r>
  <r>
    <x v="129"/>
    <n v="30.306999999999999"/>
  </r>
  <r>
    <x v="51"/>
    <n v="22.734000000000002"/>
  </r>
  <r>
    <x v="44"/>
    <n v="1555.8330000000001"/>
  </r>
  <r>
    <x v="51"/>
    <n v="1570.5329999999999"/>
  </r>
  <r>
    <x v="6"/>
    <n v="10453.549000000001"/>
  </r>
  <r>
    <x v="63"/>
    <n v="2048.7080000000001"/>
  </r>
  <r>
    <x v="5"/>
    <n v="1808.742"/>
  </r>
  <r>
    <x v="94"/>
    <n v="147412.65599999999"/>
  </r>
  <r>
    <x v="92"/>
    <n v="1.5009999999999999"/>
  </r>
  <r>
    <x v="93"/>
    <n v="13.826000000000001"/>
  </r>
  <r>
    <x v="126"/>
    <n v="70.945999999999998"/>
  </r>
  <r>
    <x v="103"/>
    <n v="492.44799999999998"/>
  </r>
  <r>
    <x v="87"/>
    <n v="23809.518"/>
  </r>
  <r>
    <x v="32"/>
    <n v="244.17699999999999"/>
  </r>
  <r>
    <x v="15"/>
    <n v="1362.3309999999999"/>
  </r>
  <r>
    <x v="57"/>
    <n v="1117.6079999999999"/>
  </r>
  <r>
    <x v="30"/>
    <n v="68.242000000000004"/>
  </r>
  <r>
    <x v="31"/>
    <n v="2378.6669999999999"/>
  </r>
  <r>
    <x v="93"/>
    <n v="43.773000000000003"/>
  </r>
  <r>
    <x v="130"/>
    <n v="111.133"/>
  </r>
  <r>
    <x v="83"/>
    <n v="682.07600000000002"/>
  </r>
  <r>
    <x v="131"/>
    <n v="15.829000000000001"/>
  </r>
  <r>
    <x v="120"/>
    <n v="197.86099999999999"/>
  </r>
  <r>
    <x v="41"/>
    <n v="242.44200000000001"/>
  </r>
  <r>
    <x v="21"/>
    <n v="82.599000000000004"/>
  </r>
  <r>
    <x v="25"/>
    <n v="13.225"/>
  </r>
  <r>
    <x v="30"/>
    <n v="1034.732"/>
  </r>
  <r>
    <x v="19"/>
    <n v="70.876000000000005"/>
  </r>
  <r>
    <x v="72"/>
    <n v="195.54"/>
  </r>
  <r>
    <x v="132"/>
    <n v="26.411000000000001"/>
  </r>
  <r>
    <x v="133"/>
    <n v="374.91500000000002"/>
  </r>
  <r>
    <x v="13"/>
    <n v="38.524000000000001"/>
  </r>
  <r>
    <x v="9"/>
    <n v="1409.614"/>
  </r>
  <r>
    <x v="103"/>
    <n v="10.029"/>
  </r>
  <r>
    <x v="10"/>
    <n v="6.29"/>
  </r>
  <r>
    <x v="115"/>
    <n v="30.152999999999999"/>
  </r>
  <r>
    <x v="91"/>
    <n v="67.745999999999995"/>
  </r>
  <r>
    <x v="54"/>
    <n v="44.631999999999998"/>
  </r>
  <r>
    <x v="134"/>
    <n v="35.499000000000002"/>
  </r>
  <r>
    <x v="71"/>
    <n v="100.545"/>
  </r>
  <r>
    <x v="80"/>
    <n v="40.156999999999996"/>
  </r>
  <r>
    <x v="117"/>
    <n v="19.106000000000002"/>
  </r>
  <r>
    <x v="80"/>
    <n v="6544.6360000000004"/>
  </r>
  <r>
    <x v="10"/>
    <n v="23.454000000000001"/>
  </r>
  <r>
    <x v="62"/>
    <n v="25.218"/>
  </r>
  <r>
    <x v="97"/>
    <n v="147.631"/>
  </r>
  <r>
    <x v="25"/>
    <n v="286.58699999999999"/>
  </r>
  <r>
    <x v="135"/>
    <n v="35.078000000000003"/>
  </r>
  <r>
    <x v="61"/>
    <n v="513.66700000000003"/>
  </r>
  <r>
    <x v="6"/>
    <n v="15945.833000000001"/>
  </r>
  <r>
    <x v="6"/>
    <n v="1318.605"/>
  </r>
  <r>
    <x v="6"/>
    <n v="58.609000000000002"/>
  </r>
  <r>
    <x v="60"/>
    <n v="900.54700000000003"/>
  </r>
  <r>
    <x v="80"/>
    <n v="1144.7829999999999"/>
  </r>
  <r>
    <x v="51"/>
    <n v="12.722"/>
  </r>
  <r>
    <x v="136"/>
    <n v="1.964"/>
  </r>
  <r>
    <x v="6"/>
    <n v="1744.258"/>
  </r>
  <r>
    <x v="71"/>
    <n v="105.036"/>
  </r>
  <r>
    <x v="80"/>
    <n v="807.875"/>
  </r>
  <r>
    <x v="37"/>
    <n v="1342.1130000000001"/>
  </r>
  <r>
    <x v="48"/>
    <n v="3.9990000000000001"/>
  </r>
  <r>
    <x v="13"/>
    <n v="432.63499999999999"/>
  </r>
  <r>
    <x v="62"/>
    <n v="2895.857"/>
  </r>
  <r>
    <x v="50"/>
    <n v="2829.5360000000001"/>
  </r>
  <r>
    <x v="83"/>
    <n v="13460.449000000001"/>
  </r>
  <r>
    <x v="115"/>
    <n v="342.09800000000001"/>
  </r>
  <r>
    <x v="20"/>
    <n v="191.90799999999999"/>
  </r>
  <r>
    <x v="45"/>
    <n v="75.299000000000007"/>
  </r>
  <r>
    <x v="37"/>
    <n v="259.839"/>
  </r>
  <r>
    <x v="102"/>
    <n v="9.9770000000000003"/>
  </r>
  <r>
    <x v="113"/>
    <n v="176.50200000000001"/>
  </r>
  <r>
    <x v="50"/>
    <n v="15.185"/>
  </r>
  <r>
    <x v="58"/>
    <n v="3457.4690000000001"/>
  </r>
  <r>
    <x v="34"/>
    <n v="408.35399999999998"/>
  </r>
  <r>
    <x v="100"/>
    <n v="1445.5730000000001"/>
  </r>
  <r>
    <x v="5"/>
    <n v="1826.5550000000001"/>
  </r>
  <r>
    <x v="36"/>
    <n v="1013.467"/>
  </r>
  <r>
    <x v="41"/>
    <n v="1378.6890000000001"/>
  </r>
  <r>
    <x v="137"/>
    <n v="60.564999999999998"/>
  </r>
  <r>
    <x v="6"/>
    <n v="637.51599999999996"/>
  </r>
  <r>
    <x v="80"/>
    <n v="7423.3869999999997"/>
  </r>
  <r>
    <x v="97"/>
    <n v="2713.598"/>
  </r>
  <r>
    <x v="102"/>
    <n v="10.047000000000001"/>
  </r>
  <r>
    <x v="49"/>
    <n v="1706.0650000000001"/>
  </r>
  <r>
    <x v="5"/>
    <n v="149.23500000000001"/>
  </r>
  <r>
    <x v="9"/>
    <n v="860.86099999999999"/>
  </r>
  <r>
    <x v="138"/>
    <n v="101.31699999999999"/>
  </r>
  <r>
    <x v="28"/>
    <n v="954.79399999999998"/>
  </r>
  <r>
    <x v="63"/>
    <n v="108.997"/>
  </r>
  <r>
    <x v="7"/>
    <n v="16.198"/>
  </r>
  <r>
    <x v="112"/>
    <n v="3441.7130000000002"/>
  </r>
  <r>
    <x v="58"/>
    <n v="227.38200000000001"/>
  </r>
  <r>
    <x v="12"/>
    <n v="26.436"/>
  </r>
  <r>
    <x v="54"/>
    <n v="1307.4059999999999"/>
  </r>
  <r>
    <x v="50"/>
    <n v="565.28"/>
  </r>
  <r>
    <x v="6"/>
    <n v="37.755000000000003"/>
  </r>
  <r>
    <x v="86"/>
    <n v="3.4279999999999999"/>
  </r>
  <r>
    <x v="6"/>
    <n v="24.186"/>
  </r>
  <r>
    <x v="6"/>
    <n v="84.739000000000004"/>
  </r>
  <r>
    <x v="48"/>
    <n v="4.9960000000000004"/>
  </r>
  <r>
    <x v="139"/>
    <n v="217.489"/>
  </r>
  <r>
    <x v="17"/>
    <n v="450.50799999999998"/>
  </r>
  <r>
    <x v="13"/>
    <n v="118.09"/>
  </r>
  <r>
    <x v="50"/>
    <n v="183.721"/>
  </r>
  <r>
    <x v="87"/>
    <n v="392.95400000000001"/>
  </r>
  <r>
    <x v="5"/>
    <n v="2712.8429999999998"/>
  </r>
  <r>
    <x v="6"/>
    <n v="574.28099999999995"/>
  </r>
  <r>
    <x v="28"/>
    <n v="39.316000000000003"/>
  </r>
  <r>
    <x v="15"/>
    <n v="211.22"/>
  </r>
  <r>
    <x v="6"/>
    <n v="12766.948"/>
  </r>
  <r>
    <x v="72"/>
    <n v="153.38499999999999"/>
  </r>
  <r>
    <x v="71"/>
    <n v="4083.1439999999998"/>
  </r>
  <r>
    <x v="2"/>
    <n v="81.572999999999993"/>
  </r>
  <r>
    <x v="93"/>
    <n v="6346.3540000000003"/>
  </r>
  <r>
    <x v="45"/>
    <n v="10.516"/>
  </r>
  <r>
    <x v="112"/>
    <n v="1367.434"/>
  </r>
  <r>
    <x v="70"/>
    <n v="107.666"/>
  </r>
  <r>
    <x v="57"/>
    <n v="186.44200000000001"/>
  </r>
  <r>
    <x v="70"/>
    <n v="155.87200000000001"/>
  </r>
  <r>
    <x v="62"/>
    <n v="24801.245999999999"/>
  </r>
  <r>
    <x v="80"/>
    <n v="35908.016000000003"/>
  </r>
  <r>
    <x v="127"/>
    <n v="430.96"/>
  </r>
  <r>
    <x v="6"/>
    <n v="604.86800000000005"/>
  </r>
  <r>
    <x v="6"/>
    <n v="8991.6049999999996"/>
  </r>
  <r>
    <x v="111"/>
    <n v="46.78"/>
  </r>
  <r>
    <x v="78"/>
    <n v="427.59699999999998"/>
  </r>
  <r>
    <x v="140"/>
    <n v="374.64100000000002"/>
  </r>
  <r>
    <x v="21"/>
    <n v="12.882"/>
  </r>
  <r>
    <x v="6"/>
    <n v="95.102000000000004"/>
  </r>
  <r>
    <x v="6"/>
    <n v="497.68400000000003"/>
  </r>
  <r>
    <x v="72"/>
    <n v="883.15300000000002"/>
  </r>
  <r>
    <x v="64"/>
    <n v="3779.21"/>
  </r>
  <r>
    <x v="15"/>
    <n v="430.642"/>
  </r>
  <r>
    <x v="6"/>
    <n v="109.206"/>
  </r>
  <r>
    <x v="6"/>
    <n v="25.081"/>
  </r>
  <r>
    <x v="8"/>
    <n v="2179.558"/>
  </r>
  <r>
    <x v="32"/>
    <n v="187.14500000000001"/>
  </r>
  <r>
    <x v="15"/>
    <n v="14676.198"/>
  </r>
  <r>
    <x v="6"/>
    <n v="70452.945000000007"/>
  </r>
  <r>
    <x v="37"/>
    <n v="895.50099999999998"/>
  </r>
  <r>
    <x v="5"/>
    <n v="42687.101999999999"/>
  </r>
  <r>
    <x v="74"/>
    <n v="729.31899999999996"/>
  </r>
  <r>
    <x v="7"/>
    <n v="646.58000000000004"/>
  </r>
  <r>
    <x v="141"/>
    <n v="193.209"/>
  </r>
  <r>
    <x v="142"/>
    <n v="10.4"/>
  </r>
  <r>
    <x v="29"/>
    <n v="302.68099999999998"/>
  </r>
  <r>
    <x v="71"/>
    <n v="6.242"/>
  </r>
  <r>
    <x v="63"/>
    <n v="43.749000000000002"/>
  </r>
  <r>
    <x v="6"/>
    <n v="70.352999999999994"/>
  </r>
  <r>
    <x v="119"/>
    <n v="17468.778999999999"/>
  </r>
  <r>
    <x v="71"/>
    <n v="7.4480000000000004"/>
  </r>
  <r>
    <x v="94"/>
    <n v="6947.991"/>
  </r>
  <r>
    <x v="105"/>
    <n v="229.06800000000001"/>
  </r>
  <r>
    <x v="143"/>
    <n v="51.1"/>
  </r>
  <r>
    <x v="93"/>
    <n v="753.72900000000004"/>
  </r>
  <r>
    <x v="19"/>
    <n v="19.870999999999999"/>
  </r>
  <r>
    <x v="62"/>
    <n v="131.62"/>
  </r>
  <r>
    <x v="126"/>
    <n v="122.215"/>
  </r>
  <r>
    <x v="9"/>
    <n v="16521.599999999999"/>
  </r>
  <r>
    <x v="6"/>
    <n v="6454.2370000000001"/>
  </r>
  <r>
    <x v="72"/>
    <n v="1466.2670000000001"/>
  </r>
  <r>
    <x v="15"/>
    <n v="1213.1020000000001"/>
  </r>
  <r>
    <x v="59"/>
    <n v="73.25"/>
  </r>
  <r>
    <x v="116"/>
    <n v="141.08199999999999"/>
  </r>
  <r>
    <x v="126"/>
    <n v="364.22"/>
  </r>
  <r>
    <x v="39"/>
    <n v="303.065"/>
  </r>
  <r>
    <x v="6"/>
    <n v="1485.9549999999999"/>
  </r>
  <r>
    <x v="98"/>
    <n v="289.66399999999999"/>
  </r>
  <r>
    <x v="50"/>
    <n v="1095.73"/>
  </r>
  <r>
    <x v="51"/>
    <n v="165.06700000000001"/>
  </r>
  <r>
    <x v="144"/>
    <n v="29.747"/>
  </r>
  <r>
    <x v="65"/>
    <n v="60167.226999999999"/>
  </r>
  <r>
    <x v="6"/>
    <n v="19890.866999999998"/>
  </r>
  <r>
    <x v="29"/>
    <n v="413.40899999999999"/>
  </r>
  <r>
    <x v="30"/>
    <n v="2264.2530000000002"/>
  </r>
  <r>
    <x v="70"/>
    <n v="63.113"/>
  </r>
  <r>
    <x v="15"/>
    <n v="911.82600000000002"/>
  </r>
  <r>
    <x v="9"/>
    <n v="18.059999999999999"/>
  </r>
  <r>
    <x v="145"/>
    <n v="4833.8879999999999"/>
  </r>
  <r>
    <x v="145"/>
    <n v="564.58699999999999"/>
  </r>
  <r>
    <x v="5"/>
    <n v="3902.7579999999998"/>
  </r>
  <r>
    <x v="146"/>
    <n v="115.149"/>
  </r>
  <r>
    <x v="93"/>
    <n v="13.032"/>
  </r>
  <r>
    <x v="6"/>
    <n v="451.87400000000002"/>
  </r>
  <r>
    <x v="54"/>
    <n v="23.908000000000001"/>
  </r>
  <r>
    <x v="77"/>
    <n v="1349.9580000000001"/>
  </r>
  <r>
    <x v="28"/>
    <n v="1397.7650000000001"/>
  </r>
  <r>
    <x v="37"/>
    <n v="181.417"/>
  </r>
  <r>
    <x v="7"/>
    <n v="18.364000000000001"/>
  </r>
  <r>
    <x v="6"/>
    <n v="2368.232"/>
  </r>
  <r>
    <x v="83"/>
    <n v="154.465"/>
  </r>
  <r>
    <x v="97"/>
    <n v="1738.999"/>
  </r>
  <r>
    <x v="71"/>
    <n v="50.093000000000004"/>
  </r>
  <r>
    <x v="2"/>
    <n v="6333.5330000000004"/>
  </r>
  <r>
    <x v="28"/>
    <n v="2543.096"/>
  </r>
  <r>
    <x v="6"/>
    <n v="698.654"/>
  </r>
  <r>
    <x v="147"/>
    <n v="296.53399999999999"/>
  </r>
  <r>
    <x v="128"/>
    <n v="13.574"/>
  </r>
  <r>
    <x v="45"/>
    <n v="4.9619999999999997"/>
  </r>
  <r>
    <x v="73"/>
    <n v="838.19500000000005"/>
  </r>
  <r>
    <x v="6"/>
    <n v="22.013999999999999"/>
  </r>
  <r>
    <x v="54"/>
    <n v="6655.4639999999999"/>
  </r>
  <r>
    <x v="97"/>
    <n v="113.524"/>
  </r>
  <r>
    <x v="130"/>
    <n v="111.342"/>
  </r>
  <r>
    <x v="32"/>
    <n v="1930.433"/>
  </r>
  <r>
    <x v="148"/>
    <n v="72.206999999999994"/>
  </r>
  <r>
    <x v="149"/>
    <n v="3.0230000000000001"/>
  </r>
  <r>
    <x v="45"/>
    <n v="50.411000000000001"/>
  </r>
  <r>
    <x v="77"/>
    <n v="6795.6360000000004"/>
  </r>
  <r>
    <x v="64"/>
    <n v="197.48699999999999"/>
  </r>
  <r>
    <x v="79"/>
    <n v="1256.6220000000001"/>
  </r>
  <r>
    <x v="135"/>
    <n v="44.414999999999999"/>
  </r>
  <r>
    <x v="25"/>
    <n v="17.413"/>
  </r>
  <r>
    <x v="6"/>
    <n v="246.43799999999999"/>
  </r>
  <r>
    <x v="16"/>
    <n v="9.9380000000000006"/>
  </r>
  <r>
    <x v="6"/>
    <n v="17398.463"/>
  </r>
  <r>
    <x v="122"/>
    <n v="62.627000000000002"/>
  </r>
  <r>
    <x v="6"/>
    <n v="1003.588"/>
  </r>
  <r>
    <x v="6"/>
    <n v="67.134"/>
  </r>
  <r>
    <x v="124"/>
    <n v="9.3800000000000008"/>
  </r>
  <r>
    <x v="29"/>
    <n v="882.851"/>
  </r>
  <r>
    <x v="80"/>
    <n v="1201.6849999999999"/>
  </r>
  <r>
    <x v="110"/>
    <n v="208.77"/>
  </r>
  <r>
    <x v="58"/>
    <n v="17.238"/>
  </r>
  <r>
    <x v="93"/>
    <n v="28.734000000000002"/>
  </r>
  <r>
    <x v="150"/>
    <n v="41.929000000000002"/>
  </r>
  <r>
    <x v="4"/>
    <n v="36.158999999999999"/>
  </r>
  <r>
    <x v="57"/>
    <n v="9910.6959999999999"/>
  </r>
  <r>
    <x v="151"/>
    <n v="221.29400000000001"/>
  </r>
  <r>
    <x v="71"/>
    <n v="338.959"/>
  </r>
  <r>
    <x v="49"/>
    <n v="5981.5839999999998"/>
  </r>
  <r>
    <x v="46"/>
    <n v="553.91"/>
  </r>
  <r>
    <x v="127"/>
    <n v="64.709999999999994"/>
  </r>
  <r>
    <x v="71"/>
    <n v="597.06700000000001"/>
  </r>
  <r>
    <x v="7"/>
    <n v="167.89400000000001"/>
  </r>
  <r>
    <x v="6"/>
    <n v="445.42200000000003"/>
  </r>
  <r>
    <x v="32"/>
    <n v="681.94200000000001"/>
  </r>
  <r>
    <x v="44"/>
    <n v="835.30200000000002"/>
  </r>
  <r>
    <x v="71"/>
    <n v="6.2460000000000004"/>
  </r>
  <r>
    <x v="108"/>
    <n v="374.89699999999999"/>
  </r>
  <r>
    <x v="93"/>
    <n v="297.81400000000002"/>
  </r>
  <r>
    <x v="83"/>
    <n v="210.36500000000001"/>
  </r>
  <r>
    <x v="119"/>
    <n v="72.341999999999999"/>
  </r>
  <r>
    <x v="5"/>
    <n v="11050.914000000001"/>
  </r>
  <r>
    <x v="72"/>
    <n v="26.824999999999999"/>
  </r>
  <r>
    <x v="130"/>
    <n v="108.495"/>
  </r>
  <r>
    <x v="6"/>
    <n v="42.914000000000001"/>
  </r>
  <r>
    <x v="119"/>
    <n v="135.61000000000001"/>
  </r>
  <r>
    <x v="83"/>
    <n v="105.663"/>
  </r>
  <r>
    <x v="146"/>
    <n v="1.7609999999999999"/>
  </r>
  <r>
    <x v="8"/>
    <n v="34.706000000000003"/>
  </r>
  <r>
    <x v="52"/>
    <n v="22.702000000000002"/>
  </r>
  <r>
    <x v="29"/>
    <n v="131.16200000000001"/>
  </r>
  <r>
    <x v="83"/>
    <n v="169.88399999999999"/>
  </r>
  <r>
    <x v="32"/>
    <n v="98.968000000000004"/>
  </r>
  <r>
    <x v="6"/>
    <n v="33811.027000000002"/>
  </r>
  <r>
    <x v="6"/>
    <n v="1065.7329999999999"/>
  </r>
  <r>
    <x v="71"/>
    <n v="6.2709999999999999"/>
  </r>
  <r>
    <x v="6"/>
    <n v="3794.558"/>
  </r>
  <r>
    <x v="6"/>
    <n v="4708.4489999999996"/>
  </r>
  <r>
    <x v="87"/>
    <n v="1268.5730000000001"/>
  </r>
  <r>
    <x v="78"/>
    <n v="112.005"/>
  </r>
  <r>
    <x v="6"/>
    <n v="2344.7800000000002"/>
  </r>
  <r>
    <x v="7"/>
    <n v="2550.7370000000001"/>
  </r>
  <r>
    <x v="77"/>
    <n v="3763.2539999999999"/>
  </r>
  <r>
    <x v="71"/>
    <n v="344.07600000000002"/>
  </r>
  <r>
    <x v="6"/>
    <n v="987.34400000000005"/>
  </r>
  <r>
    <x v="6"/>
    <n v="21943.578000000001"/>
  </r>
  <r>
    <x v="5"/>
    <n v="8461.4490000000005"/>
  </r>
  <r>
    <x v="30"/>
    <n v="105.675"/>
  </r>
  <r>
    <x v="32"/>
    <n v="280.596"/>
  </r>
  <r>
    <x v="93"/>
    <n v="20.329999999999998"/>
  </r>
  <r>
    <x v="7"/>
    <n v="8.673"/>
  </r>
  <r>
    <x v="29"/>
    <n v="2670.9189999999999"/>
  </r>
  <r>
    <x v="29"/>
    <n v="4273.1890000000003"/>
  </r>
  <r>
    <x v="8"/>
    <n v="187.19900000000001"/>
  </r>
  <r>
    <x v="25"/>
    <n v="17.693999999999999"/>
  </r>
  <r>
    <x v="6"/>
    <n v="1982.787"/>
  </r>
  <r>
    <x v="80"/>
    <n v="3028.8510000000001"/>
  </r>
  <r>
    <x v="29"/>
    <n v="1175.7629999999999"/>
  </r>
  <r>
    <x v="70"/>
    <n v="33.908999999999999"/>
  </r>
  <r>
    <x v="6"/>
    <n v="3489.14"/>
  </r>
  <r>
    <x v="6"/>
    <n v="217.001"/>
  </r>
  <r>
    <x v="6"/>
    <n v="46056.91"/>
  </r>
  <r>
    <x v="9"/>
    <n v="49.006"/>
  </r>
  <r>
    <x v="152"/>
    <n v="42.497"/>
  </r>
  <r>
    <x v="153"/>
    <n v="361.27199999999999"/>
  </r>
  <r>
    <x v="6"/>
    <n v="47.106000000000002"/>
  </r>
  <r>
    <x v="6"/>
    <n v="107.087"/>
  </r>
  <r>
    <x v="93"/>
    <n v="254.179"/>
  </r>
  <r>
    <x v="65"/>
    <n v="26184.493999999999"/>
  </r>
  <r>
    <x v="71"/>
    <n v="27.541"/>
  </r>
  <r>
    <x v="94"/>
    <n v="27361.923999999999"/>
  </r>
  <r>
    <x v="65"/>
    <n v="40213.703000000001"/>
  </r>
  <r>
    <x v="6"/>
    <n v="23674.85"/>
  </r>
  <r>
    <x v="86"/>
    <n v="43.293999999999997"/>
  </r>
  <r>
    <x v="154"/>
    <n v="3.5489999999999999"/>
  </r>
  <r>
    <x v="43"/>
    <n v="32.073999999999998"/>
  </r>
  <r>
    <x v="9"/>
    <n v="43.264000000000003"/>
  </r>
  <r>
    <x v="80"/>
    <n v="33.456000000000003"/>
  </r>
  <r>
    <x v="54"/>
    <n v="9.5310000000000006"/>
  </r>
  <r>
    <x v="8"/>
    <n v="8.9239999999999995"/>
  </r>
  <r>
    <x v="121"/>
    <n v="128.316"/>
  </r>
  <r>
    <x v="87"/>
    <n v="338.36"/>
  </r>
  <r>
    <x v="6"/>
    <n v="432.36399999999998"/>
  </r>
  <r>
    <x v="2"/>
    <n v="1429.4259999999999"/>
  </r>
  <r>
    <x v="149"/>
    <n v="2.2759999999999998"/>
  </r>
  <r>
    <x v="6"/>
    <n v="497.31799999999998"/>
  </r>
  <r>
    <x v="9"/>
    <n v="21.350999999999999"/>
  </r>
  <r>
    <x v="80"/>
    <n v="5708.7839999999997"/>
  </r>
  <r>
    <x v="89"/>
    <n v="29.530999999999999"/>
  </r>
  <r>
    <x v="29"/>
    <n v="4478.0959999999995"/>
  </r>
  <r>
    <x v="64"/>
    <n v="1916.742"/>
  </r>
  <r>
    <x v="6"/>
    <n v="16522.094000000001"/>
  </r>
  <r>
    <x v="93"/>
    <n v="38.905999999999999"/>
  </r>
  <r>
    <x v="7"/>
    <n v="301.77"/>
  </r>
  <r>
    <x v="57"/>
    <n v="11932.841"/>
  </r>
  <r>
    <x v="6"/>
    <n v="1066.7249999999999"/>
  </r>
  <r>
    <x v="6"/>
    <n v="3614.66"/>
  </r>
  <r>
    <x v="155"/>
    <n v="273.072"/>
  </r>
  <r>
    <x v="86"/>
    <n v="3.4790000000000001"/>
  </r>
  <r>
    <x v="71"/>
    <n v="12.468999999999999"/>
  </r>
  <r>
    <x v="32"/>
    <n v="417.91800000000001"/>
  </r>
  <r>
    <x v="6"/>
    <n v="3655.6869999999999"/>
  </r>
  <r>
    <x v="4"/>
    <n v="2.5310000000000001"/>
  </r>
  <r>
    <x v="6"/>
    <n v="35.895000000000003"/>
  </r>
  <r>
    <x v="34"/>
    <n v="142.339"/>
  </r>
  <r>
    <x v="29"/>
    <n v="31.065999999999999"/>
  </r>
  <r>
    <x v="93"/>
    <n v="397.12299999999999"/>
  </r>
  <r>
    <x v="146"/>
    <n v="106.66500000000001"/>
  </r>
  <r>
    <x v="29"/>
    <n v="1318.5809999999999"/>
  </r>
  <r>
    <x v="94"/>
    <n v="42883.171999999999"/>
  </r>
  <r>
    <x v="6"/>
    <n v="3879.335"/>
  </r>
  <r>
    <x v="32"/>
    <n v="162.20599999999999"/>
  </r>
  <r>
    <x v="93"/>
    <n v="9.23"/>
  </r>
  <r>
    <x v="29"/>
    <n v="1564.807"/>
  </r>
  <r>
    <x v="80"/>
    <n v="25.814"/>
  </r>
  <r>
    <x v="32"/>
    <n v="167.66200000000001"/>
  </r>
  <r>
    <x v="51"/>
    <n v="680.41"/>
  </r>
  <r>
    <x v="54"/>
    <n v="33.999000000000002"/>
  </r>
  <r>
    <x v="65"/>
    <n v="36889.366999999998"/>
  </r>
  <r>
    <x v="5"/>
    <n v="5987.9840000000004"/>
  </r>
  <r>
    <x v="5"/>
    <n v="9682.0120000000006"/>
  </r>
  <r>
    <x v="28"/>
    <n v="648.16200000000003"/>
  </r>
  <r>
    <x v="6"/>
    <n v="1539.0150000000001"/>
  </r>
  <r>
    <x v="30"/>
    <n v="274.90699999999998"/>
  </r>
  <r>
    <x v="57"/>
    <n v="12322.781999999999"/>
  </r>
  <r>
    <x v="57"/>
    <n v="692.15899999999999"/>
  </r>
  <r>
    <x v="6"/>
    <n v="1447.22"/>
  </r>
  <r>
    <x v="25"/>
    <n v="11.061"/>
  </r>
  <r>
    <x v="6"/>
    <n v="2785.826"/>
  </r>
  <r>
    <x v="6"/>
    <n v="1086.4179999999999"/>
  </r>
  <r>
    <x v="6"/>
    <n v="2141.8090000000002"/>
  </r>
  <r>
    <x v="93"/>
    <n v="31.507999999999999"/>
  </r>
  <r>
    <x v="29"/>
    <n v="3243.7190000000001"/>
  </r>
  <r>
    <x v="6"/>
    <n v="470.91399999999999"/>
  </r>
  <r>
    <x v="6"/>
    <n v="715.92700000000002"/>
  </r>
  <r>
    <x v="7"/>
    <n v="1327.2470000000001"/>
  </r>
  <r>
    <x v="6"/>
    <n v="17739.368999999999"/>
  </r>
  <r>
    <x v="29"/>
    <n v="2357.5940000000001"/>
  </r>
  <r>
    <x v="156"/>
    <n v="5720.1419999999998"/>
  </r>
  <r>
    <x v="148"/>
    <n v="65.099999999999994"/>
  </r>
  <r>
    <x v="93"/>
    <n v="9.9600000000000009"/>
  </r>
  <r>
    <x v="32"/>
    <n v="218.33500000000001"/>
  </r>
  <r>
    <x v="48"/>
    <n v="6.0259999999999998"/>
  </r>
  <r>
    <x v="8"/>
    <n v="6.6079999999999997"/>
  </r>
  <r>
    <x v="17"/>
    <n v="90.858000000000004"/>
  </r>
  <r>
    <x v="91"/>
    <n v="95.593000000000004"/>
  </r>
  <r>
    <x v="71"/>
    <n v="32.570999999999998"/>
  </r>
  <r>
    <x v="4"/>
    <n v="455.91500000000002"/>
  </r>
  <r>
    <x v="8"/>
    <n v="287.99599999999998"/>
  </r>
  <r>
    <x v="30"/>
    <n v="1286.2950000000001"/>
  </r>
  <r>
    <x v="2"/>
    <n v="636.42200000000003"/>
  </r>
  <r>
    <x v="6"/>
    <n v="11.593999999999999"/>
  </r>
  <r>
    <x v="3"/>
    <n v="99.004999999999995"/>
  </r>
  <r>
    <x v="6"/>
    <n v="572.34400000000005"/>
  </r>
  <r>
    <x v="71"/>
    <n v="30.013000000000002"/>
  </r>
  <r>
    <x v="70"/>
    <n v="146.28899999999999"/>
  </r>
  <r>
    <x v="5"/>
    <n v="401.52300000000002"/>
  </r>
  <r>
    <x v="80"/>
    <n v="64.296999999999997"/>
  </r>
  <r>
    <x v="157"/>
    <n v="173.184"/>
  </r>
  <r>
    <x v="52"/>
    <n v="76.975999999999999"/>
  </r>
  <r>
    <x v="5"/>
    <n v="233.50899999999999"/>
  </r>
  <r>
    <x v="146"/>
    <n v="498.21100000000001"/>
  </r>
  <r>
    <x v="17"/>
    <n v="82.7"/>
  </r>
  <r>
    <x v="71"/>
    <n v="27.452999999999999"/>
  </r>
  <r>
    <x v="16"/>
    <n v="45.872999999999998"/>
  </r>
  <r>
    <x v="30"/>
    <n v="32.302"/>
  </r>
  <r>
    <x v="33"/>
    <n v="161.054"/>
  </r>
  <r>
    <x v="25"/>
    <n v="47.174999999999997"/>
  </r>
  <r>
    <x v="158"/>
    <n v="4.4130000000000003"/>
  </r>
  <r>
    <x v="86"/>
    <n v="2.6139999999999999"/>
  </r>
  <r>
    <x v="6"/>
    <n v="657.87800000000004"/>
  </r>
  <r>
    <x v="5"/>
    <n v="340.858"/>
  </r>
  <r>
    <x v="41"/>
    <n v="41.866999999999997"/>
  </r>
  <r>
    <x v="5"/>
    <n v="1282.3050000000001"/>
  </r>
  <r>
    <x v="52"/>
    <n v="52.040999999999997"/>
  </r>
  <r>
    <x v="159"/>
    <n v="460.01900000000001"/>
  </r>
  <r>
    <x v="25"/>
    <n v="65.81"/>
  </r>
  <r>
    <x v="17"/>
    <n v="667.20699999999999"/>
  </r>
  <r>
    <x v="12"/>
    <n v="153.82599999999999"/>
  </r>
  <r>
    <x v="62"/>
    <n v="424.88900000000001"/>
  </r>
  <r>
    <x v="8"/>
    <n v="1.421"/>
  </r>
  <r>
    <x v="4"/>
    <n v="182.744"/>
  </r>
  <r>
    <x v="25"/>
    <n v="257.79700000000003"/>
  </r>
  <r>
    <x v="25"/>
    <n v="18.718"/>
  </r>
  <r>
    <x v="16"/>
    <n v="159.69800000000001"/>
  </r>
  <r>
    <x v="20"/>
    <n v="481.27800000000002"/>
  </r>
  <r>
    <x v="17"/>
    <n v="145.03200000000001"/>
  </r>
  <r>
    <x v="160"/>
    <n v="388.27199999999999"/>
  </r>
  <r>
    <x v="105"/>
    <n v="1778.37"/>
  </r>
  <r>
    <x v="160"/>
    <n v="1850.2760000000001"/>
  </r>
  <r>
    <x v="160"/>
    <n v="380.20100000000002"/>
  </r>
  <r>
    <x v="160"/>
    <n v="466.42200000000003"/>
  </r>
  <r>
    <x v="8"/>
    <n v="0.5"/>
  </r>
  <r>
    <x v="8"/>
    <n v="0.499"/>
  </r>
  <r>
    <x v="8"/>
    <n v="0.5"/>
  </r>
  <r>
    <x v="8"/>
    <n v="0.499"/>
  </r>
  <r>
    <x v="8"/>
    <n v="0.501"/>
  </r>
  <r>
    <x v="8"/>
    <n v="0.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">
  <r>
    <x v="0"/>
    <n v="54.368000000000002"/>
  </r>
  <r>
    <x v="0"/>
    <n v="11.999000000000001"/>
  </r>
  <r>
    <x v="1"/>
    <n v="71.376999999999995"/>
  </r>
  <r>
    <x v="1"/>
    <n v="129.376"/>
  </r>
  <r>
    <x v="2"/>
    <n v="23.463000000000001"/>
  </r>
  <r>
    <x v="3"/>
    <n v="10.24"/>
  </r>
  <r>
    <x v="3"/>
    <n v="153.4"/>
  </r>
  <r>
    <x v="3"/>
    <n v="74.691000000000003"/>
  </r>
  <r>
    <x v="1"/>
    <n v="12.404"/>
  </r>
  <r>
    <x v="0"/>
    <n v="151.71100000000001"/>
  </r>
  <r>
    <x v="4"/>
    <n v="19.286000000000001"/>
  </r>
  <r>
    <x v="3"/>
    <n v="10.138999999999999"/>
  </r>
  <r>
    <x v="1"/>
    <n v="166.589"/>
  </r>
  <r>
    <x v="5"/>
    <n v="27.920999999999999"/>
  </r>
  <r>
    <x v="5"/>
    <n v="171.09200000000001"/>
  </r>
  <r>
    <x v="3"/>
    <n v="5.5119999999999996"/>
  </r>
  <r>
    <x v="5"/>
    <n v="2.79"/>
  </r>
  <r>
    <x v="6"/>
    <n v="9.8450000000000006"/>
  </r>
  <r>
    <x v="1"/>
    <n v="36.770000000000003"/>
  </r>
  <r>
    <x v="2"/>
    <n v="71.887"/>
  </r>
  <r>
    <x v="1"/>
    <n v="204.96600000000001"/>
  </r>
  <r>
    <x v="3"/>
    <n v="261.77699999999999"/>
  </r>
  <r>
    <x v="0"/>
    <n v="1.9670000000000001"/>
  </r>
  <r>
    <x v="3"/>
    <n v="108.63"/>
  </r>
  <r>
    <x v="0"/>
    <n v="5.0599999999999996"/>
  </r>
  <r>
    <x v="4"/>
    <n v="2.2839999999999998"/>
  </r>
  <r>
    <x v="4"/>
    <n v="56.942"/>
  </r>
  <r>
    <x v="2"/>
    <n v="369.73599999999999"/>
  </r>
  <r>
    <x v="2"/>
    <n v="13.898"/>
  </r>
  <r>
    <x v="3"/>
    <n v="43.793999999999997"/>
  </r>
  <r>
    <x v="1"/>
    <n v="39.186999999999998"/>
  </r>
  <r>
    <x v="3"/>
    <n v="41.075000000000003"/>
  </r>
  <r>
    <x v="3"/>
    <n v="63.444000000000003"/>
  </r>
  <r>
    <x v="3"/>
    <n v="72.075000000000003"/>
  </r>
  <r>
    <x v="2"/>
    <n v="1273.03"/>
  </r>
  <r>
    <x v="3"/>
    <n v="18.335999999999999"/>
  </r>
  <r>
    <x v="2"/>
    <n v="7.8330000000000002"/>
  </r>
  <r>
    <x v="1"/>
    <n v="9.8170000000000002"/>
  </r>
  <r>
    <x v="2"/>
    <n v="108.309"/>
  </r>
  <r>
    <x v="3"/>
    <n v="89.668999999999997"/>
  </r>
  <r>
    <x v="2"/>
    <n v="985.66499999999996"/>
  </r>
  <r>
    <x v="7"/>
    <n v="9.5519999999999996"/>
  </r>
  <r>
    <x v="2"/>
    <n v="2.9039999999999999"/>
  </r>
  <r>
    <x v="5"/>
    <n v="19.774000000000001"/>
  </r>
  <r>
    <x v="3"/>
    <n v="20.363"/>
  </r>
  <r>
    <x v="3"/>
    <n v="289.30900000000003"/>
  </r>
  <r>
    <x v="2"/>
    <n v="1.84"/>
  </r>
  <r>
    <x v="3"/>
    <n v="291.49799999999999"/>
  </r>
  <r>
    <x v="5"/>
    <n v="78.519000000000005"/>
  </r>
  <r>
    <x v="4"/>
    <n v="43.899000000000001"/>
  </r>
  <r>
    <x v="0"/>
    <n v="0.94299999999999995"/>
  </r>
  <r>
    <x v="3"/>
    <n v="252.96299999999999"/>
  </r>
  <r>
    <x v="2"/>
    <n v="296.298"/>
  </r>
  <r>
    <x v="1"/>
    <n v="413.39699999999999"/>
  </r>
  <r>
    <x v="7"/>
    <n v="11.157999999999999"/>
  </r>
  <r>
    <x v="0"/>
    <n v="129.88800000000001"/>
  </r>
  <r>
    <x v="3"/>
    <n v="926.87900000000002"/>
  </r>
  <r>
    <x v="3"/>
    <n v="45.609000000000002"/>
  </r>
  <r>
    <x v="3"/>
    <n v="962.91"/>
  </r>
  <r>
    <x v="3"/>
    <n v="20.97"/>
  </r>
  <r>
    <x v="4"/>
    <n v="32.164999999999999"/>
  </r>
  <r>
    <x v="6"/>
    <n v="4.0830000000000002"/>
  </r>
  <r>
    <x v="3"/>
    <n v="23.459"/>
  </r>
  <r>
    <x v="7"/>
    <n v="6.230999999999999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n v="801.59199999999998"/>
  </r>
  <r>
    <x v="1"/>
    <n v="225.96799999999999"/>
  </r>
  <r>
    <x v="2"/>
    <n v="203.571"/>
  </r>
  <r>
    <x v="1"/>
    <n v="898.14499999999998"/>
  </r>
  <r>
    <x v="0"/>
    <n v="43.976999999999997"/>
  </r>
  <r>
    <x v="3"/>
    <n v="149.02699999999999"/>
  </r>
  <r>
    <x v="1"/>
    <n v="578.08699999999999"/>
  </r>
  <r>
    <x v="4"/>
    <n v="3937.853000000000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x v="0"/>
    <n v="2.137"/>
  </r>
  <r>
    <x v="0"/>
    <n v="14.971"/>
  </r>
  <r>
    <x v="1"/>
    <n v="10.005000000000001"/>
  </r>
  <r>
    <x v="2"/>
    <n v="507.50700000000001"/>
  </r>
  <r>
    <x v="3"/>
    <n v="630.601"/>
  </r>
  <r>
    <x v="0"/>
    <n v="6.01"/>
  </r>
  <r>
    <x v="1"/>
    <n v="23.044"/>
  </r>
  <r>
    <x v="0"/>
    <n v="7.6260000000000003"/>
  </r>
  <r>
    <x v="4"/>
    <n v="332.77100000000002"/>
  </r>
  <r>
    <x v="0"/>
    <n v="63.62"/>
  </r>
  <r>
    <x v="5"/>
    <n v="1.016"/>
  </r>
  <r>
    <x v="6"/>
    <n v="19.388999999999999"/>
  </r>
  <r>
    <x v="1"/>
    <n v="176.23400000000001"/>
  </r>
  <r>
    <x v="1"/>
    <n v="51.832000000000001"/>
  </r>
  <r>
    <x v="7"/>
    <n v="12.449"/>
  </r>
  <r>
    <x v="6"/>
    <n v="26.091000000000001"/>
  </r>
  <r>
    <x v="3"/>
    <n v="177.10499999999999"/>
  </r>
  <r>
    <x v="7"/>
    <n v="15.32"/>
  </r>
  <r>
    <x v="1"/>
    <n v="6.2450000000000001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7">
  <r>
    <x v="0"/>
  </r>
  <r>
    <x v="0"/>
  </r>
  <r>
    <x v="0"/>
  </r>
  <r>
    <x v="1"/>
  </r>
  <r>
    <x v="2"/>
  </r>
  <r>
    <x v="0"/>
  </r>
  <r>
    <x v="0"/>
  </r>
  <r>
    <x v="3"/>
  </r>
  <r>
    <x v="3"/>
  </r>
  <r>
    <x v="4"/>
  </r>
  <r>
    <x v="3"/>
  </r>
  <r>
    <x v="3"/>
  </r>
  <r>
    <x v="3"/>
  </r>
  <r>
    <x v="3"/>
  </r>
  <r>
    <x v="1"/>
  </r>
  <r>
    <x v="5"/>
  </r>
  <r>
    <x v="4"/>
  </r>
  <r>
    <x v="5"/>
  </r>
  <r>
    <x v="4"/>
  </r>
  <r>
    <x v="6"/>
  </r>
  <r>
    <x v="6"/>
  </r>
  <r>
    <x v="3"/>
  </r>
  <r>
    <x v="0"/>
  </r>
  <r>
    <x v="6"/>
  </r>
  <r>
    <x v="3"/>
  </r>
  <r>
    <x v="5"/>
  </r>
  <r>
    <x v="2"/>
  </r>
  <r>
    <x v="6"/>
  </r>
  <r>
    <x v="1"/>
  </r>
  <r>
    <x v="5"/>
  </r>
  <r>
    <x v="5"/>
  </r>
  <r>
    <x v="5"/>
  </r>
  <r>
    <x v="3"/>
  </r>
  <r>
    <x v="6"/>
  </r>
  <r>
    <x v="3"/>
  </r>
  <r>
    <x v="7"/>
  </r>
  <r>
    <x v="1"/>
  </r>
  <r>
    <x v="1"/>
  </r>
  <r>
    <x v="1"/>
  </r>
  <r>
    <x v="5"/>
  </r>
  <r>
    <x v="3"/>
  </r>
  <r>
    <x v="5"/>
  </r>
  <r>
    <x v="5"/>
  </r>
  <r>
    <x v="2"/>
  </r>
  <r>
    <x v="1"/>
  </r>
  <r>
    <x v="2"/>
  </r>
  <r>
    <x v="5"/>
  </r>
  <r>
    <x v="1"/>
  </r>
  <r>
    <x v="6"/>
  </r>
  <r>
    <x v="1"/>
  </r>
  <r>
    <x v="2"/>
  </r>
  <r>
    <x v="1"/>
  </r>
  <r>
    <x v="6"/>
  </r>
  <r>
    <x v="1"/>
  </r>
  <r>
    <x v="2"/>
  </r>
  <r>
    <x v="1"/>
  </r>
  <r>
    <x v="1"/>
  </r>
  <r>
    <x v="5"/>
  </r>
  <r>
    <x v="5"/>
  </r>
  <r>
    <x v="2"/>
  </r>
  <r>
    <x v="1"/>
  </r>
  <r>
    <x v="5"/>
  </r>
  <r>
    <x v="5"/>
  </r>
  <r>
    <x v="1"/>
  </r>
  <r>
    <x v="5"/>
  </r>
  <r>
    <x v="2"/>
  </r>
  <r>
    <x v="1"/>
  </r>
  <r>
    <x v="2"/>
  </r>
  <r>
    <x v="5"/>
  </r>
  <r>
    <x v="1"/>
  </r>
  <r>
    <x v="5"/>
  </r>
  <r>
    <x v="5"/>
  </r>
  <r>
    <x v="5"/>
  </r>
  <r>
    <x v="5"/>
  </r>
  <r>
    <x v="5"/>
  </r>
  <r>
    <x v="2"/>
  </r>
  <r>
    <x v="2"/>
  </r>
  <r>
    <x v="5"/>
  </r>
  <r>
    <x v="5"/>
  </r>
  <r>
    <x v="5"/>
  </r>
  <r>
    <x v="7"/>
  </r>
  <r>
    <x v="5"/>
  </r>
  <r>
    <x v="6"/>
  </r>
  <r>
    <x v="2"/>
  </r>
  <r>
    <x v="7"/>
  </r>
  <r>
    <x v="5"/>
  </r>
  <r>
    <x v="3"/>
  </r>
  <r>
    <x v="5"/>
  </r>
  <r>
    <x v="6"/>
  </r>
  <r>
    <x v="5"/>
  </r>
  <r>
    <x v="2"/>
  </r>
  <r>
    <x v="8"/>
  </r>
  <r>
    <x v="1"/>
  </r>
  <r>
    <x v="5"/>
  </r>
  <r>
    <x v="3"/>
  </r>
  <r>
    <x v="5"/>
  </r>
  <r>
    <x v="2"/>
  </r>
  <r>
    <x v="5"/>
  </r>
  <r>
    <x v="7"/>
  </r>
  <r>
    <x v="1"/>
  </r>
  <r>
    <x v="5"/>
  </r>
  <r>
    <x v="0"/>
  </r>
  <r>
    <x v="5"/>
  </r>
  <r>
    <x v="2"/>
  </r>
  <r>
    <x v="1"/>
  </r>
  <r>
    <x v="5"/>
  </r>
  <r>
    <x v="6"/>
  </r>
  <r>
    <x v="4"/>
  </r>
  <r>
    <x v="5"/>
  </r>
  <r>
    <x v="5"/>
  </r>
  <r>
    <x v="5"/>
  </r>
  <r>
    <x v="1"/>
  </r>
  <r>
    <x v="6"/>
  </r>
  <r>
    <x v="5"/>
  </r>
  <r>
    <x v="5"/>
  </r>
  <r>
    <x v="6"/>
  </r>
  <r>
    <x v="1"/>
  </r>
  <r>
    <x v="1"/>
  </r>
  <r>
    <x v="5"/>
  </r>
  <r>
    <x v="0"/>
  </r>
  <r>
    <x v="6"/>
  </r>
  <r>
    <x v="5"/>
  </r>
  <r>
    <x v="2"/>
  </r>
  <r>
    <x v="2"/>
  </r>
  <r>
    <x v="7"/>
  </r>
  <r>
    <x v="1"/>
  </r>
  <r>
    <x v="2"/>
  </r>
  <r>
    <x v="5"/>
  </r>
  <r>
    <x v="2"/>
  </r>
  <r>
    <x v="1"/>
  </r>
  <r>
    <x v="5"/>
  </r>
  <r>
    <x v="5"/>
  </r>
  <r>
    <x v="6"/>
  </r>
  <r>
    <x v="5"/>
  </r>
  <r>
    <x v="5"/>
  </r>
  <r>
    <x v="6"/>
  </r>
  <r>
    <x v="5"/>
  </r>
  <r>
    <x v="8"/>
  </r>
  <r>
    <x v="5"/>
  </r>
  <r>
    <x v="7"/>
  </r>
  <r>
    <x v="5"/>
  </r>
  <r>
    <x v="1"/>
  </r>
  <r>
    <x v="2"/>
  </r>
  <r>
    <x v="5"/>
  </r>
  <r>
    <x v="5"/>
  </r>
  <r>
    <x v="1"/>
  </r>
  <r>
    <x v="1"/>
  </r>
  <r>
    <x v="6"/>
  </r>
  <r>
    <x v="5"/>
  </r>
  <r>
    <x v="5"/>
  </r>
  <r>
    <x v="2"/>
  </r>
  <r>
    <x v="1"/>
  </r>
  <r>
    <x v="5"/>
  </r>
  <r>
    <x v="1"/>
  </r>
  <r>
    <x v="3"/>
  </r>
  <r>
    <x v="5"/>
  </r>
  <r>
    <x v="7"/>
  </r>
  <r>
    <x v="2"/>
  </r>
  <r>
    <x v="5"/>
  </r>
  <r>
    <x v="2"/>
  </r>
  <r>
    <x v="2"/>
  </r>
  <r>
    <x v="2"/>
  </r>
  <r>
    <x v="5"/>
  </r>
  <r>
    <x v="2"/>
  </r>
  <r>
    <x v="6"/>
  </r>
  <r>
    <x v="2"/>
  </r>
  <r>
    <x v="2"/>
  </r>
  <r>
    <x v="5"/>
  </r>
  <r>
    <x v="2"/>
  </r>
  <r>
    <x v="2"/>
  </r>
  <r>
    <x v="5"/>
  </r>
  <r>
    <x v="5"/>
  </r>
  <r>
    <x v="1"/>
  </r>
  <r>
    <x v="5"/>
  </r>
  <r>
    <x v="5"/>
  </r>
  <r>
    <x v="1"/>
  </r>
  <r>
    <x v="5"/>
  </r>
  <r>
    <x v="5"/>
  </r>
  <r>
    <x v="2"/>
  </r>
  <r>
    <x v="5"/>
  </r>
  <r>
    <x v="2"/>
  </r>
  <r>
    <x v="6"/>
  </r>
  <r>
    <x v="4"/>
  </r>
  <r>
    <x v="5"/>
  </r>
  <r>
    <x v="2"/>
  </r>
  <r>
    <x v="2"/>
  </r>
  <r>
    <x v="1"/>
  </r>
  <r>
    <x v="5"/>
  </r>
  <r>
    <x v="5"/>
  </r>
  <r>
    <x v="5"/>
  </r>
  <r>
    <x v="5"/>
  </r>
  <r>
    <x v="5"/>
  </r>
  <r>
    <x v="5"/>
  </r>
  <r>
    <x v="7"/>
  </r>
  <r>
    <x v="1"/>
  </r>
  <r>
    <x v="9"/>
  </r>
  <r>
    <x v="5"/>
  </r>
  <r>
    <x v="2"/>
  </r>
  <r>
    <x v="5"/>
  </r>
  <r>
    <x v="3"/>
  </r>
  <r>
    <x v="3"/>
  </r>
  <r>
    <x v="8"/>
  </r>
  <r>
    <x v="5"/>
  </r>
  <r>
    <x v="6"/>
  </r>
  <r>
    <x v="9"/>
  </r>
  <r>
    <x v="2"/>
  </r>
  <r>
    <x v="5"/>
  </r>
  <r>
    <x v="2"/>
  </r>
  <r>
    <x v="5"/>
  </r>
  <r>
    <x v="2"/>
  </r>
  <r>
    <x v="5"/>
  </r>
  <r>
    <x v="5"/>
  </r>
  <r>
    <x v="2"/>
  </r>
  <r>
    <x v="5"/>
  </r>
  <r>
    <x v="5"/>
  </r>
  <r>
    <x v="6"/>
  </r>
  <r>
    <x v="7"/>
  </r>
  <r>
    <x v="7"/>
  </r>
  <r>
    <x v="1"/>
  </r>
  <r>
    <x v="2"/>
  </r>
  <r>
    <x v="2"/>
  </r>
  <r>
    <x v="7"/>
  </r>
  <r>
    <x v="2"/>
  </r>
  <r>
    <x v="1"/>
  </r>
  <r>
    <x v="2"/>
  </r>
  <r>
    <x v="2"/>
  </r>
  <r>
    <x v="3"/>
  </r>
  <r>
    <x v="5"/>
  </r>
  <r>
    <x v="2"/>
  </r>
  <r>
    <x v="2"/>
  </r>
  <r>
    <x v="6"/>
  </r>
  <r>
    <x v="2"/>
  </r>
  <r>
    <x v="2"/>
  </r>
  <r>
    <x v="1"/>
  </r>
  <r>
    <x v="8"/>
  </r>
  <r>
    <x v="7"/>
  </r>
  <r>
    <x v="2"/>
  </r>
  <r>
    <x v="5"/>
  </r>
  <r>
    <x v="5"/>
  </r>
  <r>
    <x v="5"/>
  </r>
  <r>
    <x v="8"/>
  </r>
  <r>
    <x v="5"/>
  </r>
  <r>
    <x v="8"/>
  </r>
  <r>
    <x v="2"/>
  </r>
  <r>
    <x v="6"/>
  </r>
  <r>
    <x v="7"/>
  </r>
  <r>
    <x v="5"/>
  </r>
  <r>
    <x v="2"/>
  </r>
  <r>
    <x v="1"/>
  </r>
  <r>
    <x v="1"/>
  </r>
  <r>
    <x v="2"/>
  </r>
  <r>
    <x v="5"/>
  </r>
  <r>
    <x v="5"/>
  </r>
  <r>
    <x v="2"/>
  </r>
  <r>
    <x v="1"/>
  </r>
  <r>
    <x v="1"/>
  </r>
  <r>
    <x v="6"/>
  </r>
  <r>
    <x v="4"/>
  </r>
  <r>
    <x v="1"/>
  </r>
  <r>
    <x v="1"/>
  </r>
  <r>
    <x v="9"/>
  </r>
  <r>
    <x v="1"/>
  </r>
  <r>
    <x v="6"/>
  </r>
  <r>
    <x v="1"/>
  </r>
  <r>
    <x v="2"/>
  </r>
  <r>
    <x v="3"/>
  </r>
  <r>
    <x v="3"/>
  </r>
  <r>
    <x v="5"/>
  </r>
  <r>
    <x v="2"/>
  </r>
  <r>
    <x v="5"/>
  </r>
  <r>
    <x v="2"/>
  </r>
  <r>
    <x v="6"/>
  </r>
  <r>
    <x v="2"/>
  </r>
  <r>
    <x v="5"/>
  </r>
  <r>
    <x v="1"/>
  </r>
  <r>
    <x v="10"/>
  </r>
  <r>
    <x v="2"/>
  </r>
  <r>
    <x v="5"/>
  </r>
  <r>
    <x v="2"/>
  </r>
  <r>
    <x v="5"/>
  </r>
  <r>
    <x v="5"/>
  </r>
  <r>
    <x v="2"/>
  </r>
  <r>
    <x v="6"/>
  </r>
  <r>
    <x v="2"/>
  </r>
  <r>
    <x v="2"/>
  </r>
  <r>
    <x v="1"/>
  </r>
  <r>
    <x v="2"/>
  </r>
  <r>
    <x v="1"/>
  </r>
  <r>
    <x v="5"/>
  </r>
  <r>
    <x v="1"/>
  </r>
  <r>
    <x v="9"/>
  </r>
  <r>
    <x v="5"/>
  </r>
  <r>
    <x v="2"/>
  </r>
  <r>
    <x v="5"/>
  </r>
  <r>
    <x v="6"/>
  </r>
  <r>
    <x v="1"/>
  </r>
  <r>
    <x v="6"/>
  </r>
  <r>
    <x v="1"/>
  </r>
  <r>
    <x v="1"/>
  </r>
  <r>
    <x v="3"/>
  </r>
  <r>
    <x v="6"/>
  </r>
  <r>
    <x v="2"/>
  </r>
  <r>
    <x v="3"/>
  </r>
  <r>
    <x v="5"/>
  </r>
  <r>
    <x v="5"/>
  </r>
  <r>
    <x v="6"/>
  </r>
  <r>
    <x v="1"/>
  </r>
  <r>
    <x v="1"/>
  </r>
  <r>
    <x v="5"/>
  </r>
  <r>
    <x v="5"/>
  </r>
  <r>
    <x v="1"/>
  </r>
  <r>
    <x v="5"/>
  </r>
  <r>
    <x v="7"/>
  </r>
  <r>
    <x v="1"/>
  </r>
  <r>
    <x v="2"/>
  </r>
  <r>
    <x v="7"/>
  </r>
  <r>
    <x v="1"/>
  </r>
  <r>
    <x v="5"/>
  </r>
  <r>
    <x v="4"/>
  </r>
  <r>
    <x v="1"/>
  </r>
  <r>
    <x v="2"/>
  </r>
  <r>
    <x v="1"/>
  </r>
  <r>
    <x v="5"/>
  </r>
  <r>
    <x v="2"/>
  </r>
  <r>
    <x v="2"/>
  </r>
  <r>
    <x v="2"/>
  </r>
  <r>
    <x v="1"/>
  </r>
  <r>
    <x v="5"/>
  </r>
  <r>
    <x v="2"/>
  </r>
  <r>
    <x v="5"/>
  </r>
  <r>
    <x v="7"/>
  </r>
  <r>
    <x v="6"/>
  </r>
  <r>
    <x v="5"/>
  </r>
  <r>
    <x v="5"/>
  </r>
  <r>
    <x v="5"/>
  </r>
  <r>
    <x v="9"/>
  </r>
  <r>
    <x v="6"/>
  </r>
  <r>
    <x v="1"/>
  </r>
  <r>
    <x v="5"/>
  </r>
  <r>
    <x v="5"/>
  </r>
  <r>
    <x v="6"/>
  </r>
  <r>
    <x v="5"/>
  </r>
  <r>
    <x v="1"/>
  </r>
  <r>
    <x v="7"/>
  </r>
  <r>
    <x v="5"/>
  </r>
  <r>
    <x v="2"/>
  </r>
  <r>
    <x v="2"/>
  </r>
  <r>
    <x v="5"/>
  </r>
  <r>
    <x v="7"/>
  </r>
  <r>
    <x v="8"/>
  </r>
  <r>
    <x v="2"/>
  </r>
  <r>
    <x v="2"/>
  </r>
  <r>
    <x v="1"/>
  </r>
  <r>
    <x v="9"/>
  </r>
  <r>
    <x v="9"/>
  </r>
  <r>
    <x v="3"/>
  </r>
  <r>
    <x v="4"/>
  </r>
  <r>
    <x v="5"/>
  </r>
  <r>
    <x v="1"/>
  </r>
  <r>
    <x v="5"/>
  </r>
  <r>
    <x v="8"/>
  </r>
  <r>
    <x v="2"/>
  </r>
  <r>
    <x v="1"/>
  </r>
  <r>
    <x v="2"/>
  </r>
  <r>
    <x v="6"/>
  </r>
  <r>
    <x v="5"/>
  </r>
  <r>
    <x v="2"/>
  </r>
  <r>
    <x v="6"/>
  </r>
  <r>
    <x v="1"/>
  </r>
  <r>
    <x v="5"/>
  </r>
  <r>
    <x v="1"/>
  </r>
  <r>
    <x v="1"/>
  </r>
  <r>
    <x v="1"/>
  </r>
  <r>
    <x v="2"/>
  </r>
  <r>
    <x v="5"/>
  </r>
  <r>
    <x v="1"/>
  </r>
  <r>
    <x v="5"/>
  </r>
  <r>
    <x v="6"/>
  </r>
  <r>
    <x v="2"/>
  </r>
  <r>
    <x v="1"/>
  </r>
  <r>
    <x v="1"/>
  </r>
  <r>
    <x v="2"/>
  </r>
  <r>
    <x v="5"/>
  </r>
  <r>
    <x v="8"/>
  </r>
  <r>
    <x v="2"/>
  </r>
  <r>
    <x v="5"/>
  </r>
  <r>
    <x v="5"/>
  </r>
  <r>
    <x v="8"/>
  </r>
  <r>
    <x v="2"/>
  </r>
  <r>
    <x v="2"/>
  </r>
  <r>
    <x v="2"/>
  </r>
  <r>
    <x v="6"/>
  </r>
  <r>
    <x v="2"/>
  </r>
  <r>
    <x v="1"/>
  </r>
  <r>
    <x v="1"/>
  </r>
  <r>
    <x v="2"/>
  </r>
  <r>
    <x v="1"/>
  </r>
  <r>
    <x v="6"/>
  </r>
  <r>
    <x v="1"/>
  </r>
  <r>
    <x v="4"/>
  </r>
  <r>
    <x v="2"/>
  </r>
  <r>
    <x v="2"/>
  </r>
  <r>
    <x v="2"/>
  </r>
  <r>
    <x v="2"/>
  </r>
  <r>
    <x v="5"/>
  </r>
  <r>
    <x v="1"/>
  </r>
  <r>
    <x v="5"/>
  </r>
  <r>
    <x v="9"/>
  </r>
  <r>
    <x v="5"/>
  </r>
  <r>
    <x v="2"/>
  </r>
  <r>
    <x v="2"/>
  </r>
  <r>
    <x v="5"/>
  </r>
  <r>
    <x v="10"/>
  </r>
  <r>
    <x v="5"/>
  </r>
  <r>
    <x v="1"/>
  </r>
  <r>
    <x v="1"/>
  </r>
  <r>
    <x v="2"/>
  </r>
  <r>
    <x v="1"/>
  </r>
  <r>
    <x v="8"/>
  </r>
  <r>
    <x v="5"/>
  </r>
  <r>
    <x v="2"/>
  </r>
  <r>
    <x v="6"/>
  </r>
  <r>
    <x v="2"/>
  </r>
  <r>
    <x v="5"/>
  </r>
  <r>
    <x v="9"/>
  </r>
  <r>
    <x v="5"/>
  </r>
  <r>
    <x v="1"/>
  </r>
  <r>
    <x v="1"/>
  </r>
  <r>
    <x v="2"/>
  </r>
  <r>
    <x v="6"/>
  </r>
  <r>
    <x v="1"/>
  </r>
  <r>
    <x v="1"/>
  </r>
  <r>
    <x v="1"/>
  </r>
  <r>
    <x v="5"/>
  </r>
  <r>
    <x v="2"/>
  </r>
  <r>
    <x v="1"/>
  </r>
  <r>
    <x v="2"/>
  </r>
  <r>
    <x v="7"/>
  </r>
  <r>
    <x v="1"/>
  </r>
  <r>
    <x v="1"/>
  </r>
  <r>
    <x v="2"/>
  </r>
  <r>
    <x v="1"/>
  </r>
  <r>
    <x v="9"/>
  </r>
  <r>
    <x v="2"/>
  </r>
  <r>
    <x v="1"/>
  </r>
  <r>
    <x v="7"/>
  </r>
  <r>
    <x v="1"/>
  </r>
  <r>
    <x v="1"/>
  </r>
  <r>
    <x v="1"/>
  </r>
  <r>
    <x v="4"/>
  </r>
  <r>
    <x v="2"/>
  </r>
  <r>
    <x v="6"/>
  </r>
  <r>
    <x v="7"/>
  </r>
  <r>
    <x v="4"/>
  </r>
  <r>
    <x v="1"/>
  </r>
  <r>
    <x v="1"/>
  </r>
  <r>
    <x v="1"/>
  </r>
  <r>
    <x v="1"/>
  </r>
  <r>
    <x v="6"/>
  </r>
  <r>
    <x v="1"/>
  </r>
  <r>
    <x v="6"/>
  </r>
  <r>
    <x v="4"/>
  </r>
  <r>
    <x v="1"/>
  </r>
  <r>
    <x v="1"/>
  </r>
  <r>
    <x v="1"/>
  </r>
  <r>
    <x v="1"/>
  </r>
  <r>
    <x v="4"/>
  </r>
  <r>
    <x v="5"/>
  </r>
  <r>
    <x v="1"/>
  </r>
  <r>
    <x v="8"/>
  </r>
  <r>
    <x v="2"/>
  </r>
  <r>
    <x v="2"/>
  </r>
  <r>
    <x v="1"/>
  </r>
  <r>
    <x v="4"/>
  </r>
  <r>
    <x v="8"/>
  </r>
  <r>
    <x v="1"/>
  </r>
  <r>
    <x v="7"/>
  </r>
  <r>
    <x v="1"/>
  </r>
  <r>
    <x v="2"/>
  </r>
  <r>
    <x v="5"/>
  </r>
  <r>
    <x v="2"/>
  </r>
  <r>
    <x v="2"/>
  </r>
  <r>
    <x v="1"/>
  </r>
  <r>
    <x v="4"/>
  </r>
  <r>
    <x v="8"/>
  </r>
  <r>
    <x v="1"/>
  </r>
  <r>
    <x v="8"/>
  </r>
  <r>
    <x v="9"/>
  </r>
  <r>
    <x v="4"/>
  </r>
  <r>
    <x v="1"/>
  </r>
  <r>
    <x v="1"/>
  </r>
  <r>
    <x v="8"/>
  </r>
  <r>
    <x v="1"/>
  </r>
  <r>
    <x v="2"/>
  </r>
  <r>
    <x v="2"/>
  </r>
  <r>
    <x v="1"/>
  </r>
  <r>
    <x v="1"/>
  </r>
  <r>
    <x v="2"/>
  </r>
  <r>
    <x v="4"/>
  </r>
  <r>
    <x v="5"/>
  </r>
  <r>
    <x v="1"/>
  </r>
  <r>
    <x v="2"/>
  </r>
  <r>
    <x v="6"/>
  </r>
  <r>
    <x v="1"/>
  </r>
  <r>
    <x v="8"/>
  </r>
  <r>
    <x v="2"/>
  </r>
  <r>
    <x v="1"/>
  </r>
  <r>
    <x v="5"/>
  </r>
  <r>
    <x v="1"/>
  </r>
  <r>
    <x v="1"/>
  </r>
  <r>
    <x v="2"/>
  </r>
  <r>
    <x v="1"/>
  </r>
  <r>
    <x v="5"/>
  </r>
  <r>
    <x v="1"/>
  </r>
  <r>
    <x v="2"/>
  </r>
  <r>
    <x v="8"/>
  </r>
  <r>
    <x v="2"/>
  </r>
  <r>
    <x v="2"/>
  </r>
  <r>
    <x v="1"/>
  </r>
  <r>
    <x v="1"/>
  </r>
  <r>
    <x v="2"/>
  </r>
  <r>
    <x v="1"/>
  </r>
  <r>
    <x v="1"/>
  </r>
  <r>
    <x v="2"/>
  </r>
  <r>
    <x v="1"/>
  </r>
  <r>
    <x v="1"/>
  </r>
  <r>
    <x v="1"/>
  </r>
  <r>
    <x v="1"/>
  </r>
  <r>
    <x v="8"/>
  </r>
  <r>
    <x v="1"/>
  </r>
  <r>
    <x v="1"/>
  </r>
  <r>
    <x v="5"/>
  </r>
  <r>
    <x v="1"/>
  </r>
  <r>
    <x v="2"/>
  </r>
  <r>
    <x v="1"/>
  </r>
  <r>
    <x v="4"/>
  </r>
  <r>
    <x v="1"/>
  </r>
  <r>
    <x v="1"/>
  </r>
  <r>
    <x v="1"/>
  </r>
  <r>
    <x v="1"/>
  </r>
  <r>
    <x v="1"/>
  </r>
  <r>
    <x v="2"/>
  </r>
  <r>
    <x v="1"/>
  </r>
  <r>
    <x v="4"/>
  </r>
  <r>
    <x v="1"/>
  </r>
  <r>
    <x v="4"/>
  </r>
  <r>
    <x v="1"/>
  </r>
  <r>
    <x v="1"/>
  </r>
  <r>
    <x v="7"/>
  </r>
  <r>
    <x v="1"/>
  </r>
  <r>
    <x v="5"/>
  </r>
  <r>
    <x v="7"/>
  </r>
  <r>
    <x v="6"/>
  </r>
  <r>
    <x v="5"/>
  </r>
  <r>
    <x v="2"/>
  </r>
  <r>
    <x v="1"/>
  </r>
  <r>
    <x v="1"/>
  </r>
  <r>
    <x v="1"/>
  </r>
  <r>
    <x v="1"/>
  </r>
  <r>
    <x v="1"/>
  </r>
  <r>
    <x v="5"/>
  </r>
  <r>
    <x v="6"/>
  </r>
  <r>
    <x v="5"/>
  </r>
  <r>
    <x v="1"/>
  </r>
  <r>
    <x v="2"/>
  </r>
  <r>
    <x v="1"/>
  </r>
  <r>
    <x v="1"/>
  </r>
  <r>
    <x v="2"/>
  </r>
  <r>
    <x v="1"/>
  </r>
  <r>
    <x v="5"/>
  </r>
  <r>
    <x v="1"/>
  </r>
  <r>
    <x v="2"/>
  </r>
  <r>
    <x v="2"/>
  </r>
  <r>
    <x v="2"/>
  </r>
  <r>
    <x v="1"/>
  </r>
  <r>
    <x v="5"/>
  </r>
  <r>
    <x v="2"/>
  </r>
  <r>
    <x v="2"/>
  </r>
  <r>
    <x v="4"/>
  </r>
  <r>
    <x v="1"/>
  </r>
  <r>
    <x v="1"/>
  </r>
  <r>
    <x v="1"/>
  </r>
  <r>
    <x v="1"/>
  </r>
  <r>
    <x v="2"/>
  </r>
  <r>
    <x v="2"/>
  </r>
  <r>
    <x v="4"/>
  </r>
  <r>
    <x v="9"/>
  </r>
  <r>
    <x v="4"/>
  </r>
  <r>
    <x v="1"/>
  </r>
  <r>
    <x v="1"/>
  </r>
  <r>
    <x v="1"/>
  </r>
  <r>
    <x v="1"/>
  </r>
  <r>
    <x v="1"/>
  </r>
  <r>
    <x v="2"/>
  </r>
  <r>
    <x v="1"/>
  </r>
  <r>
    <x v="1"/>
  </r>
  <r>
    <x v="2"/>
  </r>
  <r>
    <x v="1"/>
  </r>
  <r>
    <x v="1"/>
  </r>
  <r>
    <x v="1"/>
  </r>
  <r>
    <x v="1"/>
  </r>
  <r>
    <x v="3"/>
  </r>
  <r>
    <x v="4"/>
  </r>
  <r>
    <x v="2"/>
  </r>
  <r>
    <x v="8"/>
  </r>
  <r>
    <x v="1"/>
  </r>
  <r>
    <x v="2"/>
  </r>
  <r>
    <x v="1"/>
  </r>
  <r>
    <x v="1"/>
  </r>
  <r>
    <x v="8"/>
  </r>
  <r>
    <x v="1"/>
  </r>
  <r>
    <x v="6"/>
  </r>
  <r>
    <x v="1"/>
  </r>
  <r>
    <x v="1"/>
  </r>
  <r>
    <x v="4"/>
  </r>
  <r>
    <x v="8"/>
  </r>
  <r>
    <x v="2"/>
  </r>
  <r>
    <x v="1"/>
  </r>
  <r>
    <x v="1"/>
  </r>
  <r>
    <x v="1"/>
  </r>
  <r>
    <x v="1"/>
  </r>
  <r>
    <x v="2"/>
  </r>
  <r>
    <x v="4"/>
  </r>
  <r>
    <x v="4"/>
  </r>
  <r>
    <x v="6"/>
  </r>
  <r>
    <x v="4"/>
  </r>
  <r>
    <x v="4"/>
  </r>
  <r>
    <x v="6"/>
  </r>
  <r>
    <x v="1"/>
  </r>
  <r>
    <x v="1"/>
  </r>
  <r>
    <x v="1"/>
  </r>
  <r>
    <x v="1"/>
  </r>
  <r>
    <x v="2"/>
  </r>
  <r>
    <x v="5"/>
  </r>
  <r>
    <x v="2"/>
  </r>
  <r>
    <x v="1"/>
  </r>
  <r>
    <x v="4"/>
  </r>
  <r>
    <x v="1"/>
  </r>
  <r>
    <x v="1"/>
  </r>
  <r>
    <x v="1"/>
  </r>
  <r>
    <x v="6"/>
  </r>
  <r>
    <x v="6"/>
  </r>
  <r>
    <x v="1"/>
  </r>
  <r>
    <x v="8"/>
  </r>
  <r>
    <x v="1"/>
  </r>
  <r>
    <x v="1"/>
  </r>
  <r>
    <x v="8"/>
  </r>
  <r>
    <x v="1"/>
  </r>
  <r>
    <x v="1"/>
  </r>
  <r>
    <x v="5"/>
  </r>
  <r>
    <x v="1"/>
  </r>
  <r>
    <x v="1"/>
  </r>
  <r>
    <x v="8"/>
  </r>
  <r>
    <x v="1"/>
  </r>
  <r>
    <x v="1"/>
  </r>
  <r>
    <x v="4"/>
  </r>
  <r>
    <x v="7"/>
  </r>
  <r>
    <x v="1"/>
  </r>
  <r>
    <x v="6"/>
  </r>
  <r>
    <x v="4"/>
  </r>
  <r>
    <x v="6"/>
  </r>
  <r>
    <x v="1"/>
  </r>
  <r>
    <x v="6"/>
  </r>
  <r>
    <x v="8"/>
  </r>
  <r>
    <x v="1"/>
  </r>
  <r>
    <x v="6"/>
  </r>
  <r>
    <x v="1"/>
  </r>
  <r>
    <x v="6"/>
  </r>
  <r>
    <x v="1"/>
  </r>
  <r>
    <x v="5"/>
  </r>
  <r>
    <x v="1"/>
  </r>
  <r>
    <x v="4"/>
  </r>
  <r>
    <x v="5"/>
  </r>
  <r>
    <x v="2"/>
  </r>
  <r>
    <x v="1"/>
  </r>
  <r>
    <x v="4"/>
  </r>
  <r>
    <x v="4"/>
  </r>
  <r>
    <x v="2"/>
  </r>
  <r>
    <x v="1"/>
  </r>
  <r>
    <x v="1"/>
  </r>
  <r>
    <x v="1"/>
  </r>
  <r>
    <x v="6"/>
  </r>
  <r>
    <x v="6"/>
  </r>
  <r>
    <x v="8"/>
  </r>
  <r>
    <x v="1"/>
  </r>
  <r>
    <x v="6"/>
  </r>
  <r>
    <x v="6"/>
  </r>
  <r>
    <x v="1"/>
  </r>
  <r>
    <x v="1"/>
  </r>
  <r>
    <x v="1"/>
  </r>
  <r>
    <x v="6"/>
  </r>
  <r>
    <x v="1"/>
  </r>
  <r>
    <x v="1"/>
  </r>
  <r>
    <x v="2"/>
  </r>
  <r>
    <x v="8"/>
  </r>
  <r>
    <x v="6"/>
  </r>
  <r>
    <x v="1"/>
  </r>
  <r>
    <x v="5"/>
  </r>
  <r>
    <x v="2"/>
  </r>
  <r>
    <x v="6"/>
  </r>
  <r>
    <x v="2"/>
  </r>
  <r>
    <x v="6"/>
  </r>
  <r>
    <x v="1"/>
  </r>
  <r>
    <x v="6"/>
  </r>
  <r>
    <x v="2"/>
  </r>
  <r>
    <x v="6"/>
  </r>
  <r>
    <x v="6"/>
  </r>
  <r>
    <x v="6"/>
  </r>
  <r>
    <x v="6"/>
  </r>
  <r>
    <x v="5"/>
  </r>
  <r>
    <x v="2"/>
  </r>
  <r>
    <x v="5"/>
  </r>
  <r>
    <x v="5"/>
  </r>
  <r>
    <x v="1"/>
  </r>
  <r>
    <x v="1"/>
  </r>
  <r>
    <x v="6"/>
  </r>
  <r>
    <x v="6"/>
  </r>
  <r>
    <x v="1"/>
  </r>
  <r>
    <x v="1"/>
  </r>
  <r>
    <x v="2"/>
  </r>
  <r>
    <x v="1"/>
  </r>
  <r>
    <x v="4"/>
  </r>
  <r>
    <x v="1"/>
  </r>
  <r>
    <x v="1"/>
  </r>
  <r>
    <x v="1"/>
  </r>
  <r>
    <x v="2"/>
  </r>
  <r>
    <x v="6"/>
  </r>
  <r>
    <x v="2"/>
  </r>
  <r>
    <x v="6"/>
  </r>
  <r>
    <x v="1"/>
  </r>
  <r>
    <x v="1"/>
  </r>
  <r>
    <x v="6"/>
  </r>
  <r>
    <x v="6"/>
  </r>
  <r>
    <x v="1"/>
  </r>
  <r>
    <x v="9"/>
  </r>
  <r>
    <x v="1"/>
  </r>
  <r>
    <x v="1"/>
  </r>
  <r>
    <x v="1"/>
  </r>
  <r>
    <x v="1"/>
  </r>
  <r>
    <x v="4"/>
  </r>
  <r>
    <x v="2"/>
  </r>
  <r>
    <x v="6"/>
  </r>
  <r>
    <x v="2"/>
  </r>
  <r>
    <x v="2"/>
  </r>
  <r>
    <x v="6"/>
  </r>
  <r>
    <x v="6"/>
  </r>
  <r>
    <x v="6"/>
  </r>
  <r>
    <x v="2"/>
  </r>
  <r>
    <x v="1"/>
  </r>
  <r>
    <x v="1"/>
  </r>
  <r>
    <x v="6"/>
  </r>
  <r>
    <x v="2"/>
  </r>
  <r>
    <x v="1"/>
  </r>
  <r>
    <x v="6"/>
  </r>
  <r>
    <x v="2"/>
  </r>
  <r>
    <x v="1"/>
  </r>
  <r>
    <x v="1"/>
  </r>
  <r>
    <x v="2"/>
  </r>
  <r>
    <x v="2"/>
  </r>
  <r>
    <x v="2"/>
  </r>
  <r>
    <x v="1"/>
  </r>
  <r>
    <x v="1"/>
  </r>
  <r>
    <x v="1"/>
  </r>
  <r>
    <x v="6"/>
  </r>
  <r>
    <x v="6"/>
  </r>
  <r>
    <x v="2"/>
  </r>
  <r>
    <x v="1"/>
  </r>
  <r>
    <x v="6"/>
  </r>
  <r>
    <x v="2"/>
  </r>
  <r>
    <x v="6"/>
  </r>
  <r>
    <x v="2"/>
  </r>
  <r>
    <x v="2"/>
  </r>
  <r>
    <x v="1"/>
  </r>
  <r>
    <x v="1"/>
  </r>
  <r>
    <x v="1"/>
  </r>
  <r>
    <x v="9"/>
  </r>
  <r>
    <x v="6"/>
  </r>
  <r>
    <x v="6"/>
  </r>
  <r>
    <x v="1"/>
  </r>
  <r>
    <x v="2"/>
  </r>
  <r>
    <x v="2"/>
  </r>
  <r>
    <x v="2"/>
  </r>
  <r>
    <x v="6"/>
  </r>
  <r>
    <x v="2"/>
  </r>
  <r>
    <x v="2"/>
  </r>
  <r>
    <x v="2"/>
  </r>
  <r>
    <x v="1"/>
  </r>
  <r>
    <x v="1"/>
  </r>
  <r>
    <x v="1"/>
  </r>
  <r>
    <x v="2"/>
  </r>
  <r>
    <x v="2"/>
  </r>
  <r>
    <x v="1"/>
  </r>
  <r>
    <x v="1"/>
  </r>
  <r>
    <x v="2"/>
  </r>
  <r>
    <x v="2"/>
  </r>
  <r>
    <x v="2"/>
  </r>
  <r>
    <x v="2"/>
  </r>
  <r>
    <x v="6"/>
  </r>
  <r>
    <x v="2"/>
  </r>
  <r>
    <x v="2"/>
  </r>
  <r>
    <x v="2"/>
  </r>
  <r>
    <x v="2"/>
  </r>
  <r>
    <x v="2"/>
  </r>
  <r>
    <x v="6"/>
  </r>
  <r>
    <x v="6"/>
  </r>
  <r>
    <x v="7"/>
  </r>
  <r>
    <x v="2"/>
  </r>
  <r>
    <x v="2"/>
  </r>
  <r>
    <x v="2"/>
  </r>
  <r>
    <x v="6"/>
  </r>
  <r>
    <x v="6"/>
  </r>
  <r>
    <x v="2"/>
  </r>
  <r>
    <x v="8"/>
  </r>
  <r>
    <x v="1"/>
  </r>
  <r>
    <x v="2"/>
  </r>
  <r>
    <x v="6"/>
  </r>
  <r>
    <x v="6"/>
  </r>
  <r>
    <x v="6"/>
  </r>
  <r>
    <x v="2"/>
  </r>
  <r>
    <x v="1"/>
  </r>
  <r>
    <x v="2"/>
  </r>
  <r>
    <x v="6"/>
  </r>
  <r>
    <x v="6"/>
  </r>
  <r>
    <x v="6"/>
  </r>
  <r>
    <x v="2"/>
  </r>
  <r>
    <x v="1"/>
  </r>
  <r>
    <x v="6"/>
  </r>
  <r>
    <x v="2"/>
  </r>
  <r>
    <x v="6"/>
  </r>
  <r>
    <x v="1"/>
  </r>
  <r>
    <x v="1"/>
  </r>
  <r>
    <x v="6"/>
  </r>
  <r>
    <x v="2"/>
  </r>
  <r>
    <x v="1"/>
  </r>
  <r>
    <x v="6"/>
  </r>
  <r>
    <x v="6"/>
  </r>
  <r>
    <x v="1"/>
  </r>
  <r>
    <x v="1"/>
  </r>
  <r>
    <x v="2"/>
  </r>
  <r>
    <x v="1"/>
  </r>
  <r>
    <x v="6"/>
  </r>
  <r>
    <x v="2"/>
  </r>
  <r>
    <x v="5"/>
  </r>
  <r>
    <x v="6"/>
  </r>
  <r>
    <x v="2"/>
  </r>
  <r>
    <x v="2"/>
  </r>
  <r>
    <x v="6"/>
  </r>
  <r>
    <x v="6"/>
  </r>
  <r>
    <x v="5"/>
  </r>
  <r>
    <x v="6"/>
  </r>
  <r>
    <x v="2"/>
  </r>
  <r>
    <x v="1"/>
  </r>
  <r>
    <x v="6"/>
  </r>
  <r>
    <x v="1"/>
  </r>
  <r>
    <x v="1"/>
  </r>
  <r>
    <x v="6"/>
  </r>
  <r>
    <x v="1"/>
  </r>
  <r>
    <x v="2"/>
  </r>
  <r>
    <x v="1"/>
  </r>
  <r>
    <x v="1"/>
  </r>
  <r>
    <x v="2"/>
  </r>
  <r>
    <x v="6"/>
  </r>
  <r>
    <x v="2"/>
  </r>
  <r>
    <x v="6"/>
  </r>
  <r>
    <x v="6"/>
  </r>
  <r>
    <x v="1"/>
  </r>
  <r>
    <x v="6"/>
  </r>
  <r>
    <x v="6"/>
  </r>
  <r>
    <x v="6"/>
  </r>
  <r>
    <x v="6"/>
  </r>
  <r>
    <x v="2"/>
  </r>
  <r>
    <x v="2"/>
  </r>
  <r>
    <x v="2"/>
  </r>
  <r>
    <x v="6"/>
  </r>
  <r>
    <x v="2"/>
  </r>
  <r>
    <x v="6"/>
  </r>
  <r>
    <x v="6"/>
  </r>
  <r>
    <x v="2"/>
  </r>
  <r>
    <x v="6"/>
  </r>
  <r>
    <x v="2"/>
  </r>
  <r>
    <x v="6"/>
  </r>
  <r>
    <x v="2"/>
  </r>
  <r>
    <x v="6"/>
  </r>
  <r>
    <x v="6"/>
  </r>
  <r>
    <x v="8"/>
  </r>
  <r>
    <x v="6"/>
  </r>
  <r>
    <x v="2"/>
  </r>
  <r>
    <x v="6"/>
  </r>
  <r>
    <x v="6"/>
  </r>
  <r>
    <x v="6"/>
  </r>
  <r>
    <x v="6"/>
  </r>
  <r>
    <x v="5"/>
  </r>
  <r>
    <x v="6"/>
  </r>
  <r>
    <x v="6"/>
  </r>
  <r>
    <x v="8"/>
  </r>
  <r>
    <x v="2"/>
  </r>
  <r>
    <x v="1"/>
  </r>
  <r>
    <x v="1"/>
  </r>
  <r>
    <x v="6"/>
  </r>
  <r>
    <x v="2"/>
  </r>
  <r>
    <x v="4"/>
  </r>
  <r>
    <x v="2"/>
  </r>
  <r>
    <x v="6"/>
  </r>
  <r>
    <x v="2"/>
  </r>
  <r>
    <x v="8"/>
  </r>
  <r>
    <x v="2"/>
  </r>
  <r>
    <x v="6"/>
  </r>
  <r>
    <x v="7"/>
  </r>
  <r>
    <x v="1"/>
  </r>
  <r>
    <x v="6"/>
  </r>
  <r>
    <x v="1"/>
  </r>
  <r>
    <x v="6"/>
  </r>
  <r>
    <x v="2"/>
  </r>
  <r>
    <x v="6"/>
  </r>
  <r>
    <x v="5"/>
  </r>
  <r>
    <x v="9"/>
  </r>
  <r>
    <x v="2"/>
  </r>
  <r>
    <x v="6"/>
  </r>
  <r>
    <x v="6"/>
  </r>
  <r>
    <x v="6"/>
  </r>
  <r>
    <x v="6"/>
  </r>
  <r>
    <x v="6"/>
  </r>
  <r>
    <x v="6"/>
  </r>
  <r>
    <x v="1"/>
  </r>
  <r>
    <x v="2"/>
  </r>
  <r>
    <x v="6"/>
  </r>
  <r>
    <x v="6"/>
  </r>
  <r>
    <x v="6"/>
  </r>
  <r>
    <x v="1"/>
  </r>
  <r>
    <x v="6"/>
  </r>
  <r>
    <x v="7"/>
  </r>
  <r>
    <x v="6"/>
  </r>
  <r>
    <x v="6"/>
  </r>
  <r>
    <x v="6"/>
  </r>
  <r>
    <x v="4"/>
  </r>
  <r>
    <x v="6"/>
  </r>
  <r>
    <x v="1"/>
  </r>
  <r>
    <x v="5"/>
  </r>
  <r>
    <x v="5"/>
  </r>
  <r>
    <x v="1"/>
  </r>
  <r>
    <x v="5"/>
  </r>
  <r>
    <x v="6"/>
  </r>
  <r>
    <x v="6"/>
  </r>
  <r>
    <x v="6"/>
  </r>
  <r>
    <x v="6"/>
  </r>
  <r>
    <x v="6"/>
  </r>
  <r>
    <x v="6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7">
  <r>
    <x v="0"/>
  </r>
  <r>
    <x v="0"/>
  </r>
  <r>
    <x v="0"/>
  </r>
  <r>
    <x v="1"/>
  </r>
  <r>
    <x v="0"/>
  </r>
  <r>
    <x v="0"/>
  </r>
  <r>
    <x v="0"/>
  </r>
  <r>
    <x v="2"/>
  </r>
  <r>
    <x v="2"/>
  </r>
  <r>
    <x v="0"/>
  </r>
  <r>
    <x v="2"/>
  </r>
  <r>
    <x v="2"/>
  </r>
  <r>
    <x v="2"/>
  </r>
  <r>
    <x v="2"/>
  </r>
  <r>
    <x v="0"/>
  </r>
  <r>
    <x v="0"/>
  </r>
  <r>
    <x v="0"/>
  </r>
  <r>
    <x v="0"/>
  </r>
  <r>
    <x v="0"/>
  </r>
  <r>
    <x v="1"/>
  </r>
  <r>
    <x v="0"/>
  </r>
  <r>
    <x v="2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2"/>
  </r>
  <r>
    <x v="1"/>
  </r>
  <r>
    <x v="0"/>
  </r>
  <r>
    <x v="0"/>
  </r>
  <r>
    <x v="1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1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3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3"/>
  </r>
  <r>
    <x v="3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1"/>
  </r>
  <r>
    <x v="3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7"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2"/>
  </r>
  <r>
    <x v="2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2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2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2"/>
  </r>
  <r>
    <x v="0"/>
  </r>
  <r>
    <x v="1"/>
  </r>
  <r>
    <x v="2"/>
  </r>
  <r>
    <x v="0"/>
  </r>
  <r>
    <x v="0"/>
  </r>
  <r>
    <x v="0"/>
  </r>
  <r>
    <x v="0"/>
  </r>
  <r>
    <x v="2"/>
  </r>
  <r>
    <x v="0"/>
  </r>
  <r>
    <x v="0"/>
  </r>
  <r>
    <x v="2"/>
  </r>
  <r>
    <x v="0"/>
  </r>
  <r>
    <x v="0"/>
  </r>
  <r>
    <x v="0"/>
  </r>
  <r>
    <x v="0"/>
  </r>
  <r>
    <x v="3"/>
  </r>
  <r>
    <x v="1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1"/>
  </r>
  <r>
    <x v="0"/>
  </r>
  <r>
    <x v="0"/>
  </r>
  <r>
    <x v="0"/>
  </r>
  <r>
    <x v="2"/>
  </r>
  <r>
    <x v="2"/>
  </r>
  <r>
    <x v="0"/>
  </r>
  <r>
    <x v="2"/>
  </r>
  <r>
    <x v="1"/>
  </r>
  <r>
    <x v="2"/>
  </r>
  <r>
    <x v="1"/>
  </r>
  <r>
    <x v="0"/>
  </r>
  <r>
    <x v="0"/>
  </r>
  <r>
    <x v="0"/>
  </r>
  <r>
    <x v="2"/>
  </r>
  <r>
    <x v="0"/>
  </r>
  <r>
    <x v="0"/>
  </r>
  <r>
    <x v="2"/>
  </r>
  <r>
    <x v="0"/>
  </r>
  <r>
    <x v="0"/>
  </r>
  <r>
    <x v="2"/>
  </r>
  <r>
    <x v="0"/>
  </r>
  <r>
    <x v="2"/>
  </r>
  <r>
    <x v="0"/>
  </r>
  <r>
    <x v="0"/>
  </r>
  <r>
    <x v="0"/>
  </r>
  <r>
    <x v="0"/>
  </r>
  <r>
    <x v="2"/>
  </r>
  <r>
    <x v="0"/>
  </r>
  <r>
    <x v="1"/>
  </r>
  <r>
    <x v="0"/>
  </r>
  <r>
    <x v="0"/>
  </r>
  <r>
    <x v="1"/>
  </r>
  <r>
    <x v="0"/>
  </r>
  <r>
    <x v="0"/>
  </r>
  <r>
    <x v="0"/>
  </r>
  <r>
    <x v="0"/>
  </r>
  <r>
    <x v="2"/>
  </r>
  <r>
    <x v="0"/>
  </r>
  <r>
    <x v="0"/>
  </r>
  <r>
    <x v="2"/>
  </r>
  <r>
    <x v="0"/>
  </r>
  <r>
    <x v="0"/>
  </r>
  <r>
    <x v="0"/>
  </r>
  <r>
    <x v="2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0"/>
  </r>
  <r>
    <x v="3"/>
  </r>
  <r>
    <x v="1"/>
  </r>
  <r>
    <x v="0"/>
  </r>
  <r>
    <x v="2"/>
  </r>
  <r>
    <x v="1"/>
  </r>
  <r>
    <x v="2"/>
  </r>
  <r>
    <x v="0"/>
  </r>
  <r>
    <x v="2"/>
  </r>
  <r>
    <x v="0"/>
  </r>
  <r>
    <x v="3"/>
  </r>
  <r>
    <x v="2"/>
  </r>
  <r>
    <x v="3"/>
  </r>
  <r>
    <x v="0"/>
  </r>
  <r>
    <x v="2"/>
  </r>
  <r>
    <x v="2"/>
  </r>
  <r>
    <x v="0"/>
  </r>
  <r>
    <x v="1"/>
  </r>
  <r>
    <x v="0"/>
  </r>
  <r>
    <x v="0"/>
  </r>
  <r>
    <x v="2"/>
  </r>
  <r>
    <x v="2"/>
  </r>
  <r>
    <x v="0"/>
  </r>
  <r>
    <x v="1"/>
  </r>
  <r>
    <x v="0"/>
  </r>
  <r>
    <x v="0"/>
  </r>
  <r>
    <x v="1"/>
  </r>
  <r>
    <x v="0"/>
  </r>
  <r>
    <x v="0"/>
  </r>
  <r>
    <x v="2"/>
  </r>
  <r>
    <x v="1"/>
  </r>
  <r>
    <x v="0"/>
  </r>
  <r>
    <x v="0"/>
  </r>
  <r>
    <x v="2"/>
  </r>
  <r>
    <x v="1"/>
  </r>
  <r>
    <x v="1"/>
  </r>
  <r>
    <x v="2"/>
  </r>
  <r>
    <x v="0"/>
  </r>
  <r>
    <x v="0"/>
  </r>
  <r>
    <x v="0"/>
  </r>
  <r>
    <x v="0"/>
  </r>
  <r>
    <x v="0"/>
  </r>
  <r>
    <x v="0"/>
  </r>
  <r>
    <x v="1"/>
  </r>
  <r>
    <x v="0"/>
  </r>
  <r>
    <x v="2"/>
  </r>
  <r>
    <x v="0"/>
  </r>
  <r>
    <x v="0"/>
  </r>
  <r>
    <x v="0"/>
  </r>
  <r>
    <x v="1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2"/>
  </r>
  <r>
    <x v="0"/>
  </r>
  <r>
    <x v="2"/>
  </r>
  <r>
    <x v="0"/>
  </r>
  <r>
    <x v="0"/>
  </r>
  <r>
    <x v="2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2"/>
  </r>
  <r>
    <x v="1"/>
  </r>
  <r>
    <x v="0"/>
  </r>
  <r>
    <x v="0"/>
  </r>
  <r>
    <x v="0"/>
  </r>
  <r>
    <x v="2"/>
  </r>
  <r>
    <x v="0"/>
  </r>
  <r>
    <x v="0"/>
  </r>
  <r>
    <x v="0"/>
  </r>
  <r>
    <x v="0"/>
  </r>
  <r>
    <x v="2"/>
  </r>
  <r>
    <x v="2"/>
  </r>
  <r>
    <x v="0"/>
  </r>
  <r>
    <x v="3"/>
  </r>
  <r>
    <x v="0"/>
  </r>
  <r>
    <x v="0"/>
  </r>
  <r>
    <x v="3"/>
  </r>
  <r>
    <x v="0"/>
  </r>
  <r>
    <x v="0"/>
  </r>
  <r>
    <x v="0"/>
  </r>
  <r>
    <x v="2"/>
  </r>
  <r>
    <x v="0"/>
  </r>
  <r>
    <x v="2"/>
  </r>
  <r>
    <x v="0"/>
  </r>
  <r>
    <x v="2"/>
  </r>
  <r>
    <x v="0"/>
  </r>
  <r>
    <x v="1"/>
  </r>
  <r>
    <x v="3"/>
  </r>
  <r>
    <x v="0"/>
  </r>
  <r>
    <x v="1"/>
  </r>
  <r>
    <x v="1"/>
  </r>
  <r>
    <x v="0"/>
  </r>
  <r>
    <x v="0"/>
  </r>
  <r>
    <x v="3"/>
  </r>
  <r>
    <x v="0"/>
  </r>
  <r>
    <x v="1"/>
  </r>
  <r>
    <x v="0"/>
  </r>
  <r>
    <x v="3"/>
  </r>
  <r>
    <x v="0"/>
  </r>
  <r>
    <x v="0"/>
  </r>
  <r>
    <x v="2"/>
  </r>
  <r>
    <x v="0"/>
  </r>
  <r>
    <x v="2"/>
  </r>
  <r>
    <x v="2"/>
  </r>
  <r>
    <x v="0"/>
  </r>
  <r>
    <x v="0"/>
  </r>
  <r>
    <x v="2"/>
  </r>
  <r>
    <x v="0"/>
  </r>
  <r>
    <x v="0"/>
  </r>
  <r>
    <x v="2"/>
  </r>
  <r>
    <x v="3"/>
  </r>
  <r>
    <x v="0"/>
  </r>
  <r>
    <x v="0"/>
  </r>
  <r>
    <x v="0"/>
  </r>
  <r>
    <x v="2"/>
  </r>
  <r>
    <x v="0"/>
  </r>
  <r>
    <x v="0"/>
  </r>
  <r>
    <x v="0"/>
  </r>
  <r>
    <x v="2"/>
  </r>
  <r>
    <x v="0"/>
  </r>
  <r>
    <x v="2"/>
  </r>
  <r>
    <x v="0"/>
  </r>
  <r>
    <x v="0"/>
  </r>
  <r>
    <x v="0"/>
  </r>
  <r>
    <x v="3"/>
  </r>
  <r>
    <x v="0"/>
  </r>
  <r>
    <x v="3"/>
  </r>
  <r>
    <x v="0"/>
  </r>
  <r>
    <x v="0"/>
  </r>
  <r>
    <x v="1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2"/>
  </r>
  <r>
    <x v="2"/>
  </r>
  <r>
    <x v="0"/>
  </r>
  <r>
    <x v="0"/>
  </r>
  <r>
    <x v="1"/>
  </r>
  <r>
    <x v="1"/>
  </r>
  <r>
    <x v="1"/>
  </r>
  <r>
    <x v="2"/>
  </r>
  <r>
    <x v="0"/>
  </r>
  <r>
    <x v="0"/>
  </r>
  <r>
    <x v="0"/>
  </r>
  <r>
    <x v="3"/>
  </r>
  <r>
    <x v="0"/>
  </r>
  <r>
    <x v="0"/>
  </r>
  <r>
    <x v="2"/>
  </r>
  <r>
    <x v="0"/>
  </r>
  <r>
    <x v="0"/>
  </r>
  <r>
    <x v="0"/>
  </r>
  <r>
    <x v="0"/>
  </r>
  <r>
    <x v="0"/>
  </r>
  <r>
    <x v="4"/>
  </r>
  <r>
    <x v="0"/>
  </r>
  <r>
    <x v="0"/>
  </r>
  <r>
    <x v="2"/>
  </r>
  <r>
    <x v="1"/>
  </r>
  <r>
    <x v="0"/>
  </r>
  <r>
    <x v="2"/>
  </r>
  <r>
    <x v="0"/>
  </r>
  <r>
    <x v="0"/>
  </r>
  <r>
    <x v="0"/>
  </r>
  <r>
    <x v="2"/>
  </r>
  <r>
    <x v="0"/>
  </r>
  <r>
    <x v="0"/>
  </r>
  <r>
    <x v="0"/>
  </r>
  <r>
    <x v="0"/>
  </r>
  <r>
    <x v="2"/>
  </r>
  <r>
    <x v="2"/>
  </r>
  <r>
    <x v="0"/>
  </r>
  <r>
    <x v="0"/>
  </r>
  <r>
    <x v="0"/>
  </r>
  <r>
    <x v="0"/>
  </r>
  <r>
    <x v="0"/>
  </r>
  <r>
    <x v="0"/>
  </r>
  <r>
    <x v="2"/>
  </r>
  <r>
    <x v="2"/>
  </r>
  <r>
    <x v="0"/>
  </r>
  <r>
    <x v="3"/>
  </r>
  <r>
    <x v="1"/>
  </r>
  <r>
    <x v="0"/>
  </r>
  <r>
    <x v="1"/>
  </r>
  <r>
    <x v="0"/>
  </r>
  <r>
    <x v="2"/>
  </r>
  <r>
    <x v="3"/>
  </r>
  <r>
    <x v="3"/>
  </r>
  <r>
    <x v="0"/>
  </r>
  <r>
    <x v="1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3"/>
  </r>
  <r>
    <x v="1"/>
  </r>
  <r>
    <x v="0"/>
  </r>
  <r>
    <x v="4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3"/>
  </r>
  <r>
    <x v="0"/>
  </r>
  <r>
    <x v="0"/>
  </r>
  <r>
    <x v="0"/>
  </r>
  <r>
    <x v="2"/>
  </r>
  <r>
    <x v="4"/>
  </r>
  <r>
    <x v="3"/>
  </r>
  <r>
    <x v="0"/>
  </r>
  <r>
    <x v="0"/>
  </r>
  <r>
    <x v="0"/>
  </r>
  <r>
    <x v="1"/>
  </r>
  <r>
    <x v="0"/>
  </r>
  <r>
    <x v="0"/>
  </r>
  <r>
    <x v="0"/>
  </r>
  <r>
    <x v="3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2"/>
  </r>
  <r>
    <x v="0"/>
  </r>
  <r>
    <x v="1"/>
  </r>
  <r>
    <x v="0"/>
  </r>
  <r>
    <x v="2"/>
  </r>
  <r>
    <x v="0"/>
  </r>
  <r>
    <x v="0"/>
  </r>
  <r>
    <x v="3"/>
  </r>
  <r>
    <x v="1"/>
  </r>
  <r>
    <x v="0"/>
  </r>
  <r>
    <x v="0"/>
  </r>
  <r>
    <x v="0"/>
  </r>
  <r>
    <x v="0"/>
  </r>
  <r>
    <x v="0"/>
  </r>
  <r>
    <x v="4"/>
  </r>
  <r>
    <x v="0"/>
  </r>
  <r>
    <x v="0"/>
  </r>
  <r>
    <x v="0"/>
  </r>
  <r>
    <x v="1"/>
  </r>
  <r>
    <x v="0"/>
  </r>
  <r>
    <x v="1"/>
  </r>
  <r>
    <x v="0"/>
  </r>
  <r>
    <x v="0"/>
  </r>
  <r>
    <x v="3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1"/>
  </r>
  <r>
    <x v="0"/>
  </r>
  <r>
    <x v="2"/>
  </r>
  <r>
    <x v="0"/>
  </r>
  <r>
    <x v="0"/>
  </r>
  <r>
    <x v="0"/>
  </r>
  <r>
    <x v="0"/>
  </r>
  <r>
    <x v="0"/>
  </r>
  <r>
    <x v="3"/>
  </r>
  <r>
    <x v="1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3"/>
  </r>
  <r>
    <x v="0"/>
  </r>
  <r>
    <x v="0"/>
  </r>
  <r>
    <x v="0"/>
  </r>
  <r>
    <x v="0"/>
  </r>
  <r>
    <x v="3"/>
  </r>
  <r>
    <x v="0"/>
  </r>
  <r>
    <x v="0"/>
  </r>
  <r>
    <x v="3"/>
  </r>
  <r>
    <x v="0"/>
  </r>
  <r>
    <x v="4"/>
  </r>
  <r>
    <x v="0"/>
  </r>
  <r>
    <x v="0"/>
  </r>
  <r>
    <x v="0"/>
  </r>
  <r>
    <x v="4"/>
  </r>
  <r>
    <x v="3"/>
  </r>
  <r>
    <x v="0"/>
  </r>
  <r>
    <x v="1"/>
  </r>
  <r>
    <x v="0"/>
  </r>
  <r>
    <x v="0"/>
  </r>
  <r>
    <x v="0"/>
  </r>
  <r>
    <x v="1"/>
  </r>
  <r>
    <x v="4"/>
  </r>
  <r>
    <x v="0"/>
  </r>
  <r>
    <x v="0"/>
  </r>
  <r>
    <x v="0"/>
  </r>
  <r>
    <x v="4"/>
  </r>
  <r>
    <x v="4"/>
  </r>
  <r>
    <x v="0"/>
  </r>
  <r>
    <x v="0"/>
  </r>
  <r>
    <x v="1"/>
  </r>
  <r>
    <x v="0"/>
  </r>
  <r>
    <x v="0"/>
  </r>
  <r>
    <x v="0"/>
  </r>
  <r>
    <x v="4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4"/>
  </r>
  <r>
    <x v="0"/>
  </r>
  <r>
    <x v="3"/>
  </r>
  <r>
    <x v="0"/>
  </r>
  <r>
    <x v="4"/>
  </r>
  <r>
    <x v="0"/>
  </r>
  <r>
    <x v="0"/>
  </r>
  <r>
    <x v="0"/>
  </r>
  <r>
    <x v="0"/>
  </r>
  <r>
    <x v="0"/>
  </r>
  <r>
    <x v="0"/>
  </r>
  <r>
    <x v="1"/>
  </r>
  <r>
    <x v="2"/>
  </r>
  <r>
    <x v="0"/>
  </r>
  <r>
    <x v="0"/>
  </r>
  <r>
    <x v="2"/>
  </r>
  <r>
    <x v="0"/>
  </r>
  <r>
    <x v="1"/>
  </r>
  <r>
    <x v="0"/>
  </r>
  <r>
    <x v="4"/>
  </r>
  <r>
    <x v="1"/>
  </r>
  <r>
    <x v="1"/>
  </r>
  <r>
    <x v="0"/>
  </r>
  <r>
    <x v="1"/>
  </r>
  <r>
    <x v="0"/>
  </r>
  <r>
    <x v="0"/>
  </r>
  <r>
    <x v="0"/>
  </r>
  <r>
    <x v="0"/>
  </r>
  <r>
    <x v="0"/>
  </r>
  <r>
    <x v="4"/>
  </r>
  <r>
    <x v="0"/>
  </r>
  <r>
    <x v="1"/>
  </r>
  <r>
    <x v="0"/>
  </r>
  <r>
    <x v="2"/>
  </r>
  <r>
    <x v="2"/>
  </r>
  <r>
    <x v="3"/>
  </r>
  <r>
    <x v="0"/>
  </r>
  <r>
    <x v="0"/>
  </r>
  <r>
    <x v="3"/>
  </r>
  <r>
    <x v="4"/>
  </r>
  <r>
    <x v="3"/>
  </r>
  <r>
    <x v="4"/>
  </r>
  <r>
    <x v="1"/>
  </r>
  <r>
    <x v="0"/>
  </r>
  <r>
    <x v="4"/>
  </r>
  <r>
    <x v="3"/>
  </r>
  <r>
    <x v="3"/>
  </r>
  <r>
    <x v="0"/>
  </r>
  <r>
    <x v="0"/>
  </r>
  <r>
    <x v="4"/>
  </r>
  <r>
    <x v="4"/>
  </r>
  <r>
    <x v="4"/>
  </r>
  <r>
    <x v="0"/>
  </r>
  <r>
    <x v="4"/>
  </r>
  <r>
    <x v="4"/>
  </r>
  <r>
    <x v="4"/>
  </r>
  <r>
    <x v="4"/>
  </r>
  <r>
    <x v="0"/>
  </r>
  <r>
    <x v="0"/>
  </r>
  <r>
    <x v="4"/>
  </r>
  <r>
    <x v="0"/>
  </r>
  <r>
    <x v="0"/>
  </r>
  <r>
    <x v="0"/>
  </r>
  <r>
    <x v="3"/>
  </r>
  <r>
    <x v="1"/>
  </r>
  <r>
    <x v="0"/>
  </r>
  <r>
    <x v="1"/>
  </r>
  <r>
    <x v="0"/>
  </r>
  <r>
    <x v="3"/>
  </r>
  <r>
    <x v="1"/>
  </r>
  <r>
    <x v="0"/>
  </r>
  <r>
    <x v="4"/>
  </r>
  <r>
    <x v="0"/>
  </r>
  <r>
    <x v="4"/>
  </r>
  <r>
    <x v="4"/>
  </r>
  <r>
    <x v="3"/>
  </r>
  <r>
    <x v="4"/>
  </r>
  <r>
    <x v="3"/>
  </r>
  <r>
    <x v="2"/>
  </r>
  <r>
    <x v="0"/>
  </r>
  <r>
    <x v="0"/>
  </r>
  <r>
    <x v="0"/>
  </r>
  <r>
    <x v="2"/>
  </r>
  <r>
    <x v="0"/>
  </r>
  <r>
    <x v="0"/>
  </r>
  <r>
    <x v="3"/>
  </r>
  <r>
    <x v="0"/>
  </r>
  <r>
    <x v="4"/>
  </r>
  <r>
    <x v="4"/>
  </r>
  <r>
    <x v="3"/>
  </r>
  <r>
    <x v="4"/>
  </r>
  <r>
    <x v="3"/>
  </r>
  <r>
    <x v="0"/>
  </r>
  <r>
    <x v="0"/>
  </r>
  <r>
    <x v="4"/>
  </r>
  <r>
    <x v="4"/>
  </r>
  <r>
    <x v="4"/>
  </r>
  <r>
    <x v="3"/>
  </r>
  <r>
    <x v="3"/>
  </r>
  <r>
    <x v="4"/>
  </r>
  <r>
    <x v="3"/>
  </r>
  <r>
    <x v="4"/>
  </r>
  <r>
    <x v="0"/>
  </r>
  <r>
    <x v="0"/>
  </r>
  <r>
    <x v="0"/>
  </r>
  <r>
    <x v="0"/>
  </r>
  <r>
    <x v="3"/>
  </r>
  <r>
    <x v="1"/>
  </r>
  <r>
    <x v="4"/>
  </r>
  <r>
    <x v="0"/>
  </r>
  <r>
    <x v="3"/>
  </r>
  <r>
    <x v="0"/>
  </r>
  <r>
    <x v="4"/>
  </r>
  <r>
    <x v="0"/>
  </r>
  <r>
    <x v="4"/>
  </r>
  <r>
    <x v="4"/>
  </r>
  <r>
    <x v="4"/>
  </r>
  <r>
    <x v="4"/>
  </r>
  <r>
    <x v="3"/>
  </r>
  <r>
    <x v="1"/>
  </r>
  <r>
    <x v="4"/>
  </r>
  <r>
    <x v="3"/>
  </r>
  <r>
    <x v="4"/>
  </r>
  <r>
    <x v="4"/>
  </r>
  <r>
    <x v="0"/>
  </r>
  <r>
    <x v="0"/>
  </r>
  <r>
    <x v="0"/>
  </r>
  <r>
    <x v="3"/>
  </r>
  <r>
    <x v="3"/>
  </r>
  <r>
    <x v="3"/>
  </r>
  <r>
    <x v="0"/>
  </r>
  <r>
    <x v="0"/>
  </r>
  <r>
    <x v="0"/>
  </r>
  <r>
    <x v="1"/>
  </r>
  <r>
    <x v="0"/>
  </r>
  <r>
    <x v="4"/>
  </r>
  <r>
    <x v="0"/>
  </r>
  <r>
    <x v="4"/>
  </r>
  <r>
    <x v="0"/>
  </r>
  <r>
    <x v="4"/>
  </r>
  <r>
    <x v="4"/>
  </r>
  <r>
    <x v="3"/>
  </r>
  <r>
    <x v="0"/>
  </r>
  <r>
    <x v="0"/>
  </r>
  <r>
    <x v="4"/>
  </r>
  <r>
    <x v="4"/>
  </r>
  <r>
    <x v="4"/>
  </r>
  <r>
    <x v="0"/>
  </r>
  <r>
    <x v="2"/>
  </r>
  <r>
    <x v="2"/>
  </r>
  <r>
    <x v="1"/>
  </r>
  <r>
    <x v="1"/>
  </r>
  <r>
    <x v="1"/>
  </r>
  <r>
    <x v="0"/>
  </r>
  <r>
    <x v="1"/>
  </r>
  <r>
    <x v="4"/>
  </r>
  <r>
    <x v="1"/>
  </r>
  <r>
    <x v="0"/>
  </r>
  <r>
    <x v="4"/>
  </r>
  <r>
    <x v="2"/>
  </r>
  <r>
    <x v="1"/>
  </r>
  <r>
    <x v="0"/>
  </r>
  <r>
    <x v="0"/>
  </r>
  <r>
    <x v="1"/>
  </r>
  <r>
    <x v="0"/>
  </r>
  <r>
    <x v="0"/>
  </r>
  <r>
    <x v="3"/>
  </r>
  <r>
    <x v="0"/>
  </r>
  <r>
    <x v="3"/>
  </r>
  <r>
    <x v="4"/>
  </r>
  <r>
    <x v="0"/>
  </r>
  <r>
    <x v="0"/>
  </r>
  <r>
    <x v="3"/>
  </r>
  <r>
    <x v="3"/>
  </r>
  <r>
    <x v="0"/>
  </r>
  <r>
    <x v="3"/>
  </r>
  <r>
    <x v="3"/>
  </r>
  <r>
    <x v="3"/>
  </r>
  <r>
    <x v="0"/>
  </r>
  <r>
    <x v="1"/>
  </r>
  <r>
    <x v="0"/>
  </r>
  <r>
    <x v="0"/>
  </r>
  <r>
    <x v="0"/>
  </r>
  <r>
    <x v="0"/>
  </r>
  <r>
    <x v="0"/>
  </r>
  <r>
    <x v="1"/>
  </r>
  <r>
    <x v="3"/>
  </r>
  <r>
    <x v="0"/>
  </r>
  <r>
    <x v="2"/>
  </r>
  <r>
    <x v="1"/>
  </r>
  <r>
    <x v="1"/>
  </r>
  <r>
    <x v="1"/>
  </r>
  <r>
    <x v="1"/>
  </r>
  <r>
    <x v="1"/>
  </r>
  <r>
    <x v="2"/>
  </r>
  <r>
    <x v="3"/>
  </r>
  <r>
    <x v="4"/>
  </r>
  <r>
    <x v="0"/>
  </r>
  <r>
    <x v="3"/>
  </r>
  <r>
    <x v="4"/>
  </r>
  <r>
    <x v="3"/>
  </r>
  <r>
    <x v="0"/>
  </r>
  <r>
    <x v="1"/>
  </r>
  <r>
    <x v="3"/>
  </r>
  <r>
    <x v="3"/>
  </r>
  <r>
    <x v="0"/>
  </r>
  <r>
    <x v="1"/>
  </r>
  <r>
    <x v="3"/>
  </r>
  <r>
    <x v="0"/>
  </r>
  <r>
    <x v="1"/>
  </r>
  <r>
    <x v="1"/>
  </r>
  <r>
    <x v="1"/>
  </r>
  <r>
    <x v="1"/>
  </r>
  <r>
    <x v="0"/>
  </r>
  <r>
    <x v="3"/>
  </r>
  <r>
    <x v="1"/>
  </r>
  <r>
    <x v="3"/>
  </r>
  <r>
    <x v="0"/>
  </r>
  <r>
    <x v="0"/>
  </r>
  <r>
    <x v="2"/>
  </r>
  <r>
    <x v="3"/>
  </r>
  <r>
    <x v="0"/>
  </r>
  <r>
    <x v="1"/>
  </r>
  <r>
    <x v="1"/>
  </r>
  <r>
    <x v="2"/>
  </r>
  <r>
    <x v="1"/>
  </r>
  <r>
    <x v="3"/>
  </r>
  <r>
    <x v="3"/>
  </r>
  <r>
    <x v="1"/>
  </r>
  <r>
    <x v="3"/>
  </r>
  <r>
    <x v="3"/>
  </r>
  <r>
    <x v="1"/>
  </r>
  <r>
    <x v="1"/>
  </r>
  <r>
    <x v="0"/>
  </r>
  <r>
    <x v="3"/>
  </r>
  <r>
    <x v="3"/>
  </r>
  <r>
    <x v="3"/>
  </r>
  <r>
    <x v="1"/>
  </r>
  <r>
    <x v="0"/>
  </r>
  <r>
    <x v="0"/>
  </r>
  <r>
    <x v="1"/>
  </r>
  <r>
    <x v="0"/>
  </r>
  <r>
    <x v="0"/>
  </r>
  <r>
    <x v="1"/>
  </r>
  <r>
    <x v="3"/>
  </r>
  <r>
    <x v="1"/>
  </r>
  <r>
    <x v="0"/>
  </r>
  <r>
    <x v="1"/>
  </r>
  <r>
    <x v="0"/>
  </r>
  <r>
    <x v="1"/>
  </r>
  <r>
    <x v="3"/>
  </r>
  <r>
    <x v="3"/>
  </r>
  <r>
    <x v="3"/>
  </r>
  <r>
    <x v="3"/>
  </r>
  <r>
    <x v="2"/>
  </r>
  <r>
    <x v="3"/>
  </r>
  <r>
    <x v="0"/>
  </r>
  <r>
    <x v="3"/>
  </r>
  <r>
    <x v="1"/>
  </r>
  <r>
    <x v="0"/>
  </r>
  <r>
    <x v="0"/>
  </r>
  <r>
    <x v="3"/>
  </r>
  <r>
    <x v="3"/>
  </r>
  <r>
    <x v="0"/>
  </r>
  <r>
    <x v="3"/>
  </r>
  <r>
    <x v="1"/>
  </r>
  <r>
    <x v="1"/>
  </r>
  <r>
    <x v="3"/>
  </r>
  <r>
    <x v="1"/>
  </r>
  <r>
    <x v="1"/>
  </r>
  <r>
    <x v="1"/>
  </r>
  <r>
    <x v="2"/>
  </r>
  <r>
    <x v="1"/>
  </r>
  <r>
    <x v="3"/>
  </r>
  <r>
    <x v="3"/>
  </r>
  <r>
    <x v="0"/>
  </r>
  <r>
    <x v="1"/>
  </r>
  <r>
    <x v="3"/>
  </r>
  <r>
    <x v="1"/>
  </r>
  <r>
    <x v="1"/>
  </r>
  <r>
    <x v="1"/>
  </r>
  <r>
    <x v="0"/>
  </r>
  <r>
    <x v="1"/>
  </r>
  <r>
    <x v="3"/>
  </r>
  <r>
    <x v="0"/>
  </r>
  <r>
    <x v="1"/>
  </r>
  <r>
    <x v="2"/>
  </r>
  <r>
    <x v="0"/>
  </r>
  <r>
    <x v="2"/>
  </r>
  <r>
    <x v="1"/>
  </r>
  <r>
    <x v="1"/>
  </r>
  <r>
    <x v="0"/>
  </r>
  <r>
    <x v="2"/>
  </r>
  <r>
    <x v="0"/>
  </r>
  <r>
    <x v="1"/>
  </r>
  <r>
    <x v="0"/>
  </r>
  <r>
    <x v="0"/>
  </r>
  <r>
    <x v="2"/>
  </r>
  <r>
    <x v="3"/>
  </r>
  <r>
    <x v="3"/>
  </r>
  <r>
    <x v="3"/>
  </r>
  <r>
    <x v="0"/>
  </r>
  <r>
    <x v="0"/>
  </r>
  <r>
    <x v="0"/>
  </r>
  <r>
    <x v="3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1"/>
  </r>
  <r>
    <x v="1"/>
  </r>
  <r>
    <x v="1"/>
  </r>
  <r>
    <x v="0"/>
  </r>
  <r>
    <x v="0"/>
  </r>
  <r>
    <x v="0"/>
  </r>
  <r>
    <x v="3"/>
  </r>
  <r>
    <x v="0"/>
  </r>
  <r>
    <x v="3"/>
  </r>
  <r>
    <x v="3"/>
  </r>
  <r>
    <x v="0"/>
  </r>
  <r>
    <x v="0"/>
  </r>
  <r>
    <x v="1"/>
  </r>
  <r>
    <x v="1"/>
  </r>
  <r>
    <x v="2"/>
  </r>
  <r>
    <x v="0"/>
  </r>
  <r>
    <x v="1"/>
  </r>
  <r>
    <x v="0"/>
  </r>
  <r>
    <x v="0"/>
  </r>
  <r>
    <x v="0"/>
  </r>
  <r>
    <x v="2"/>
  </r>
  <r>
    <x v="2"/>
  </r>
  <r>
    <x v="2"/>
  </r>
  <r>
    <x v="0"/>
  </r>
  <r>
    <x v="2"/>
  </r>
  <r>
    <x v="0"/>
  </r>
  <r>
    <x v="0"/>
  </r>
  <r>
    <x v="0"/>
  </r>
  <r>
    <x v="0"/>
  </r>
  <r>
    <x v="0"/>
  </r>
  <r>
    <x v="1"/>
  </r>
  <r>
    <x v="1"/>
  </r>
  <r>
    <x v="2"/>
  </r>
  <r>
    <x v="1"/>
  </r>
  <r>
    <x v="2"/>
  </r>
  <r>
    <x v="2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</r>
  <r>
    <x v="1"/>
  </r>
  <r>
    <x v="1"/>
  </r>
  <r>
    <x v="1"/>
  </r>
  <r>
    <x v="0"/>
  </r>
  <r>
    <x v="0"/>
  </r>
  <r>
    <x v="2"/>
  </r>
  <r>
    <x v="1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</r>
  <r>
    <x v="0"/>
  </r>
  <r>
    <x v="0"/>
  </r>
  <r>
    <x v="0"/>
  </r>
  <r>
    <x v="0"/>
  </r>
  <r>
    <x v="1"/>
  </r>
  <r>
    <x v="0"/>
  </r>
  <r>
    <x v="0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</r>
  <r>
    <x v="1"/>
  </r>
  <r>
    <x v="2"/>
  </r>
  <r>
    <x v="2"/>
  </r>
  <r>
    <x v="2"/>
  </r>
  <r>
    <x v="1"/>
  </r>
  <r>
    <x v="2"/>
  </r>
  <r>
    <x v="2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">
  <r>
    <x v="0"/>
  </r>
  <r>
    <x v="0"/>
  </r>
  <r>
    <x v="1"/>
  </r>
  <r>
    <x v="1"/>
  </r>
  <r>
    <x v="1"/>
  </r>
  <r>
    <x v="2"/>
  </r>
  <r>
    <x v="1"/>
  </r>
  <r>
    <x v="1"/>
  </r>
  <r>
    <x v="1"/>
  </r>
  <r>
    <x v="1"/>
  </r>
  <r>
    <x v="1"/>
  </r>
  <r>
    <x v="3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2"/>
  </r>
  <r>
    <x v="2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4"/>
  </r>
  <r>
    <x v="1"/>
  </r>
  <r>
    <x v="1"/>
  </r>
  <r>
    <x v="1"/>
  </r>
  <r>
    <x v="1"/>
  </r>
  <r>
    <x v="1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"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2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3"/>
  </r>
  <r>
    <x v="1"/>
  </r>
  <r>
    <x v="1"/>
  </r>
  <r>
    <x v="1"/>
  </r>
  <r>
    <x v="1"/>
  </r>
  <r>
    <x v="1"/>
  </r>
  <r>
    <x v="1"/>
  </r>
  <r>
    <x v="1"/>
  </r>
  <r>
    <x v="3"/>
  </r>
  <r>
    <x v="1"/>
  </r>
  <r>
    <x v="3"/>
  </r>
  <r>
    <x v="1"/>
  </r>
  <r>
    <x v="3"/>
  </r>
  <r>
    <x v="0"/>
  </r>
  <r>
    <x v="1"/>
  </r>
  <r>
    <x v="1"/>
  </r>
  <r>
    <x v="1"/>
  </r>
  <r>
    <x v="1"/>
  </r>
  <r>
    <x v="3"/>
  </r>
  <r>
    <x v="1"/>
  </r>
  <r>
    <x v="3"/>
  </r>
  <r>
    <x v="1"/>
  </r>
  <r>
    <x v="2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3"/>
  </r>
  <r>
    <x v="1"/>
  </r>
  <r>
    <x v="0"/>
  </r>
</pivotCacheRecords>
</file>

<file path=xl/pivotCache/pivotCacheRecords1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">
  <r>
    <x v="0"/>
  </r>
  <r>
    <x v="0"/>
  </r>
  <r>
    <x v="1"/>
  </r>
  <r>
    <x v="0"/>
  </r>
  <r>
    <x v="0"/>
  </r>
  <r>
    <x v="0"/>
  </r>
  <r>
    <x v="0"/>
  </r>
  <r>
    <x v="2"/>
  </r>
  <r>
    <x v="2"/>
  </r>
  <r>
    <x v="3"/>
  </r>
  <r>
    <x v="2"/>
  </r>
  <r>
    <x v="0"/>
  </r>
  <r>
    <x v="1"/>
  </r>
  <r>
    <x v="0"/>
  </r>
  <r>
    <x v="1"/>
  </r>
  <r>
    <x v="0"/>
  </r>
  <r>
    <x v="4"/>
  </r>
  <r>
    <x v="4"/>
  </r>
  <r>
    <x v="1"/>
  </r>
  <r>
    <x v="1"/>
  </r>
  <r>
    <x v="0"/>
  </r>
  <r>
    <x v="1"/>
  </r>
  <r>
    <x v="0"/>
  </r>
  <r>
    <x v="0"/>
  </r>
  <r>
    <x v="4"/>
  </r>
  <r>
    <x v="0"/>
  </r>
  <r>
    <x v="1"/>
  </r>
  <r>
    <x v="0"/>
  </r>
  <r>
    <x v="4"/>
  </r>
  <r>
    <x v="0"/>
  </r>
  <r>
    <x v="1"/>
  </r>
  <r>
    <x v="0"/>
  </r>
  <r>
    <x v="1"/>
  </r>
  <r>
    <x v="0"/>
  </r>
  <r>
    <x v="0"/>
  </r>
  <r>
    <x v="0"/>
  </r>
  <r>
    <x v="1"/>
  </r>
  <r>
    <x v="1"/>
  </r>
  <r>
    <x v="1"/>
  </r>
  <r>
    <x v="4"/>
  </r>
  <r>
    <x v="0"/>
  </r>
  <r>
    <x v="1"/>
  </r>
  <r>
    <x v="1"/>
  </r>
  <r>
    <x v="1"/>
  </r>
  <r>
    <x v="0"/>
  </r>
  <r>
    <x v="0"/>
  </r>
  <r>
    <x v="1"/>
  </r>
  <r>
    <x v="1"/>
  </r>
  <r>
    <x v="0"/>
  </r>
  <r>
    <x v="1"/>
  </r>
  <r>
    <x v="0"/>
  </r>
  <r>
    <x v="0"/>
  </r>
  <r>
    <x v="1"/>
  </r>
  <r>
    <x v="1"/>
  </r>
  <r>
    <x v="1"/>
  </r>
  <r>
    <x v="4"/>
  </r>
  <r>
    <x v="1"/>
  </r>
  <r>
    <x v="1"/>
  </r>
  <r>
    <x v="4"/>
  </r>
  <r>
    <x v="4"/>
  </r>
  <r>
    <x v="0"/>
  </r>
  <r>
    <x v="0"/>
  </r>
  <r>
    <x v="4"/>
  </r>
  <r>
    <x v="1"/>
  </r>
</pivotCacheRecords>
</file>

<file path=xl/pivotCache/pivotCacheRecords1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x v="0"/>
  </r>
  <r>
    <x v="0"/>
  </r>
  <r>
    <x v="1"/>
  </r>
  <r>
    <x v="0"/>
  </r>
  <r>
    <x v="0"/>
  </r>
  <r>
    <x v="2"/>
  </r>
  <r>
    <x v="0"/>
  </r>
  <r>
    <x v="2"/>
  </r>
  <r>
    <x v="0"/>
  </r>
  <r>
    <x v="0"/>
  </r>
  <r>
    <x v="0"/>
  </r>
  <r>
    <x v="0"/>
  </r>
  <r>
    <x v="0"/>
  </r>
  <r>
    <x v="2"/>
  </r>
  <r>
    <x v="2"/>
  </r>
  <r>
    <x v="0"/>
  </r>
  <r>
    <x v="0"/>
  </r>
  <r>
    <x v="0"/>
  </r>
  <r>
    <x v="3"/>
  </r>
</pivotCacheRecords>
</file>

<file path=xl/pivotCache/pivotCacheRecords1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x v="0"/>
  </r>
  <r>
    <x v="1"/>
  </r>
  <r>
    <x v="2"/>
  </r>
  <r>
    <x v="0"/>
  </r>
  <r>
    <x v="3"/>
  </r>
  <r>
    <x v="0"/>
  </r>
  <r>
    <x v="0"/>
  </r>
  <r>
    <x v="0"/>
  </r>
  <r>
    <x v="0"/>
  </r>
  <r>
    <x v="3"/>
  </r>
  <r>
    <x v="4"/>
  </r>
  <r>
    <x v="2"/>
  </r>
  <r>
    <x v="4"/>
  </r>
  <r>
    <x v="0"/>
  </r>
  <r>
    <x v="0"/>
  </r>
  <r>
    <x v="4"/>
  </r>
  <r>
    <x v="0"/>
  </r>
  <r>
    <x v="4"/>
  </r>
  <r>
    <x v="3"/>
  </r>
</pivotCacheRecords>
</file>

<file path=xl/pivotCache/pivotCacheRecords1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</pivotCacheRecords>
</file>

<file path=xl/pivotCache/pivotCacheRecords1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7">
  <r>
    <x v="0"/>
    <n v="98.233999999999995"/>
    <n v="0.85"/>
  </r>
  <r>
    <x v="1"/>
    <n v="32.130000000000003"/>
    <n v="0.69"/>
  </r>
  <r>
    <x v="2"/>
    <n v="21.952000000000002"/>
    <n v="0.95"/>
  </r>
  <r>
    <x v="3"/>
    <n v="285.78399999999999"/>
    <n v="0.95"/>
  </r>
  <r>
    <x v="4"/>
    <n v="45.371000000000002"/>
    <n v="0.75"/>
  </r>
  <r>
    <x v="5"/>
    <n v="14.03"/>
    <n v="0.4"/>
  </r>
  <r>
    <x v="6"/>
    <n v="12.044"/>
    <n v="0.2"/>
  </r>
  <r>
    <x v="7"/>
    <n v="36.308999999999997"/>
    <n v="0.4"/>
  </r>
  <r>
    <x v="8"/>
    <n v="43.176000000000002"/>
    <n v="0.48"/>
  </r>
  <r>
    <x v="9"/>
    <n v="83.775999999999996"/>
    <n v="0.65"/>
  </r>
  <r>
    <x v="8"/>
    <n v="22.239000000000001"/>
    <n v="0.23"/>
  </r>
  <r>
    <x v="6"/>
    <n v="17.591000000000001"/>
    <n v="0.45"/>
  </r>
  <r>
    <x v="10"/>
    <n v="41.298000000000002"/>
    <n v="0.47"/>
  </r>
  <r>
    <x v="11"/>
    <n v="16.463000000000001"/>
    <n v="0.8"/>
  </r>
  <r>
    <x v="12"/>
    <n v="98.662000000000006"/>
    <n v="0.49"/>
  </r>
  <r>
    <x v="13"/>
    <n v="5.1210000000000004"/>
    <n v="0.23"/>
  </r>
  <r>
    <x v="5"/>
    <n v="13.579000000000001"/>
    <n v="0.5"/>
  </r>
  <r>
    <x v="14"/>
    <n v="99.631"/>
    <n v="0.75"/>
  </r>
  <r>
    <x v="15"/>
    <n v="51.616"/>
    <n v="0.2"/>
  </r>
  <r>
    <x v="16"/>
    <n v="29.927"/>
    <n v="0.75"/>
  </r>
  <r>
    <x v="17"/>
    <n v="103.52"/>
    <n v="0.75"/>
  </r>
  <r>
    <x v="5"/>
    <n v="16.34"/>
    <n v="0.45"/>
  </r>
  <r>
    <x v="18"/>
    <n v="27.844999999999999"/>
    <n v="0.8"/>
  </r>
  <r>
    <x v="17"/>
    <n v="101.91500000000001"/>
    <n v="0.75"/>
  </r>
  <r>
    <x v="8"/>
    <n v="30.940999999999999"/>
    <n v="0.25"/>
  </r>
  <r>
    <x v="7"/>
    <n v="51.481000000000002"/>
    <n v="0.4"/>
  </r>
  <r>
    <x v="19"/>
    <n v="100"/>
    <n v="0.3"/>
  </r>
  <r>
    <x v="20"/>
    <n v="81.201999999999998"/>
    <n v="0.99"/>
  </r>
  <r>
    <x v="21"/>
    <n v="16.288"/>
    <n v="0.55000000000000004"/>
  </r>
  <r>
    <x v="22"/>
    <n v="88.477000000000004"/>
    <n v="0.65"/>
  </r>
  <r>
    <x v="23"/>
    <n v="99.754999999999995"/>
    <n v="0.75"/>
  </r>
  <r>
    <x v="19"/>
    <n v="12.365"/>
    <n v="0.15"/>
  </r>
  <r>
    <x v="24"/>
    <n v="21.198"/>
    <n v="0.5"/>
  </r>
  <r>
    <x v="25"/>
    <n v="1.496"/>
    <n v="0.75"/>
  </r>
  <r>
    <x v="26"/>
    <n v="14.706"/>
    <n v="0.75"/>
  </r>
  <r>
    <x v="4"/>
    <n v="24.507000000000001"/>
    <n v="0.35"/>
  </r>
  <r>
    <x v="17"/>
    <n v="39.450000000000003"/>
    <n v="0.95"/>
  </r>
  <r>
    <x v="27"/>
    <n v="99.584999999999994"/>
    <n v="0.85"/>
  </r>
  <r>
    <x v="28"/>
    <n v="98.542000000000002"/>
    <n v="0.35"/>
  </r>
  <r>
    <x v="29"/>
    <n v="4.4530000000000003"/>
    <n v="0.18"/>
  </r>
  <r>
    <x v="30"/>
    <n v="13.488"/>
    <n v="0.5"/>
  </r>
  <r>
    <x v="6"/>
    <n v="5.8129999999999997"/>
    <n v="0.18"/>
  </r>
  <r>
    <x v="31"/>
    <n v="20.193000000000001"/>
    <n v="0.5"/>
  </r>
  <r>
    <x v="6"/>
    <n v="17.475999999999999"/>
    <n v="0.25"/>
  </r>
  <r>
    <x v="4"/>
    <n v="99.957999999999998"/>
    <n v="1.25"/>
  </r>
  <r>
    <x v="32"/>
    <n v="99.974999999999994"/>
    <n v="0.45"/>
  </r>
  <r>
    <x v="29"/>
    <n v="3.9689999999999999"/>
    <n v="0.18"/>
  </r>
  <r>
    <x v="33"/>
    <n v="16.945"/>
    <n v="0.31"/>
  </r>
  <r>
    <x v="17"/>
    <n v="101.97499999999999"/>
    <n v="0.75"/>
  </r>
  <r>
    <x v="34"/>
    <n v="99.534000000000006"/>
    <n v="0.25"/>
  </r>
  <r>
    <x v="35"/>
    <n v="14.074"/>
    <n v="0.55000000000000004"/>
  </r>
  <r>
    <x v="23"/>
    <n v="98.54"/>
    <n v="0.75"/>
  </r>
  <r>
    <x v="36"/>
    <n v="16.475999999999999"/>
    <n v="0.04"/>
  </r>
  <r>
    <x v="37"/>
    <n v="34.478999999999999"/>
    <n v="0.55000000000000004"/>
  </r>
  <r>
    <x v="25"/>
    <m/>
    <n v="0.75"/>
  </r>
  <r>
    <x v="38"/>
    <n v="94.429000000000002"/>
    <n v="0.65"/>
  </r>
  <r>
    <x v="39"/>
    <n v="30.399000000000001"/>
    <n v="0.55000000000000004"/>
  </r>
  <r>
    <x v="40"/>
    <n v="19.623000000000001"/>
    <n v="0.49"/>
  </r>
  <r>
    <x v="41"/>
    <n v="17.088999999999999"/>
    <n v="0.39"/>
  </r>
  <r>
    <x v="42"/>
    <n v="32.887999999999998"/>
    <n v="0.8"/>
  </r>
  <r>
    <x v="43"/>
    <n v="11.206"/>
    <n v="0.5"/>
  </r>
  <r>
    <x v="44"/>
    <m/>
    <n v="0.32"/>
  </r>
  <r>
    <x v="44"/>
    <n v="13.494999999999999"/>
    <n v="0.24"/>
  </r>
  <r>
    <x v="38"/>
    <n v="99.572999999999993"/>
    <n v="0.65"/>
  </r>
  <r>
    <x v="45"/>
    <n v="47.737000000000002"/>
    <n v="0.2"/>
  </r>
  <r>
    <x v="46"/>
    <n v="4.9930000000000003"/>
    <n v="0.35"/>
  </r>
  <r>
    <x v="47"/>
    <n v="49.593000000000004"/>
    <n v="0.45"/>
  </r>
  <r>
    <x v="20"/>
    <n v="23.231000000000002"/>
    <n v="0.68"/>
  </r>
  <r>
    <x v="48"/>
    <n v="26.18"/>
    <n v="0.18"/>
  </r>
  <r>
    <x v="49"/>
    <n v="14.082000000000001"/>
    <n v="0.18"/>
  </r>
  <r>
    <x v="50"/>
    <n v="10.847"/>
    <n v="3.0000000000000001E-3"/>
  </r>
  <r>
    <x v="51"/>
    <n v="6.9960000000000004"/>
    <n v="0.28999999999999998"/>
  </r>
  <r>
    <x v="41"/>
    <n v="11.63"/>
    <n v="0.4"/>
  </r>
  <r>
    <x v="50"/>
    <n v="15.278"/>
    <n v="3.0000000000000001E-3"/>
  </r>
  <r>
    <x v="52"/>
    <n v="30.702000000000002"/>
    <n v="0.2"/>
  </r>
  <r>
    <x v="53"/>
    <n v="98.475999999999999"/>
    <n v="0.8"/>
  </r>
  <r>
    <x v="32"/>
    <n v="13.106999999999999"/>
    <n v="0.4"/>
  </r>
  <r>
    <x v="54"/>
    <n v="8.0579999999999998"/>
    <n v="0.08"/>
  </r>
  <r>
    <x v="48"/>
    <n v="22.358000000000001"/>
    <n v="0.18"/>
  </r>
  <r>
    <x v="55"/>
    <n v="1.6890000000000001"/>
    <n v="0.02"/>
  </r>
  <r>
    <x v="9"/>
    <n v="30.832999999999998"/>
    <n v="0.45"/>
  </r>
  <r>
    <x v="56"/>
    <n v="5.8650000000000002"/>
    <n v="0.18"/>
  </r>
  <r>
    <x v="6"/>
    <n v="55.625999999999998"/>
    <n v="0.15"/>
  </r>
  <r>
    <x v="19"/>
    <n v="5.6580000000000004"/>
    <n v="0.2"/>
  </r>
  <r>
    <x v="57"/>
    <n v="2.7250000000000001"/>
    <n v="0.03"/>
  </r>
  <r>
    <x v="58"/>
    <n v="19.925999999999998"/>
    <n v="0.75"/>
  </r>
  <r>
    <x v="59"/>
    <n v="11.385"/>
    <n v="0.45"/>
  </r>
  <r>
    <x v="60"/>
    <n v="11.933"/>
    <n v="0.35"/>
  </r>
  <r>
    <x v="61"/>
    <n v="37.558"/>
    <n v="0.85"/>
  </r>
  <r>
    <x v="61"/>
    <n v="18.533000000000001"/>
    <n v="0.65"/>
  </r>
  <r>
    <x v="7"/>
    <n v="24.818000000000001"/>
    <n v="0.25"/>
  </r>
  <r>
    <x v="62"/>
    <n v="15.442"/>
    <n v="0.46"/>
  </r>
  <r>
    <x v="17"/>
    <n v="135.255"/>
    <n v="0.5"/>
  </r>
  <r>
    <x v="63"/>
    <n v="13.625999999999999"/>
    <n v="0.28999999999999998"/>
  </r>
  <r>
    <x v="33"/>
    <n v="10.510999999999999"/>
    <n v="0.49"/>
  </r>
  <r>
    <x v="64"/>
    <n v="10.449"/>
    <n v="0.27"/>
  </r>
  <r>
    <x v="65"/>
    <n v="2.8660000000000001"/>
    <n v="0.03"/>
  </r>
  <r>
    <x v="66"/>
    <n v="29.216999999999999"/>
    <n v="0.28999999999999998"/>
  </r>
  <r>
    <x v="15"/>
    <n v="33.957999999999998"/>
    <n v="0.4"/>
  </r>
  <r>
    <x v="67"/>
    <n v="38.116999999999997"/>
    <n v="0.5"/>
  </r>
  <r>
    <x v="68"/>
    <n v="39.945999999999998"/>
    <n v="0.4"/>
  </r>
  <r>
    <x v="1"/>
    <n v="89.584000000000003"/>
    <n v="0.74"/>
  </r>
  <r>
    <x v="9"/>
    <n v="38.941000000000003"/>
    <n v="0.35"/>
  </r>
  <r>
    <x v="29"/>
    <n v="18.962"/>
    <n v="0.42"/>
  </r>
  <r>
    <x v="69"/>
    <n v="22.262"/>
    <n v="0.69"/>
  </r>
  <r>
    <x v="70"/>
    <n v="11.391"/>
    <n v="0.35"/>
  </r>
  <r>
    <x v="32"/>
    <n v="8.92"/>
    <n v="0.28999999999999998"/>
  </r>
  <r>
    <x v="15"/>
    <n v="81.572000000000003"/>
    <n v="0.2"/>
  </r>
  <r>
    <x v="71"/>
    <n v="38.969000000000001"/>
    <n v="0.43"/>
  </r>
  <r>
    <x v="72"/>
    <n v="24.361000000000001"/>
    <n v="0.28000000000000003"/>
  </r>
  <r>
    <x v="48"/>
    <n v="7.4429999999999996"/>
    <n v="0.05"/>
  </r>
  <r>
    <x v="67"/>
    <n v="40.319000000000003"/>
    <n v="0.4"/>
  </r>
  <r>
    <x v="6"/>
    <n v="44.484000000000002"/>
    <n v="0.15"/>
  </r>
  <r>
    <x v="41"/>
    <n v="17.158999999999999"/>
    <n v="0.4"/>
  </r>
  <r>
    <x v="51"/>
    <n v="12.885999999999999"/>
    <n v="0.27"/>
  </r>
  <r>
    <x v="73"/>
    <n v="1.2E-2"/>
    <n v="0.57999999999999996"/>
  </r>
  <r>
    <x v="70"/>
    <n v="4.4790000000000001"/>
    <n v="7.0000000000000007E-2"/>
  </r>
  <r>
    <x v="74"/>
    <n v="28.65"/>
    <n v="0.5"/>
  </r>
  <r>
    <x v="50"/>
    <n v="19.244"/>
    <n v="3.0000000000000001E-3"/>
  </r>
  <r>
    <x v="35"/>
    <n v="19.239999999999998"/>
    <n v="0.59"/>
  </r>
  <r>
    <x v="6"/>
    <n v="99.777000000000001"/>
    <n v="0.2"/>
  </r>
  <r>
    <x v="51"/>
    <n v="14.244"/>
    <n v="0.15"/>
  </r>
  <r>
    <x v="75"/>
    <n v="12.831"/>
    <n v="0.02"/>
  </r>
  <r>
    <x v="76"/>
    <n v="10.385"/>
    <n v="0.49"/>
  </r>
  <r>
    <x v="62"/>
    <n v="82.045000000000002"/>
    <n v="0.21"/>
  </r>
  <r>
    <x v="77"/>
    <n v="92.394000000000005"/>
    <n v="0.35"/>
  </r>
  <r>
    <x v="57"/>
    <n v="2.8929999999999998"/>
    <n v="0.03"/>
  </r>
  <r>
    <x v="37"/>
    <n v="18.773"/>
    <n v="0.28999999999999998"/>
  </r>
  <r>
    <x v="78"/>
    <n v="15.945"/>
    <n v="0.48"/>
  </r>
  <r>
    <x v="14"/>
    <n v="41.759"/>
    <n v="0.97"/>
  </r>
  <r>
    <x v="50"/>
    <n v="11.617000000000001"/>
    <n v="0.3"/>
  </r>
  <r>
    <x v="5"/>
    <n v="9.202"/>
    <n v="0.35"/>
  </r>
  <r>
    <x v="6"/>
    <n v="99.984999999999999"/>
    <n v="7.0000000000000007E-2"/>
  </r>
  <r>
    <x v="30"/>
    <n v="1.43"/>
    <n v="0.28000000000000003"/>
  </r>
  <r>
    <x v="49"/>
    <n v="6.3129999999999997"/>
    <n v="0.16"/>
  </r>
  <r>
    <x v="15"/>
    <n v="55.279000000000003"/>
    <n v="0.15"/>
  </r>
  <r>
    <x v="17"/>
    <n v="44.731999999999999"/>
    <n v="0.5"/>
  </r>
  <r>
    <x v="79"/>
    <n v="32.177"/>
    <n v="0.59"/>
  </r>
  <r>
    <x v="70"/>
    <n v="12.268000000000001"/>
    <n v="0.28999999999999998"/>
  </r>
  <r>
    <x v="5"/>
    <n v="15.298"/>
    <n v="0.04"/>
  </r>
  <r>
    <x v="6"/>
    <n v="4.5359999999999996"/>
    <n v="0.08"/>
  </r>
  <r>
    <x v="7"/>
    <n v="24.603999999999999"/>
    <n v="0.75"/>
  </r>
  <r>
    <x v="32"/>
    <n v="5.4109999999999996"/>
    <n v="0.19"/>
  </r>
  <r>
    <x v="15"/>
    <n v="11.083"/>
    <n v="0.49"/>
  </r>
  <r>
    <x v="71"/>
    <n v="25.64"/>
    <n v="0.4"/>
  </r>
  <r>
    <x v="15"/>
    <n v="40.4"/>
    <n v="0.45"/>
  </r>
  <r>
    <x v="80"/>
    <n v="21.504999999999999"/>
    <n v="0.5"/>
  </r>
  <r>
    <x v="7"/>
    <n v="7.5880000000000001"/>
    <n v="0.27"/>
  </r>
  <r>
    <x v="6"/>
    <n v="5.8869999999999996"/>
    <n v="0.09"/>
  </r>
  <r>
    <x v="19"/>
    <n v="15.054"/>
    <n v="7.0000000000000007E-2"/>
  </r>
  <r>
    <x v="28"/>
    <n v="6.9349999999999996"/>
    <n v="0.37"/>
  </r>
  <r>
    <x v="6"/>
    <n v="5.3680000000000003"/>
    <n v="7.0000000000000007E-2"/>
  </r>
  <r>
    <x v="81"/>
    <n v="3.3410000000000002"/>
    <n v="0.03"/>
  </r>
  <r>
    <x v="82"/>
    <n v="4.0519999999999996"/>
    <n v="0.06"/>
  </r>
  <r>
    <x v="26"/>
    <n v="19.599"/>
    <n v="0.65"/>
  </r>
  <r>
    <x v="55"/>
    <n v="1.1659999999999999"/>
    <n v="0.02"/>
  </r>
  <r>
    <x v="2"/>
    <n v="35.058999999999997"/>
    <n v="0.45"/>
  </r>
  <r>
    <x v="6"/>
    <n v="2.2000000000000002"/>
    <n v="0.04"/>
  </r>
  <r>
    <x v="48"/>
    <n v="3.5649999999999999"/>
    <n v="0.05"/>
  </r>
  <r>
    <x v="83"/>
    <n v="34.97"/>
    <n v="0.25"/>
  </r>
  <r>
    <x v="70"/>
    <n v="9.8680000000000003"/>
    <n v="0.3"/>
  </r>
  <r>
    <x v="5"/>
    <n v="2.7370000000000001"/>
    <n v="0.04"/>
  </r>
  <r>
    <x v="72"/>
    <n v="9.0960000000000001"/>
    <n v="0.28000000000000003"/>
  </r>
  <r>
    <x v="9"/>
    <n v="42.86"/>
    <n v="0.43"/>
  </r>
  <r>
    <x v="32"/>
    <n v="49.646000000000001"/>
    <n v="0.125"/>
  </r>
  <r>
    <x v="30"/>
    <n v="7.1529999999999996"/>
    <n v="0.35"/>
  </r>
  <r>
    <x v="84"/>
    <n v="9.9700000000000006"/>
    <n v="0.48"/>
  </r>
  <r>
    <x v="29"/>
    <n v="4.9370000000000003"/>
    <n v="0.18"/>
  </r>
  <r>
    <x v="28"/>
    <n v="7.585"/>
    <n v="0.15"/>
  </r>
  <r>
    <x v="6"/>
    <n v="2.944"/>
    <n v="0.08"/>
  </r>
  <r>
    <x v="54"/>
    <n v="17.263999999999999"/>
    <n v="0.35"/>
  </r>
  <r>
    <x v="61"/>
    <n v="5.4"/>
    <n v="0.39"/>
  </r>
  <r>
    <x v="49"/>
    <n v="13.855"/>
    <n v="0.2"/>
  </r>
  <r>
    <x v="55"/>
    <n v="6.0819999999999999"/>
    <n v="0.1"/>
  </r>
  <r>
    <x v="6"/>
    <n v="8.798"/>
    <n v="0.09"/>
  </r>
  <r>
    <x v="73"/>
    <n v="94.998999999999995"/>
    <n v="0.65"/>
  </r>
  <r>
    <x v="85"/>
    <n v="10.262"/>
    <n v="0.4"/>
  </r>
  <r>
    <x v="64"/>
    <n v="5.194"/>
    <n v="0.3"/>
  </r>
  <r>
    <x v="6"/>
    <n v="3.4369999999999998"/>
    <n v="0.49"/>
  </r>
  <r>
    <x v="54"/>
    <n v="12.696999999999999"/>
    <n v="0.18"/>
  </r>
  <r>
    <x v="5"/>
    <n v="3.4249999999999998"/>
    <n v="0.05"/>
  </r>
  <r>
    <x v="9"/>
    <n v="12.586"/>
    <n v="0.55000000000000004"/>
  </r>
  <r>
    <x v="86"/>
    <n v="93.960999999999999"/>
    <n v="0.25"/>
  </r>
  <r>
    <x v="85"/>
    <n v="22.358000000000001"/>
    <n v="0.45"/>
  </r>
  <r>
    <x v="54"/>
    <n v="4.1719999999999997"/>
    <n v="0.15"/>
  </r>
  <r>
    <x v="9"/>
    <n v="28.533999999999999"/>
    <n v="0.6"/>
  </r>
  <r>
    <x v="2"/>
    <n v="70.566999999999993"/>
    <n v="0.65"/>
  </r>
  <r>
    <x v="56"/>
    <n v="17.509"/>
    <n v="3.0000000000000001E-3"/>
  </r>
  <r>
    <x v="85"/>
    <n v="13.433"/>
    <n v="0.4"/>
  </r>
  <r>
    <x v="6"/>
    <n v="4.8650000000000002"/>
    <n v="0.18"/>
  </r>
  <r>
    <x v="87"/>
    <n v="16.597999999999999"/>
    <n v="0.3"/>
  </r>
  <r>
    <x v="29"/>
    <n v="4.5309999999999997"/>
    <n v="0.18"/>
  </r>
  <r>
    <x v="49"/>
    <n v="12.387"/>
    <n v="0.16"/>
  </r>
  <r>
    <x v="87"/>
    <n v="27.318999999999999"/>
    <n v="0.36"/>
  </r>
  <r>
    <x v="80"/>
    <n v="20.902999999999999"/>
    <n v="0"/>
  </r>
  <r>
    <x v="15"/>
    <n v="13.78"/>
    <n v="0.7"/>
  </r>
  <r>
    <x v="15"/>
    <n v="11.365"/>
    <n v="0.35"/>
  </r>
  <r>
    <x v="80"/>
    <n v="3.45"/>
    <n v="7.0000000000000007E-2"/>
  </r>
  <r>
    <x v="88"/>
    <n v="2.4460000000000002"/>
    <n v="0.05"/>
  </r>
  <r>
    <x v="54"/>
    <n v="8.1820000000000004"/>
    <n v="0.45"/>
  </r>
  <r>
    <x v="61"/>
    <n v="15.339"/>
    <n v="0.84"/>
  </r>
  <r>
    <x v="89"/>
    <n v="21.672999999999998"/>
    <n v="0.63"/>
  </r>
  <r>
    <x v="6"/>
    <n v="4.274"/>
    <n v="0.18"/>
  </r>
  <r>
    <x v="6"/>
    <n v="99.99"/>
    <n v="7.0000000000000007E-2"/>
  </r>
  <r>
    <x v="90"/>
    <n v="28.099"/>
    <n v="0.59"/>
  </r>
  <r>
    <x v="6"/>
    <n v="7.6520000000000001"/>
    <n v="0.35"/>
  </r>
  <r>
    <x v="80"/>
    <n v="15.587"/>
    <n v="0.18"/>
  </r>
  <r>
    <x v="30"/>
    <n v="9.7899999999999991"/>
    <n v="0.5"/>
  </r>
  <r>
    <x v="78"/>
    <n v="21.977"/>
    <n v="0.39"/>
  </r>
  <r>
    <x v="5"/>
    <n v="4.2119999999999997"/>
    <n v="0.4"/>
  </r>
  <r>
    <x v="37"/>
    <n v="21.466999999999999"/>
    <n v="0.39"/>
  </r>
  <r>
    <x v="5"/>
    <n v="2.7879999999999998"/>
    <n v="0.23"/>
  </r>
  <r>
    <x v="85"/>
    <n v="7.9180000000000001"/>
    <n v="0.4"/>
  </r>
  <r>
    <x v="87"/>
    <n v="8.1440000000000001"/>
    <n v="0.05"/>
  </r>
  <r>
    <x v="80"/>
    <n v="23.67"/>
    <n v="0.35"/>
  </r>
  <r>
    <x v="6"/>
    <n v="99.989000000000004"/>
    <n v="7.0000000000000007E-2"/>
  </r>
  <r>
    <x v="33"/>
    <n v="6.7729999999999997"/>
    <n v="0.34"/>
  </r>
  <r>
    <x v="91"/>
    <n v="27.4"/>
    <n v="0.39"/>
  </r>
  <r>
    <x v="64"/>
    <n v="27.542999999999999"/>
    <n v="0.45"/>
  </r>
  <r>
    <x v="3"/>
    <n v="44.198999999999998"/>
    <n v="0.5"/>
  </r>
  <r>
    <x v="90"/>
    <n v="19.001000000000001"/>
    <n v="0.63"/>
  </r>
  <r>
    <x v="6"/>
    <n v="20.542999999999999"/>
    <n v="0.1"/>
  </r>
  <r>
    <x v="50"/>
    <n v="8.9969999999999999"/>
    <n v="0.4"/>
  </r>
  <r>
    <x v="92"/>
    <n v="12.923999999999999"/>
    <n v="0.5"/>
  </r>
  <r>
    <x v="32"/>
    <n v="12.866"/>
    <n v="0.35"/>
  </r>
  <r>
    <x v="6"/>
    <n v="13.675000000000001"/>
    <n v="0.35"/>
  </r>
  <r>
    <x v="15"/>
    <n v="25.565000000000001"/>
    <n v="0.84"/>
  </r>
  <r>
    <x v="57"/>
    <n v="3.899"/>
    <n v="0.03"/>
  </r>
  <r>
    <x v="29"/>
    <n v="13.249000000000001"/>
    <n v="0.42"/>
  </r>
  <r>
    <x v="77"/>
    <n v="95.081999999999994"/>
    <n v="0.65"/>
  </r>
  <r>
    <x v="8"/>
    <n v="25.288"/>
    <n v="0.12"/>
  </r>
  <r>
    <x v="93"/>
    <n v="99.995000000000005"/>
    <n v="0.49"/>
  </r>
  <r>
    <x v="19"/>
    <n v="3.7709999999999999"/>
    <n v="0.05"/>
  </r>
  <r>
    <x v="94"/>
    <n v="11.507"/>
    <n v="0.02"/>
  </r>
  <r>
    <x v="95"/>
    <n v="72.759"/>
    <n v="0.3"/>
  </r>
  <r>
    <x v="96"/>
    <n v="25.588000000000001"/>
    <n v="0.3"/>
  </r>
  <r>
    <x v="32"/>
    <n v="11.43"/>
    <n v="0.35"/>
  </r>
  <r>
    <x v="64"/>
    <n v="9.0649999999999995"/>
    <n v="0.25"/>
  </r>
  <r>
    <x v="30"/>
    <n v="5.7359999999999998"/>
    <n v="0.28000000000000003"/>
  </r>
  <r>
    <x v="33"/>
    <n v="13.167"/>
    <n v="0.32"/>
  </r>
  <r>
    <x v="97"/>
    <n v="20.88"/>
    <n v="0.55000000000000004"/>
  </r>
  <r>
    <x v="29"/>
    <n v="4.5030000000000001"/>
    <n v="0.18"/>
  </r>
  <r>
    <x v="98"/>
    <n v="9.8330000000000002"/>
    <n v="0.5"/>
  </r>
  <r>
    <x v="7"/>
    <n v="7.0410000000000004"/>
    <n v="0.4"/>
  </r>
  <r>
    <x v="6"/>
    <n v="39.762"/>
    <n v="0.15"/>
  </r>
  <r>
    <x v="6"/>
    <n v="6.0810000000000004"/>
    <n v="0.04"/>
  </r>
  <r>
    <x v="83"/>
    <n v="31.106000000000002"/>
    <n v="0.25"/>
  </r>
  <r>
    <x v="83"/>
    <n v="18.338999999999999"/>
    <n v="0.39"/>
  </r>
  <r>
    <x v="15"/>
    <n v="38.110999999999997"/>
    <n v="0.65"/>
  </r>
  <r>
    <x v="71"/>
    <n v="32.302999999999997"/>
    <n v="0.55000000000000004"/>
  </r>
  <r>
    <x v="32"/>
    <n v="23.864000000000001"/>
    <n v="0.35"/>
  </r>
  <r>
    <x v="50"/>
    <n v="14.137"/>
    <n v="3.0000000000000001E-3"/>
  </r>
  <r>
    <x v="71"/>
    <n v="26.315000000000001"/>
    <n v="0.2"/>
  </r>
  <r>
    <x v="32"/>
    <n v="4.0910000000000002"/>
    <n v="0.2"/>
  </r>
  <r>
    <x v="63"/>
    <n v="31.202000000000002"/>
    <n v="0.39"/>
  </r>
  <r>
    <x v="99"/>
    <n v="99.46"/>
    <n v="0.5"/>
  </r>
  <r>
    <x v="57"/>
    <n v="21.844999999999999"/>
    <n v="0.03"/>
  </r>
  <r>
    <x v="86"/>
    <n v="92.164000000000001"/>
    <n v="0.25"/>
  </r>
  <r>
    <x v="69"/>
    <n v="29.225000000000001"/>
    <n v="0.85"/>
  </r>
  <r>
    <x v="31"/>
    <n v="30.332999999999998"/>
    <n v="0.46"/>
  </r>
  <r>
    <x v="2"/>
    <n v="16.468"/>
    <n v="0.85"/>
  </r>
  <r>
    <x v="41"/>
    <n v="10.324"/>
    <n v="0.45"/>
  </r>
  <r>
    <x v="93"/>
    <n v="99.242999999999995"/>
    <n v="0.15"/>
  </r>
  <r>
    <x v="80"/>
    <n v="11.53"/>
    <n v="0.45"/>
  </r>
  <r>
    <x v="5"/>
    <n v="4.9219999999999997"/>
    <n v="0.4"/>
  </r>
  <r>
    <x v="100"/>
    <n v="28.134"/>
    <n v="0.6"/>
  </r>
  <r>
    <x v="101"/>
    <n v="32.299999999999997"/>
    <n v="0.6"/>
  </r>
  <r>
    <x v="40"/>
    <n v="33.942"/>
    <n v="0.28999999999999998"/>
  </r>
  <r>
    <x v="32"/>
    <n v="12.452999999999999"/>
    <n v="0.35"/>
  </r>
  <r>
    <x v="61"/>
    <n v="11.532"/>
    <n v="0.65"/>
  </r>
  <r>
    <x v="6"/>
    <n v="5.032"/>
    <n v="0.35"/>
  </r>
  <r>
    <x v="80"/>
    <n v="39.950000000000003"/>
    <n v="0.04"/>
  </r>
  <r>
    <x v="93"/>
    <n v="10.092000000000001"/>
    <n v="0.39"/>
  </r>
  <r>
    <x v="29"/>
    <n v="4.7149999999999999"/>
    <n v="0.18"/>
  </r>
  <r>
    <x v="102"/>
    <n v="79.649000000000001"/>
    <n v="0.48"/>
  </r>
  <r>
    <x v="34"/>
    <n v="99.808999999999997"/>
    <n v="0.25"/>
  </r>
  <r>
    <x v="6"/>
    <n v="11.374000000000001"/>
    <n v="0.35"/>
  </r>
  <r>
    <x v="71"/>
    <n v="28.02"/>
    <n v="0.2"/>
  </r>
  <r>
    <x v="19"/>
    <n v="5.61"/>
    <n v="0.2"/>
  </r>
  <r>
    <x v="61"/>
    <n v="5.4710000000000001"/>
    <n v="0.49"/>
  </r>
  <r>
    <x v="54"/>
    <n v="10.42"/>
    <n v="0.35"/>
  </r>
  <r>
    <x v="29"/>
    <n v="14.242000000000001"/>
    <n v="0.42"/>
  </r>
  <r>
    <x v="5"/>
    <n v="6.3159999999999998"/>
    <n v="0.3"/>
  </r>
  <r>
    <x v="100"/>
    <n v="16.213000000000001"/>
    <n v="0.39"/>
  </r>
  <r>
    <x v="6"/>
    <n v="4.0679999999999996"/>
    <n v="0.3"/>
  </r>
  <r>
    <x v="103"/>
    <n v="25.713999999999999"/>
    <n v="0.55000000000000004"/>
  </r>
  <r>
    <x v="104"/>
    <n v="22.513000000000002"/>
    <n v="0.55000000000000004"/>
  </r>
  <r>
    <x v="43"/>
    <n v="34.024000000000001"/>
    <n v="0.4"/>
  </r>
  <r>
    <x v="55"/>
    <n v="4.1740000000000004"/>
    <n v="0.1"/>
  </r>
  <r>
    <x v="6"/>
    <n v="97.900999999999996"/>
    <n v="0.28000000000000003"/>
  </r>
  <r>
    <x v="44"/>
    <n v="23.158000000000001"/>
    <n v="0.59"/>
  </r>
  <r>
    <x v="50"/>
    <n v="27.027000000000001"/>
    <n v="0.3"/>
  </r>
  <r>
    <x v="105"/>
    <n v="4.149"/>
    <n v="0.22"/>
  </r>
  <r>
    <x v="106"/>
    <n v="35.844000000000001"/>
    <n v="0.55000000000000004"/>
  </r>
  <r>
    <x v="5"/>
    <n v="22.076000000000001"/>
    <n v="0.03"/>
  </r>
  <r>
    <x v="87"/>
    <n v="38.837000000000003"/>
    <n v="0.55000000000000004"/>
  </r>
  <r>
    <x v="2"/>
    <n v="41.802999999999997"/>
    <n v="0.65"/>
  </r>
  <r>
    <x v="49"/>
    <n v="16.251000000000001"/>
    <n v="0.2"/>
  </r>
  <r>
    <x v="9"/>
    <m/>
    <n v="0.23"/>
  </r>
  <r>
    <x v="61"/>
    <n v="17.675999999999998"/>
    <n v="0.85"/>
  </r>
  <r>
    <x v="65"/>
    <n v="22.027999999999999"/>
    <n v="0.02"/>
  </r>
  <r>
    <x v="15"/>
    <n v="12.5"/>
    <n v="0.55000000000000004"/>
  </r>
  <r>
    <x v="30"/>
    <n v="10.525"/>
    <n v="0.5"/>
  </r>
  <r>
    <x v="6"/>
    <n v="1.593"/>
    <n v="0.05"/>
  </r>
  <r>
    <x v="107"/>
    <n v="26.047999999999998"/>
    <n v="0.4"/>
  </r>
  <r>
    <x v="108"/>
    <n v="99.69"/>
    <n v="0.3"/>
  </r>
  <r>
    <x v="63"/>
    <n v="27.599"/>
    <n v="0.49"/>
  </r>
  <r>
    <x v="19"/>
    <n v="3.577"/>
    <n v="0.2"/>
  </r>
  <r>
    <x v="109"/>
    <n v="2.6779999999999999"/>
    <n v="0.05"/>
  </r>
  <r>
    <x v="9"/>
    <n v="27.295000000000002"/>
    <n v="0.25"/>
  </r>
  <r>
    <x v="79"/>
    <n v="13.159000000000001"/>
    <n v="0.55000000000000004"/>
  </r>
  <r>
    <x v="55"/>
    <n v="1.7729999999999999"/>
    <n v="0.06"/>
  </r>
  <r>
    <x v="65"/>
    <n v="5.4850000000000003"/>
    <n v="0.01"/>
  </r>
  <r>
    <x v="110"/>
    <n v="8.9600000000000009"/>
    <n v="0.55000000000000004"/>
  </r>
  <r>
    <x v="6"/>
    <n v="99.539000000000001"/>
    <n v="0.2"/>
  </r>
  <r>
    <x v="2"/>
    <n v="26.731000000000002"/>
    <n v="0.64"/>
  </r>
  <r>
    <x v="72"/>
    <n v="14.577"/>
    <n v="0.4"/>
  </r>
  <r>
    <x v="44"/>
    <m/>
    <n v="0.18"/>
  </r>
  <r>
    <x v="86"/>
    <n v="93.43"/>
    <n v="0.25"/>
  </r>
  <r>
    <x v="50"/>
    <n v="35.353999999999999"/>
    <n v="0.25"/>
  </r>
  <r>
    <x v="64"/>
    <n v="22.209"/>
    <n v="0.39"/>
  </r>
  <r>
    <x v="111"/>
    <n v="20.526"/>
    <n v="0.75"/>
  </r>
  <r>
    <x v="7"/>
    <n v="11.064"/>
    <n v="0.32"/>
  </r>
  <r>
    <x v="33"/>
    <n v="8.298"/>
    <n v="0.45"/>
  </r>
  <r>
    <x v="32"/>
    <n v="8.1349999999999998"/>
    <n v="0.35"/>
  </r>
  <r>
    <x v="46"/>
    <n v="2.3639999999999999"/>
    <n v="0.4"/>
  </r>
  <r>
    <x v="74"/>
    <n v="26.606999999999999"/>
    <n v="0.3"/>
  </r>
  <r>
    <x v="32"/>
    <n v="20.652000000000001"/>
    <n v="0.35"/>
  </r>
  <r>
    <x v="6"/>
    <n v="100.50700000000001"/>
    <n v="0.2"/>
  </r>
  <r>
    <x v="80"/>
    <n v="22.917999999999999"/>
    <n v="0.3"/>
  </r>
  <r>
    <x v="28"/>
    <n v="13.106999999999999"/>
    <n v="0.2"/>
  </r>
  <r>
    <x v="46"/>
    <n v="11.019"/>
    <n v="0.3"/>
  </r>
  <r>
    <x v="50"/>
    <n v="21.407"/>
    <n v="0.35"/>
  </r>
  <r>
    <x v="48"/>
    <n v="22.847999999999999"/>
    <n v="0.18"/>
  </r>
  <r>
    <x v="50"/>
    <n v="24.634"/>
    <n v="0.35"/>
  </r>
  <r>
    <x v="76"/>
    <n v="9.8490000000000002"/>
    <n v="0.6"/>
  </r>
  <r>
    <x v="17"/>
    <n v="97.245000000000005"/>
    <n v="0.5"/>
  </r>
  <r>
    <x v="112"/>
    <n v="35.5"/>
    <n v="0.35"/>
  </r>
  <r>
    <x v="113"/>
    <n v="9.7159999999999993"/>
    <n v="0.34"/>
  </r>
  <r>
    <x v="72"/>
    <m/>
    <n v="0.27"/>
  </r>
  <r>
    <x v="6"/>
    <n v="99.997"/>
    <n v="7.0000000000000007E-2"/>
  </r>
  <r>
    <x v="50"/>
    <n v="33.316000000000003"/>
    <n v="0.3"/>
  </r>
  <r>
    <x v="65"/>
    <n v="99.995999999999995"/>
    <n v="0"/>
  </r>
  <r>
    <x v="17"/>
    <n v="197.976"/>
    <n v="0.25"/>
  </r>
  <r>
    <x v="15"/>
    <n v="12.183999999999999"/>
    <n v="0.35"/>
  </r>
  <r>
    <x v="49"/>
    <n v="6.8019999999999996"/>
    <n v="0.18"/>
  </r>
  <r>
    <x v="21"/>
    <n v="12.411"/>
    <n v="0.39"/>
  </r>
  <r>
    <x v="7"/>
    <n v="7.0229999999999997"/>
    <n v="0.32"/>
  </r>
  <r>
    <x v="79"/>
    <n v="27.081"/>
    <n v="0.79"/>
  </r>
  <r>
    <x v="58"/>
    <n v="29.940999999999999"/>
    <n v="0.75"/>
  </r>
  <r>
    <x v="29"/>
    <n v="18.577000000000002"/>
    <n v="0.42"/>
  </r>
  <r>
    <x v="32"/>
    <n v="11.994"/>
    <n v="0.35"/>
  </r>
  <r>
    <x v="85"/>
    <n v="17.806000000000001"/>
    <n v="0.4"/>
  </r>
  <r>
    <x v="21"/>
    <n v="10.590999999999999"/>
    <n v="0.56999999999999995"/>
  </r>
  <r>
    <x v="71"/>
    <n v="19.945"/>
    <n v="0.7"/>
  </r>
  <r>
    <x v="70"/>
    <n v="15.685"/>
    <n v="0.55000000000000004"/>
  </r>
  <r>
    <x v="48"/>
    <n v="52.235999999999997"/>
    <n v="0.1"/>
  </r>
  <r>
    <x v="7"/>
    <n v="3.9049999999999998"/>
    <n v="0.18"/>
  </r>
  <r>
    <x v="114"/>
    <n v="100.02200000000001"/>
    <n v="0.85"/>
  </r>
  <r>
    <x v="106"/>
    <n v="22.367999999999999"/>
    <n v="0.55000000000000004"/>
  </r>
  <r>
    <x v="59"/>
    <n v="29.510999999999999"/>
    <n v="0.49"/>
  </r>
  <r>
    <x v="58"/>
    <n v="1.2010000000000001"/>
    <n v="0.65"/>
  </r>
  <r>
    <x v="115"/>
    <n v="60.155000000000001"/>
    <n v="0.35"/>
  </r>
  <r>
    <x v="29"/>
    <n v="16.128"/>
    <n v="0.42"/>
  </r>
  <r>
    <x v="86"/>
    <n v="95.596999999999994"/>
    <n v="0.25"/>
  </r>
  <r>
    <x v="85"/>
    <m/>
    <n v="0.25"/>
  </r>
  <r>
    <x v="112"/>
    <n v="12.452999999999999"/>
    <n v="0.39"/>
  </r>
  <r>
    <x v="86"/>
    <n v="97.971999999999994"/>
    <n v="0.25"/>
  </r>
  <r>
    <x v="6"/>
    <n v="11.191000000000001"/>
    <n v="0.06"/>
  </r>
  <r>
    <x v="50"/>
    <n v="21.986999999999998"/>
    <n v="0.35"/>
  </r>
  <r>
    <x v="4"/>
    <n v="97.444999999999993"/>
    <n v="0.7"/>
  </r>
  <r>
    <x v="41"/>
    <n v="16.466000000000001"/>
    <n v="0.5"/>
  </r>
  <r>
    <x v="43"/>
    <n v="13.018000000000001"/>
    <n v="0.56000000000000005"/>
  </r>
  <r>
    <x v="9"/>
    <n v="6.7839999999999998"/>
    <n v="0.38"/>
  </r>
  <r>
    <x v="29"/>
    <n v="3.5670000000000002"/>
    <n v="0.18"/>
  </r>
  <r>
    <x v="14"/>
    <n v="30.231000000000002"/>
    <n v="0.67"/>
  </r>
  <r>
    <x v="44"/>
    <m/>
    <n v="0.26"/>
  </r>
  <r>
    <x v="116"/>
    <n v="88.896000000000001"/>
    <n v="0.99"/>
  </r>
  <r>
    <x v="70"/>
    <n v="3.3090000000000002"/>
    <n v="0.08"/>
  </r>
  <r>
    <x v="83"/>
    <n v="24.716000000000001"/>
    <n v="0.45"/>
  </r>
  <r>
    <x v="84"/>
    <n v="21.931000000000001"/>
    <n v="0.35"/>
  </r>
  <r>
    <x v="25"/>
    <n v="65.081000000000003"/>
    <n v="0.5"/>
  </r>
  <r>
    <x v="32"/>
    <n v="19.295999999999999"/>
    <n v="0.35"/>
  </r>
  <r>
    <x v="7"/>
    <n v="40.427"/>
    <n v="0.45"/>
  </r>
  <r>
    <x v="6"/>
    <n v="15.49"/>
    <n v="0.35"/>
  </r>
  <r>
    <x v="37"/>
    <n v="12.263"/>
    <n v="0.19"/>
  </r>
  <r>
    <x v="5"/>
    <n v="6.3840000000000003"/>
    <n v="0.2"/>
  </r>
  <r>
    <x v="41"/>
    <n v="37.396999999999998"/>
    <n v="0.45"/>
  </r>
  <r>
    <x v="13"/>
    <n v="10.709"/>
    <n v="0.44"/>
  </r>
  <r>
    <x v="7"/>
    <n v="5.0880000000000001"/>
    <n v="0.4"/>
  </r>
  <r>
    <x v="29"/>
    <n v="13.256"/>
    <n v="0.42"/>
  </r>
  <r>
    <x v="93"/>
    <n v="99.242999999999995"/>
    <n v="0.15"/>
  </r>
  <r>
    <x v="51"/>
    <n v="18.388999999999999"/>
    <n v="0.28999999999999998"/>
  </r>
  <r>
    <x v="41"/>
    <n v="36.332999999999998"/>
    <n v="0.4"/>
  </r>
  <r>
    <x v="78"/>
    <n v="42.991"/>
    <n v="2E-3"/>
  </r>
  <r>
    <x v="17"/>
    <n v="50.668999999999997"/>
    <n v="0.75"/>
  </r>
  <r>
    <x v="117"/>
    <n v="16.949000000000002"/>
    <n v="0.55000000000000004"/>
  </r>
  <r>
    <x v="86"/>
    <n v="92.108000000000004"/>
    <n v="0.25"/>
  </r>
  <r>
    <x v="118"/>
    <n v="100.065"/>
    <n v="1.1000000000000001"/>
  </r>
  <r>
    <x v="54"/>
    <n v="55.94"/>
    <n v="0.12"/>
  </r>
  <r>
    <x v="46"/>
    <n v="3.35"/>
    <n v="0.5"/>
  </r>
  <r>
    <x v="32"/>
    <n v="7.86"/>
    <n v="0.3"/>
  </r>
  <r>
    <x v="6"/>
    <n v="11.252000000000001"/>
    <n v="0.35"/>
  </r>
  <r>
    <x v="77"/>
    <n v="94.864999999999995"/>
    <n v="0.2"/>
  </r>
  <r>
    <x v="50"/>
    <n v="16.155999999999999"/>
    <n v="2E-3"/>
  </r>
  <r>
    <x v="119"/>
    <n v="22.942"/>
    <n v="7.0000000000000007E-2"/>
  </r>
  <r>
    <x v="72"/>
    <n v="14.792999999999999"/>
    <n v="0.27"/>
  </r>
  <r>
    <x v="50"/>
    <n v="9.9909999999999997"/>
    <n v="0.45"/>
  </r>
  <r>
    <x v="29"/>
    <n v="4.1239999999999997"/>
    <n v="0.18"/>
  </r>
  <r>
    <x v="89"/>
    <n v="11.222"/>
    <n v="0.5"/>
  </r>
  <r>
    <x v="44"/>
    <n v="20.59"/>
    <n v="0.5"/>
  </r>
  <r>
    <x v="30"/>
    <n v="12.744999999999999"/>
    <n v="0.28000000000000003"/>
  </r>
  <r>
    <x v="17"/>
    <n v="27.234000000000002"/>
    <n v="0.95"/>
  </r>
  <r>
    <x v="6"/>
    <n v="4.7709999999999999"/>
    <n v="0.18"/>
  </r>
  <r>
    <x v="23"/>
    <n v="99.763999999999996"/>
    <n v="0.75"/>
  </r>
  <r>
    <x v="120"/>
    <n v="22.385999999999999"/>
    <n v="0.39"/>
  </r>
  <r>
    <x v="6"/>
    <n v="1.7"/>
    <n v="0.14000000000000001"/>
  </r>
  <r>
    <x v="64"/>
    <n v="13.055999999999999"/>
    <n v="0.39"/>
  </r>
  <r>
    <x v="62"/>
    <n v="12.885999999999999"/>
    <n v="0.49"/>
  </r>
  <r>
    <x v="48"/>
    <n v="4.0609999999999999"/>
    <n v="0.05"/>
  </r>
  <r>
    <x v="100"/>
    <n v="17.706"/>
    <n v="0.19"/>
  </r>
  <r>
    <x v="86"/>
    <n v="89.674000000000007"/>
    <n v="0.25"/>
  </r>
  <r>
    <x v="2"/>
    <n v="13.172000000000001"/>
    <n v="0.95"/>
  </r>
  <r>
    <x v="106"/>
    <n v="34.442"/>
    <n v="0.55000000000000004"/>
  </r>
  <r>
    <x v="30"/>
    <n v="26.251999999999999"/>
    <n v="0.65"/>
  </r>
  <r>
    <x v="71"/>
    <n v="40.213000000000001"/>
    <n v="0.2"/>
  </r>
  <r>
    <x v="119"/>
    <n v="8.1159999999999997"/>
    <n v="0.13"/>
  </r>
  <r>
    <x v="85"/>
    <n v="19.577999999999999"/>
    <n v="0.35"/>
  </r>
  <r>
    <x v="71"/>
    <n v="6.7789999999999999"/>
    <n v="0.7"/>
  </r>
  <r>
    <x v="32"/>
    <n v="37.784999999999997"/>
    <n v="7.4999999999999997E-2"/>
  </r>
  <r>
    <x v="4"/>
    <n v="28.477"/>
    <n v="0.49"/>
  </r>
  <r>
    <x v="115"/>
    <n v="18.053000000000001"/>
    <n v="0.19"/>
  </r>
  <r>
    <x v="43"/>
    <n v="35.585000000000001"/>
    <n v="0.4"/>
  </r>
  <r>
    <x v="72"/>
    <n v="10.284000000000001"/>
    <n v="0.27"/>
  </r>
  <r>
    <x v="32"/>
    <n v="11.885"/>
    <n v="0.35"/>
  </r>
  <r>
    <x v="33"/>
    <n v="17.271000000000001"/>
    <n v="0.24"/>
  </r>
  <r>
    <x v="6"/>
    <n v="11.38"/>
    <n v="0.35"/>
  </r>
  <r>
    <x v="80"/>
    <n v="8.9890000000000008"/>
    <n v="0.25"/>
  </r>
  <r>
    <x v="37"/>
    <n v="47.014000000000003"/>
    <n v="0.32"/>
  </r>
  <r>
    <x v="6"/>
    <n v="9.3960000000000008"/>
    <n v="0.06"/>
  </r>
  <r>
    <x v="119"/>
    <n v="14.483000000000001"/>
    <n v="0.21"/>
  </r>
  <r>
    <x v="44"/>
    <n v="40.39"/>
    <n v="0.31"/>
  </r>
  <r>
    <x v="43"/>
    <n v="16.399999999999999"/>
    <n v="0.65"/>
  </r>
  <r>
    <x v="77"/>
    <n v="94.792000000000002"/>
    <n v="0.3"/>
  </r>
  <r>
    <x v="6"/>
    <n v="7.0609999999999999"/>
    <n v="0.2"/>
  </r>
  <r>
    <x v="37"/>
    <n v="18.359000000000002"/>
    <n v="0.45"/>
  </r>
  <r>
    <x v="70"/>
    <n v="19.196999999999999"/>
    <n v="0.3"/>
  </r>
  <r>
    <x v="54"/>
    <n v="46.213000000000001"/>
    <n v="0.25"/>
  </r>
  <r>
    <x v="64"/>
    <n v="40.828000000000003"/>
    <n v="0.34"/>
  </r>
  <r>
    <x v="57"/>
    <n v="35.689"/>
    <n v="0.03"/>
  </r>
  <r>
    <x v="6"/>
    <n v="99.873999999999995"/>
    <n v="0"/>
  </r>
  <r>
    <x v="86"/>
    <n v="87.718999999999994"/>
    <n v="0.25"/>
  </r>
  <r>
    <x v="79"/>
    <n v="11.291"/>
    <n v="0.99"/>
  </r>
  <r>
    <x v="48"/>
    <n v="72.632000000000005"/>
    <n v="0.1"/>
  </r>
  <r>
    <x v="76"/>
    <n v="3.5169999999999999"/>
    <n v="0.6"/>
  </r>
  <r>
    <x v="57"/>
    <n v="4.7649999999999997"/>
    <n v="0.03"/>
  </r>
  <r>
    <x v="10"/>
    <m/>
    <n v="0.79"/>
  </r>
  <r>
    <x v="110"/>
    <n v="31.26"/>
    <n v="0.35"/>
  </r>
  <r>
    <x v="30"/>
    <n v="34.146999999999998"/>
    <n v="0.15"/>
  </r>
  <r>
    <x v="80"/>
    <n v="17.486000000000001"/>
    <n v="0.4"/>
  </r>
  <r>
    <x v="17"/>
    <n v="99.792000000000002"/>
    <n v="0.35"/>
  </r>
  <r>
    <x v="6"/>
    <n v="100"/>
    <n v="0.1"/>
  </r>
  <r>
    <x v="105"/>
    <n v="7.367"/>
    <n v="0"/>
  </r>
  <r>
    <x v="73"/>
    <n v="99.269000000000005"/>
    <n v="0.57999999999999996"/>
  </r>
  <r>
    <x v="62"/>
    <n v="12.849"/>
    <n v="0.52"/>
  </r>
  <r>
    <x v="6"/>
    <n v="4.1150000000000002"/>
    <n v="0.1"/>
  </r>
  <r>
    <x v="5"/>
    <n v="31.385000000000002"/>
    <n v="0.12"/>
  </r>
  <r>
    <x v="61"/>
    <n v="9.6430000000000007"/>
    <n v="0.28999999999999998"/>
  </r>
  <r>
    <x v="91"/>
    <n v="25.841000000000001"/>
    <n v="0.45"/>
  </r>
  <r>
    <x v="39"/>
    <n v="26.234000000000002"/>
    <n v="0.34"/>
  </r>
  <r>
    <x v="107"/>
    <n v="17.652999999999999"/>
    <n v="0.5"/>
  </r>
  <r>
    <x v="87"/>
    <n v="12.167999999999999"/>
    <n v="0.36"/>
  </r>
  <r>
    <x v="70"/>
    <n v="10.522"/>
    <n v="0.15"/>
  </r>
  <r>
    <x v="6"/>
    <n v="35.701000000000001"/>
    <n v="0.18"/>
  </r>
  <r>
    <x v="121"/>
    <n v="29.896000000000001"/>
    <n v="0.2"/>
  </r>
  <r>
    <x v="6"/>
    <n v="28.79"/>
    <n v="0.25"/>
  </r>
  <r>
    <x v="91"/>
    <n v="15.673"/>
    <n v="0.39"/>
  </r>
  <r>
    <x v="122"/>
    <n v="23.504000000000001"/>
    <n v="0.4"/>
  </r>
  <r>
    <x v="35"/>
    <n v="9.641"/>
    <n v="0.35"/>
  </r>
  <r>
    <x v="71"/>
    <n v="31.902000000000001"/>
    <n v="0.2"/>
  </r>
  <r>
    <x v="6"/>
    <n v="4.2"/>
    <n v="0.15"/>
  </r>
  <r>
    <x v="97"/>
    <n v="13.752000000000001"/>
    <n v="0.35"/>
  </r>
  <r>
    <x v="84"/>
    <n v="35.909999999999997"/>
    <n v="0.5"/>
  </r>
  <r>
    <x v="49"/>
    <n v="82.367000000000004"/>
    <n v="0.09"/>
  </r>
  <r>
    <x v="2"/>
    <n v="29.614000000000001"/>
    <n v="0.85"/>
  </r>
  <r>
    <x v="37"/>
    <n v="9.6470000000000002"/>
    <n v="0.48"/>
  </r>
  <r>
    <x v="95"/>
    <n v="50.634999999999998"/>
    <n v="0.5"/>
  </r>
  <r>
    <x v="41"/>
    <n v="9.3979999999999997"/>
    <n v="0.6"/>
  </r>
  <r>
    <x v="119"/>
    <n v="35.713999999999999"/>
    <n v="0"/>
  </r>
  <r>
    <x v="74"/>
    <m/>
    <n v="0.37"/>
  </r>
  <r>
    <x v="9"/>
    <n v="98.846000000000004"/>
    <n v="0.5"/>
  </r>
  <r>
    <x v="83"/>
    <n v="11.116"/>
    <n v="0.19"/>
  </r>
  <r>
    <x v="83"/>
    <n v="28.428000000000001"/>
    <n v="0.19"/>
  </r>
  <r>
    <x v="53"/>
    <n v="98.233999999999995"/>
    <n v="0.65"/>
  </r>
  <r>
    <x v="6"/>
    <n v="4.0789999999999997"/>
    <n v="0.25"/>
  </r>
  <r>
    <x v="58"/>
    <n v="100"/>
    <n v="0.2"/>
  </r>
  <r>
    <x v="5"/>
    <n v="6.9649999999999999"/>
    <n v="0.03"/>
  </r>
  <r>
    <x v="33"/>
    <n v="16.105"/>
    <n v="0.24"/>
  </r>
  <r>
    <x v="6"/>
    <n v="100.001"/>
    <n v="0.1"/>
  </r>
  <r>
    <x v="123"/>
    <n v="23.704999999999998"/>
    <n v="0.25"/>
  </r>
  <r>
    <x v="6"/>
    <n v="4.1539999999999999"/>
    <n v="0.03"/>
  </r>
  <r>
    <x v="124"/>
    <n v="10.266"/>
    <n v="0.25"/>
  </r>
  <r>
    <x v="119"/>
    <n v="34.79"/>
    <n v="0"/>
  </r>
  <r>
    <x v="54"/>
    <n v="34.316000000000003"/>
    <n v="0.08"/>
  </r>
  <r>
    <x v="43"/>
    <n v="16.666"/>
    <n v="0.2"/>
  </r>
  <r>
    <x v="44"/>
    <n v="30.847999999999999"/>
    <n v="0.37"/>
  </r>
  <r>
    <x v="125"/>
    <n v="94.090999999999994"/>
    <n v="0.5"/>
  </r>
  <r>
    <x v="83"/>
    <n v="30.547000000000001"/>
    <n v="0.15"/>
  </r>
  <r>
    <x v="63"/>
    <n v="25.004000000000001"/>
    <n v="0.28999999999999998"/>
  </r>
  <r>
    <x v="126"/>
    <n v="9.718"/>
    <n v="0.19500000000000001"/>
  </r>
  <r>
    <x v="29"/>
    <n v="24.381"/>
    <n v="0.42"/>
  </r>
  <r>
    <x v="72"/>
    <n v="12.862"/>
    <n v="0.4"/>
  </r>
  <r>
    <x v="50"/>
    <n v="19.530999999999999"/>
    <n v="0.35"/>
  </r>
  <r>
    <x v="93"/>
    <n v="37.201999999999998"/>
    <n v="0.3"/>
  </r>
  <r>
    <x v="31"/>
    <n v="42.209000000000003"/>
    <n v="0.51"/>
  </r>
  <r>
    <x v="21"/>
    <n v="53.085999999999999"/>
    <n v="0.28999999999999998"/>
  </r>
  <r>
    <x v="65"/>
    <n v="1.575"/>
    <n v="0.01"/>
  </r>
  <r>
    <x v="5"/>
    <n v="7.6059999999999999"/>
    <n v="0.09"/>
  </r>
  <r>
    <x v="87"/>
    <n v="17.376000000000001"/>
    <n v="0.25"/>
  </r>
  <r>
    <x v="21"/>
    <n v="10.87"/>
    <n v="0.45"/>
  </r>
  <r>
    <x v="54"/>
    <n v="3.1680000000000001"/>
    <n v="0.08"/>
  </r>
  <r>
    <x v="51"/>
    <n v="31.667000000000002"/>
    <n v="0.35"/>
  </r>
  <r>
    <x v="6"/>
    <n v="3.8039999999999998"/>
    <n v="0.06"/>
  </r>
  <r>
    <x v="127"/>
    <n v="12.478"/>
    <n v="0.6"/>
  </r>
  <r>
    <x v="128"/>
    <n v="49.343000000000004"/>
    <n v="0.35"/>
  </r>
  <r>
    <x v="51"/>
    <n v="9.0670000000000002"/>
    <n v="0.45"/>
  </r>
  <r>
    <x v="49"/>
    <n v="40.353000000000002"/>
    <n v="0.16"/>
  </r>
  <r>
    <x v="129"/>
    <n v="100"/>
    <n v="0.68"/>
  </r>
  <r>
    <x v="51"/>
    <n v="41.923000000000002"/>
    <n v="0.27"/>
  </r>
  <r>
    <x v="44"/>
    <n v="27.007999999999999"/>
    <n v="0.08"/>
  </r>
  <r>
    <x v="51"/>
    <n v="14.901999999999999"/>
    <n v="0.15"/>
  </r>
  <r>
    <x v="6"/>
    <n v="2.9180000000000001"/>
    <n v="7.0000000000000007E-2"/>
  </r>
  <r>
    <x v="63"/>
    <n v="22.664999999999999"/>
    <n v="0.28999999999999998"/>
  </r>
  <r>
    <x v="5"/>
    <n v="2.8580000000000001"/>
    <n v="0.03"/>
  </r>
  <r>
    <x v="94"/>
    <n v="5.6950000000000003"/>
    <n v="0.02"/>
  </r>
  <r>
    <x v="92"/>
    <n v="99.894000000000005"/>
    <n v="0.09"/>
  </r>
  <r>
    <x v="93"/>
    <n v="100.003"/>
    <n v="0.39"/>
  </r>
  <r>
    <x v="126"/>
    <n v="87.384"/>
    <n v="0.48"/>
  </r>
  <r>
    <x v="103"/>
    <n v="22.797999999999998"/>
    <n v="0.39"/>
  </r>
  <r>
    <x v="87"/>
    <n v="17.510000000000002"/>
    <n v="0.36"/>
  </r>
  <r>
    <x v="32"/>
    <n v="13.262"/>
    <n v="0.35"/>
  </r>
  <r>
    <x v="15"/>
    <n v="12.441000000000001"/>
    <n v="0.2"/>
  </r>
  <r>
    <x v="57"/>
    <n v="22.12"/>
    <n v="0.16"/>
  </r>
  <r>
    <x v="30"/>
    <n v="47.354999999999997"/>
    <n v="7.0000000000000007E-2"/>
  </r>
  <r>
    <x v="31"/>
    <n v="32.164999999999999"/>
    <n v="0.59"/>
  </r>
  <r>
    <x v="93"/>
    <n v="99.792000000000002"/>
    <n v="0.17"/>
  </r>
  <r>
    <x v="130"/>
    <n v="23.28"/>
    <n v="0.25"/>
  </r>
  <r>
    <x v="83"/>
    <n v="27.622"/>
    <n v="0.49"/>
  </r>
  <r>
    <x v="131"/>
    <n v="33.298999999999999"/>
    <n v="0.4"/>
  </r>
  <r>
    <x v="120"/>
    <n v="14.282"/>
    <n v="0.2"/>
  </r>
  <r>
    <x v="41"/>
    <n v="21.827000000000002"/>
    <n v="0.25"/>
  </r>
  <r>
    <x v="21"/>
    <n v="24.861000000000001"/>
    <n v="0.49"/>
  </r>
  <r>
    <x v="25"/>
    <m/>
    <n v="0.75"/>
  </r>
  <r>
    <x v="30"/>
    <n v="10.65"/>
    <n v="0.28000000000000003"/>
  </r>
  <r>
    <x v="19"/>
    <n v="7.0940000000000003"/>
    <n v="0.2"/>
  </r>
  <r>
    <x v="72"/>
    <n v="37.087000000000003"/>
    <n v="0.3"/>
  </r>
  <r>
    <x v="132"/>
    <n v="18.936"/>
    <n v="0.39"/>
  </r>
  <r>
    <x v="133"/>
    <n v="20.38"/>
    <n v="0.4"/>
  </r>
  <r>
    <x v="13"/>
    <n v="6.4749999999999996"/>
    <n v="0.46"/>
  </r>
  <r>
    <x v="9"/>
    <n v="19.89"/>
    <n v="0.15"/>
  </r>
  <r>
    <x v="103"/>
    <n v="25.117999999999999"/>
    <n v="0.35"/>
  </r>
  <r>
    <x v="10"/>
    <n v="100.187"/>
    <n v="0.79"/>
  </r>
  <r>
    <x v="115"/>
    <n v="23.001999999999999"/>
    <n v="0.18"/>
  </r>
  <r>
    <x v="91"/>
    <n v="14.548999999999999"/>
    <n v="0.49"/>
  </r>
  <r>
    <x v="54"/>
    <n v="16.012"/>
    <n v="0.28999999999999998"/>
  </r>
  <r>
    <x v="134"/>
    <n v="18.163"/>
    <n v="0.65"/>
  </r>
  <r>
    <x v="71"/>
    <n v="47.448"/>
    <n v="0.7"/>
  </r>
  <r>
    <x v="80"/>
    <n v="5.8650000000000002"/>
    <n v="0.04"/>
  </r>
  <r>
    <x v="117"/>
    <n v="31.821999999999999"/>
    <n v="0.45"/>
  </r>
  <r>
    <x v="80"/>
    <n v="20.948"/>
    <n v="0.18"/>
  </r>
  <r>
    <x v="10"/>
    <m/>
    <n v="0.79"/>
  </r>
  <r>
    <x v="62"/>
    <n v="19.202000000000002"/>
    <n v="0.35"/>
  </r>
  <r>
    <x v="97"/>
    <n v="8.6560000000000006"/>
    <n v="0.35"/>
  </r>
  <r>
    <x v="25"/>
    <n v="113.69499999999999"/>
    <n v="0.3"/>
  </r>
  <r>
    <x v="135"/>
    <n v="99.668999999999997"/>
    <n v="0.6"/>
  </r>
  <r>
    <x v="61"/>
    <n v="8.0719999999999992"/>
    <n v="0.34"/>
  </r>
  <r>
    <x v="6"/>
    <n v="0.71199999999999997"/>
    <n v="0.04"/>
  </r>
  <r>
    <x v="6"/>
    <n v="2.8929999999999998"/>
    <n v="0.18"/>
  </r>
  <r>
    <x v="6"/>
    <n v="99.963999999999999"/>
    <n v="0.1"/>
  </r>
  <r>
    <x v="60"/>
    <n v="32.981999999999999"/>
    <n v="0.35"/>
  </r>
  <r>
    <x v="80"/>
    <n v="9.9979999999999993"/>
    <n v="0.03"/>
  </r>
  <r>
    <x v="51"/>
    <n v="15.31"/>
    <n v="0.18"/>
  </r>
  <r>
    <x v="136"/>
    <n v="99.778999999999996"/>
    <n v="0.59"/>
  </r>
  <r>
    <x v="6"/>
    <n v="2.0179999999999998"/>
    <n v="0.15"/>
  </r>
  <r>
    <x v="71"/>
    <n v="22.532"/>
    <n v="0.65"/>
  </r>
  <r>
    <x v="80"/>
    <n v="45.768000000000001"/>
    <n v="0.28000000000000003"/>
  </r>
  <r>
    <x v="37"/>
    <n v="12.186"/>
    <n v="0.6"/>
  </r>
  <r>
    <x v="48"/>
    <n v="99.77"/>
    <n v="0.1"/>
  </r>
  <r>
    <x v="13"/>
    <n v="24.754000000000001"/>
    <n v="0.28000000000000003"/>
  </r>
  <r>
    <x v="62"/>
    <n v="11.552"/>
    <n v="0.23"/>
  </r>
  <r>
    <x v="50"/>
    <n v="24.375"/>
    <n v="0.15"/>
  </r>
  <r>
    <x v="83"/>
    <n v="8.6289999999999996"/>
    <n v="0.15"/>
  </r>
  <r>
    <x v="115"/>
    <n v="37.93"/>
    <n v="0.3"/>
  </r>
  <r>
    <x v="20"/>
    <n v="18.128"/>
    <n v="0.28999999999999998"/>
  </r>
  <r>
    <x v="45"/>
    <n v="56.889000000000003"/>
    <n v="0.59"/>
  </r>
  <r>
    <x v="37"/>
    <n v="19.195"/>
    <n v="0.17"/>
  </r>
  <r>
    <x v="102"/>
    <n v="44.454000000000001"/>
    <n v="0.49"/>
  </r>
  <r>
    <x v="113"/>
    <n v="34.055"/>
    <n v="0.34"/>
  </r>
  <r>
    <x v="50"/>
    <n v="30.475999999999999"/>
    <n v="0.39"/>
  </r>
  <r>
    <x v="58"/>
    <n v="30.568000000000001"/>
    <n v="0.64"/>
  </r>
  <r>
    <x v="34"/>
    <n v="99.908000000000001"/>
    <n v="0.25"/>
  </r>
  <r>
    <x v="100"/>
    <n v="20.486999999999998"/>
    <n v="0.55000000000000004"/>
  </r>
  <r>
    <x v="5"/>
    <n v="37.192"/>
    <n v="0.15"/>
  </r>
  <r>
    <x v="36"/>
    <n v="2.101"/>
    <n v="0.1"/>
  </r>
  <r>
    <x v="41"/>
    <n v="8.6829999999999998"/>
    <n v="0.2"/>
  </r>
  <r>
    <x v="137"/>
    <n v="99.156999999999996"/>
    <n v="0.7"/>
  </r>
  <r>
    <x v="6"/>
    <n v="8.1739999999999995"/>
    <n v="0.1"/>
  </r>
  <r>
    <x v="80"/>
    <n v="21.706"/>
    <n v="0.4"/>
  </r>
  <r>
    <x v="97"/>
    <n v="17.829000000000001"/>
    <n v="0.3"/>
  </r>
  <r>
    <x v="102"/>
    <n v="31.861000000000001"/>
    <n v="0.2"/>
  </r>
  <r>
    <x v="49"/>
    <n v="9.4309999999999992"/>
    <n v="0.12"/>
  </r>
  <r>
    <x v="5"/>
    <n v="8.5909999999999993"/>
    <n v="0.03"/>
  </r>
  <r>
    <x v="9"/>
    <n v="7"/>
    <n v="0.12"/>
  </r>
  <r>
    <x v="138"/>
    <n v="6.04"/>
    <n v="0.03"/>
  </r>
  <r>
    <x v="28"/>
    <n v="63.893999999999998"/>
    <n v="0.18"/>
  </r>
  <r>
    <x v="63"/>
    <n v="16.577000000000002"/>
    <n v="0.24"/>
  </r>
  <r>
    <x v="7"/>
    <n v="8.0289999999999999"/>
    <n v="0.2"/>
  </r>
  <r>
    <x v="112"/>
    <n v="6.7569999999999997"/>
    <n v="0.2"/>
  </r>
  <r>
    <x v="58"/>
    <n v="1.1479999999999999"/>
    <n v="0.65"/>
  </r>
  <r>
    <x v="12"/>
    <n v="99.826999999999998"/>
    <n v="0.59"/>
  </r>
  <r>
    <x v="54"/>
    <n v="16.981999999999999"/>
    <n v="0.2"/>
  </r>
  <r>
    <x v="50"/>
    <n v="12.233000000000001"/>
    <n v="0.35"/>
  </r>
  <r>
    <x v="6"/>
    <n v="100.001"/>
    <n v="0.1"/>
  </r>
  <r>
    <x v="86"/>
    <n v="89.24"/>
    <n v="0.25"/>
  </r>
  <r>
    <x v="6"/>
    <n v="99.998000000000005"/>
    <n v="0.1"/>
  </r>
  <r>
    <x v="6"/>
    <n v="100.003"/>
    <n v="0.1"/>
  </r>
  <r>
    <x v="48"/>
    <n v="99.834000000000003"/>
    <n v="0.1"/>
  </r>
  <r>
    <x v="139"/>
    <n v="207.27699999999999"/>
    <n v="0.59"/>
  </r>
  <r>
    <x v="17"/>
    <n v="100.467"/>
    <n v="0.5"/>
  </r>
  <r>
    <x v="13"/>
    <n v="18.806999999999999"/>
    <n v="0.25"/>
  </r>
  <r>
    <x v="50"/>
    <n v="6.5839999999999996"/>
    <n v="0.1"/>
  </r>
  <r>
    <x v="87"/>
    <n v="27.523"/>
    <n v="0.2"/>
  </r>
  <r>
    <x v="5"/>
    <n v="10.016999999999999"/>
    <n v="0.15"/>
  </r>
  <r>
    <x v="6"/>
    <n v="5.2190000000000003"/>
    <n v="0.18"/>
  </r>
  <r>
    <x v="28"/>
    <n v="8.2929999999999993"/>
    <n v="0.12"/>
  </r>
  <r>
    <x v="15"/>
    <n v="12.955"/>
    <n v="0.36"/>
  </r>
  <r>
    <x v="6"/>
    <n v="49.698"/>
    <n v="0.03"/>
  </r>
  <r>
    <x v="72"/>
    <n v="23.542000000000002"/>
    <n v="0.4"/>
  </r>
  <r>
    <x v="71"/>
    <n v="55.784999999999997"/>
    <n v="0.55000000000000004"/>
  </r>
  <r>
    <x v="2"/>
    <n v="100"/>
    <n v="0.1"/>
  </r>
  <r>
    <x v="93"/>
    <n v="99.997"/>
    <n v="0.15"/>
  </r>
  <r>
    <x v="45"/>
    <n v="42.58"/>
    <n v="0.05"/>
  </r>
  <r>
    <x v="112"/>
    <n v="22.527999999999999"/>
    <n v="0.3"/>
  </r>
  <r>
    <x v="70"/>
    <n v="12.073"/>
    <n v="0.38"/>
  </r>
  <r>
    <x v="57"/>
    <n v="14.695"/>
    <n v="0.14000000000000001"/>
  </r>
  <r>
    <x v="70"/>
    <n v="11.750999999999999"/>
    <n v="0.17"/>
  </r>
  <r>
    <x v="62"/>
    <n v="9.9659999999999993"/>
    <n v="0.25"/>
  </r>
  <r>
    <x v="80"/>
    <n v="14.757"/>
    <n v="0.18"/>
  </r>
  <r>
    <x v="127"/>
    <n v="37.643999999999998"/>
    <n v="0.47"/>
  </r>
  <r>
    <x v="6"/>
    <n v="3.8580000000000001"/>
    <n v="0.18"/>
  </r>
  <r>
    <x v="6"/>
    <n v="9.5500000000000007"/>
    <n v="0.15"/>
  </r>
  <r>
    <x v="111"/>
    <n v="85.978999999999999"/>
    <n v="0.7"/>
  </r>
  <r>
    <x v="78"/>
    <n v="23.07"/>
    <n v="0.19"/>
  </r>
  <r>
    <x v="140"/>
    <n v="6.7240000000000002"/>
    <n v="0.98"/>
  </r>
  <r>
    <x v="21"/>
    <n v="19.192"/>
    <n v="0.4"/>
  </r>
  <r>
    <x v="6"/>
    <n v="99.950999999999993"/>
    <n v="0.1"/>
  </r>
  <r>
    <x v="6"/>
    <n v="7.649"/>
    <n v="0.25"/>
  </r>
  <r>
    <x v="72"/>
    <n v="22.120999999999999"/>
    <n v="0.28000000000000003"/>
  </r>
  <r>
    <x v="64"/>
    <n v="32.143999999999998"/>
    <n v="0.27"/>
  </r>
  <r>
    <x v="15"/>
    <n v="64.984999999999999"/>
    <n v="0.2"/>
  </r>
  <r>
    <x v="6"/>
    <n v="99.980999999999995"/>
    <n v="0.1"/>
  </r>
  <r>
    <x v="6"/>
    <n v="13.816000000000001"/>
    <n v="0.09"/>
  </r>
  <r>
    <x v="8"/>
    <n v="64.165999999999997"/>
    <n v="7.0000000000000007E-2"/>
  </r>
  <r>
    <x v="32"/>
    <n v="36.646999999999998"/>
    <n v="0.68"/>
  </r>
  <r>
    <x v="15"/>
    <n v="13.239000000000001"/>
    <n v="0.35"/>
  </r>
  <r>
    <x v="6"/>
    <n v="75.834999999999994"/>
    <n v="0.09"/>
  </r>
  <r>
    <x v="37"/>
    <n v="12.523999999999999"/>
    <n v="0.24"/>
  </r>
  <r>
    <x v="5"/>
    <n v="68.19"/>
    <n v="0.13400000000000001"/>
  </r>
  <r>
    <x v="74"/>
    <n v="51.073999999999998"/>
    <n v="0.17"/>
  </r>
  <r>
    <x v="7"/>
    <n v="5.226"/>
    <n v="0.24"/>
  </r>
  <r>
    <x v="141"/>
    <n v="94.424000000000007"/>
    <n v="0.2"/>
  </r>
  <r>
    <x v="142"/>
    <n v="100.358"/>
    <n v="0.7"/>
  </r>
  <r>
    <x v="29"/>
    <n v="4.5549999999999997"/>
    <n v="0.18"/>
  </r>
  <r>
    <x v="71"/>
    <n v="19.558"/>
    <n v="0.15"/>
  </r>
  <r>
    <x v="63"/>
    <n v="56.921999999999997"/>
    <n v="0.55000000000000004"/>
  </r>
  <r>
    <x v="6"/>
    <n v="99.991"/>
    <n v="0.1"/>
  </r>
  <r>
    <x v="119"/>
    <n v="49.841999999999999"/>
    <n v="0.02"/>
  </r>
  <r>
    <x v="71"/>
    <n v="20.475000000000001"/>
    <n v="0.15"/>
  </r>
  <r>
    <x v="94"/>
    <n v="10.307"/>
    <n v="0.09"/>
  </r>
  <r>
    <x v="105"/>
    <n v="23.832999999999998"/>
    <n v="0.12"/>
  </r>
  <r>
    <x v="143"/>
    <n v="42.109000000000002"/>
    <n v="0.3"/>
  </r>
  <r>
    <x v="93"/>
    <n v="99.995999999999995"/>
    <n v="0.15"/>
  </r>
  <r>
    <x v="19"/>
    <n v="27.265000000000001"/>
    <n v="0.06"/>
  </r>
  <r>
    <x v="62"/>
    <n v="27.76"/>
    <n v="0.33"/>
  </r>
  <r>
    <x v="126"/>
    <n v="19.405000000000001"/>
    <n v="0.49"/>
  </r>
  <r>
    <x v="9"/>
    <n v="100.001"/>
    <n v="0.15"/>
  </r>
  <r>
    <x v="6"/>
    <n v="100.002"/>
    <n v="0.15"/>
  </r>
  <r>
    <x v="72"/>
    <n v="42.08"/>
    <n v="0.25"/>
  </r>
  <r>
    <x v="15"/>
    <n v="56.692"/>
    <n v="0.46"/>
  </r>
  <r>
    <x v="59"/>
    <n v="24.600999999999999"/>
    <n v="0.39"/>
  </r>
  <r>
    <x v="116"/>
    <n v="77.153999999999996"/>
    <n v="0.19"/>
  </r>
  <r>
    <x v="126"/>
    <n v="10.582000000000001"/>
    <n v="0.25"/>
  </r>
  <r>
    <x v="39"/>
    <n v="14.917999999999999"/>
    <n v="0.18"/>
  </r>
  <r>
    <x v="6"/>
    <n v="5.1689999999999996"/>
    <n v="0.18"/>
  </r>
  <r>
    <x v="98"/>
    <n v="18.686"/>
    <n v="0.2"/>
  </r>
  <r>
    <x v="50"/>
    <n v="60.731999999999999"/>
    <n v="0.09"/>
  </r>
  <r>
    <x v="51"/>
    <n v="28.302"/>
    <n v="0.32"/>
  </r>
  <r>
    <x v="144"/>
    <n v="22.709"/>
    <n v="0.3"/>
  </r>
  <r>
    <x v="65"/>
    <n v="2.6909999999999998"/>
    <n v="0.02"/>
  </r>
  <r>
    <x v="6"/>
    <n v="36.594000000000001"/>
    <n v="0.15"/>
  </r>
  <r>
    <x v="29"/>
    <n v="9.3710000000000004"/>
    <n v="0.1"/>
  </r>
  <r>
    <x v="30"/>
    <n v="21.134"/>
    <n v="0.08"/>
  </r>
  <r>
    <x v="70"/>
    <n v="20.937000000000001"/>
    <n v="0.18"/>
  </r>
  <r>
    <x v="15"/>
    <n v="99.992000000000004"/>
    <n v="0.14000000000000001"/>
  </r>
  <r>
    <x v="9"/>
    <n v="10.773"/>
    <n v="0.18"/>
  </r>
  <r>
    <x v="145"/>
    <n v="53.38"/>
    <n v="0.02"/>
  </r>
  <r>
    <x v="145"/>
    <n v="27.677"/>
    <n v="0.05"/>
  </r>
  <r>
    <x v="5"/>
    <n v="51.874000000000002"/>
    <n v="0.13400000000000001"/>
  </r>
  <r>
    <x v="146"/>
    <m/>
    <n v="0.2"/>
  </r>
  <r>
    <x v="93"/>
    <n v="33.088999999999999"/>
    <n v="0.3"/>
  </r>
  <r>
    <x v="6"/>
    <n v="20.765999999999998"/>
    <n v="0.35"/>
  </r>
  <r>
    <x v="54"/>
    <n v="17.571000000000002"/>
    <n v="0.16"/>
  </r>
  <r>
    <x v="77"/>
    <n v="16.911000000000001"/>
    <n v="0.25"/>
  </r>
  <r>
    <x v="28"/>
    <n v="15.090999999999999"/>
    <n v="0.25"/>
  </r>
  <r>
    <x v="37"/>
    <n v="26.263999999999999"/>
    <n v="0.24"/>
  </r>
  <r>
    <x v="7"/>
    <n v="51.994"/>
    <n v="0.4"/>
  </r>
  <r>
    <x v="6"/>
    <n v="30.15"/>
    <n v="7.0000000000000007E-2"/>
  </r>
  <r>
    <x v="83"/>
    <n v="54.286000000000001"/>
    <n v="0.4"/>
  </r>
  <r>
    <x v="97"/>
    <n v="14.285"/>
    <n v="0.25"/>
  </r>
  <r>
    <x v="71"/>
    <n v="16.283999999999999"/>
    <n v="0.15"/>
  </r>
  <r>
    <x v="2"/>
    <n v="6.51"/>
    <n v="0.28999999999999998"/>
  </r>
  <r>
    <x v="28"/>
    <n v="62.741"/>
    <n v="0.18"/>
  </r>
  <r>
    <x v="6"/>
    <n v="4.109"/>
    <n v="0.12"/>
  </r>
  <r>
    <x v="147"/>
    <n v="99.995999999999995"/>
    <n v="0.7"/>
  </r>
  <r>
    <x v="128"/>
    <n v="79.233000000000004"/>
    <n v="0.39"/>
  </r>
  <r>
    <x v="45"/>
    <n v="21.036999999999999"/>
    <n v="0.15"/>
  </r>
  <r>
    <x v="73"/>
    <n v="79.902000000000001"/>
    <n v="0.38"/>
  </r>
  <r>
    <x v="6"/>
    <n v="6.1219999999999999"/>
    <n v="0.18"/>
  </r>
  <r>
    <x v="54"/>
    <n v="50.625"/>
    <n v="0.14000000000000001"/>
  </r>
  <r>
    <x v="97"/>
    <n v="51.246000000000002"/>
    <n v="0.35"/>
  </r>
  <r>
    <x v="130"/>
    <n v="31.911999999999999"/>
    <n v="0.25"/>
  </r>
  <r>
    <x v="32"/>
    <n v="76.974000000000004"/>
    <n v="0.03"/>
  </r>
  <r>
    <x v="148"/>
    <n v="99.486000000000004"/>
    <n v="0.65"/>
  </r>
  <r>
    <x v="149"/>
    <n v="89.813999999999993"/>
    <n v="0.65"/>
  </r>
  <r>
    <x v="45"/>
    <n v="25.097999999999999"/>
    <n v="0.4"/>
  </r>
  <r>
    <x v="77"/>
    <n v="7.0739999999999998"/>
    <n v="0.08"/>
  </r>
  <r>
    <x v="64"/>
    <n v="14.263"/>
    <n v="0.18"/>
  </r>
  <r>
    <x v="79"/>
    <n v="9.907"/>
    <n v="0.55000000000000004"/>
  </r>
  <r>
    <x v="135"/>
    <n v="99.588999999999999"/>
    <n v="0.6"/>
  </r>
  <r>
    <x v="25"/>
    <m/>
    <n v="0.55000000000000004"/>
  </r>
  <r>
    <x v="6"/>
    <n v="8.1539999999999999"/>
    <n v="0.1"/>
  </r>
  <r>
    <x v="16"/>
    <m/>
    <n v="0.75"/>
  </r>
  <r>
    <x v="6"/>
    <n v="1.94"/>
    <n v="0.04"/>
  </r>
  <r>
    <x v="122"/>
    <n v="20.981999999999999"/>
    <n v="0.4"/>
  </r>
  <r>
    <x v="6"/>
    <n v="4.5810000000000004"/>
    <n v="0.35"/>
  </r>
  <r>
    <x v="6"/>
    <n v="99.998999999999995"/>
    <n v="0.1"/>
  </r>
  <r>
    <x v="124"/>
    <n v="47.048000000000002"/>
    <n v="0.2"/>
  </r>
  <r>
    <x v="29"/>
    <n v="11.069000000000001"/>
    <n v="0.1"/>
  </r>
  <r>
    <x v="80"/>
    <n v="25.664000000000001"/>
    <n v="0.33"/>
  </r>
  <r>
    <x v="110"/>
    <n v="5.7809999999999997"/>
    <n v="0.25"/>
  </r>
  <r>
    <x v="58"/>
    <n v="1.1240000000000001"/>
    <n v="0.65"/>
  </r>
  <r>
    <x v="93"/>
    <n v="4.4269999999999996"/>
    <n v="0.15"/>
  </r>
  <r>
    <x v="150"/>
    <n v="52.734000000000002"/>
    <n v="0.75"/>
  </r>
  <r>
    <x v="4"/>
    <n v="99.257999999999996"/>
    <n v="0.49"/>
  </r>
  <r>
    <x v="57"/>
    <n v="2.3340000000000001"/>
    <n v="0.03"/>
  </r>
  <r>
    <x v="151"/>
    <n v="17.001999999999999"/>
    <n v="0.5"/>
  </r>
  <r>
    <x v="71"/>
    <n v="35.304000000000002"/>
    <n v="0.45"/>
  </r>
  <r>
    <x v="49"/>
    <n v="6.9610000000000003"/>
    <n v="0.15"/>
  </r>
  <r>
    <x v="46"/>
    <n v="9.5150000000000006"/>
    <n v="0.5"/>
  </r>
  <r>
    <x v="127"/>
    <n v="23.443999999999999"/>
    <n v="0.39"/>
  </r>
  <r>
    <x v="71"/>
    <n v="52.45"/>
    <n v="0.2"/>
  </r>
  <r>
    <x v="7"/>
    <n v="8.5579999999999998"/>
    <n v="0.2"/>
  </r>
  <r>
    <x v="6"/>
    <n v="11.079000000000001"/>
    <n v="0.2"/>
  </r>
  <r>
    <x v="32"/>
    <n v="27.145"/>
    <n v="0.03"/>
  </r>
  <r>
    <x v="44"/>
    <n v="9.7889999999999997"/>
    <n v="0.17"/>
  </r>
  <r>
    <x v="71"/>
    <n v="18.573"/>
    <n v="0.15"/>
  </r>
  <r>
    <x v="108"/>
    <m/>
    <n v="0.2"/>
  </r>
  <r>
    <x v="93"/>
    <n v="99.995999999999995"/>
    <n v="0.15"/>
  </r>
  <r>
    <x v="83"/>
    <n v="17.916"/>
    <n v="0.2"/>
  </r>
  <r>
    <x v="119"/>
    <n v="8.8019999999999996"/>
    <n v="0"/>
  </r>
  <r>
    <x v="5"/>
    <n v="1.905"/>
    <n v="0.04"/>
  </r>
  <r>
    <x v="72"/>
    <n v="30.184999999999999"/>
    <n v="0.3"/>
  </r>
  <r>
    <x v="130"/>
    <n v="21.742000000000001"/>
    <n v="0.45"/>
  </r>
  <r>
    <x v="6"/>
    <n v="6.5019999999999998"/>
    <n v="0.15"/>
  </r>
  <r>
    <x v="119"/>
    <n v="17.532"/>
    <n v="0"/>
  </r>
  <r>
    <x v="83"/>
    <n v="21.024999999999999"/>
    <n v="0.72"/>
  </r>
  <r>
    <x v="146"/>
    <n v="74.433999999999997"/>
    <n v="0.85"/>
  </r>
  <r>
    <x v="8"/>
    <n v="32.798999999999999"/>
    <n v="0.12"/>
  </r>
  <r>
    <x v="52"/>
    <n v="21.638999999999999"/>
    <n v="0.5"/>
  </r>
  <r>
    <x v="29"/>
    <n v="11.038"/>
    <n v="0.1"/>
  </r>
  <r>
    <x v="83"/>
    <n v="24.72"/>
    <n v="0.25"/>
  </r>
  <r>
    <x v="32"/>
    <n v="3.7250000000000001"/>
    <n v="0.19"/>
  </r>
  <r>
    <x v="6"/>
    <n v="22.321999999999999"/>
    <n v="0.05"/>
  </r>
  <r>
    <x v="6"/>
    <n v="21.87"/>
    <n v="0.35"/>
  </r>
  <r>
    <x v="71"/>
    <n v="20.774999999999999"/>
    <n v="0.15"/>
  </r>
  <r>
    <x v="6"/>
    <n v="6.4580000000000002"/>
    <n v="0.1"/>
  </r>
  <r>
    <x v="6"/>
    <n v="9.077"/>
    <n v="0.06"/>
  </r>
  <r>
    <x v="87"/>
    <n v="12.269"/>
    <n v="0.15"/>
  </r>
  <r>
    <x v="78"/>
    <n v="57.231999999999999"/>
    <n v="0.3"/>
  </r>
  <r>
    <x v="6"/>
    <n v="1.7529999999999999"/>
    <n v="0.06"/>
  </r>
  <r>
    <x v="7"/>
    <n v="9.1620000000000008"/>
    <n v="0.14000000000000001"/>
  </r>
  <r>
    <x v="77"/>
    <n v="25.491"/>
    <n v="0.25"/>
  </r>
  <r>
    <x v="71"/>
    <n v="100"/>
    <n v="0.5"/>
  </r>
  <r>
    <x v="6"/>
    <n v="10.101000000000001"/>
    <n v="0.1"/>
  </r>
  <r>
    <x v="6"/>
    <n v="1.5289999999999999"/>
    <n v="0.04"/>
  </r>
  <r>
    <x v="5"/>
    <n v="4.0270000000000001"/>
    <n v="0.04"/>
  </r>
  <r>
    <x v="30"/>
    <n v="5.61"/>
    <n v="0.22"/>
  </r>
  <r>
    <x v="32"/>
    <n v="72.367000000000004"/>
    <n v="0.05"/>
  </r>
  <r>
    <x v="93"/>
    <n v="2.4300000000000002"/>
    <n v="0.15"/>
  </r>
  <r>
    <x v="7"/>
    <n v="12.256"/>
    <n v="0.25"/>
  </r>
  <r>
    <x v="29"/>
    <n v="8.3640000000000008"/>
    <n v="0.1"/>
  </r>
  <r>
    <x v="29"/>
    <n v="9.9489999999999998"/>
    <n v="0.1"/>
  </r>
  <r>
    <x v="8"/>
    <n v="27.745000000000001"/>
    <n v="0.14000000000000001"/>
  </r>
  <r>
    <x v="25"/>
    <n v="1.2629999999999999"/>
    <n v="0.75"/>
  </r>
  <r>
    <x v="6"/>
    <n v="27.43"/>
    <n v="7.0000000000000007E-2"/>
  </r>
  <r>
    <x v="80"/>
    <n v="13.404999999999999"/>
    <n v="0.2"/>
  </r>
  <r>
    <x v="29"/>
    <n v="39.200000000000003"/>
    <n v="0.42"/>
  </r>
  <r>
    <x v="70"/>
    <n v="26.738"/>
    <n v="0.15"/>
  </r>
  <r>
    <x v="6"/>
    <n v="6.5529999999999999"/>
    <n v="0.1"/>
  </r>
  <r>
    <x v="6"/>
    <n v="99.994"/>
    <n v="7.0000000000000007E-2"/>
  </r>
  <r>
    <x v="6"/>
    <n v="86.084999999999994"/>
    <n v="0.15"/>
  </r>
  <r>
    <x v="9"/>
    <n v="6.0119999999999996"/>
    <n v="0.18"/>
  </r>
  <r>
    <x v="152"/>
    <n v="43.664999999999999"/>
    <n v="0.25"/>
  </r>
  <r>
    <x v="153"/>
    <n v="36.914000000000001"/>
    <n v="0.35"/>
  </r>
  <r>
    <x v="6"/>
    <n v="99.884"/>
    <n v="0"/>
  </r>
  <r>
    <x v="6"/>
    <n v="99.974999999999994"/>
    <n v="7.0000000000000007E-2"/>
  </r>
  <r>
    <x v="93"/>
    <n v="99.35"/>
    <n v="0.15"/>
  </r>
  <r>
    <x v="65"/>
    <n v="13.621"/>
    <n v="0.02"/>
  </r>
  <r>
    <x v="71"/>
    <n v="16.015000000000001"/>
    <n v="0.15"/>
  </r>
  <r>
    <x v="94"/>
    <n v="21.04"/>
    <n v="0.02"/>
  </r>
  <r>
    <x v="65"/>
    <n v="2.609"/>
    <n v="0.02"/>
  </r>
  <r>
    <x v="6"/>
    <n v="17.63"/>
    <n v="0.15"/>
  </r>
  <r>
    <x v="86"/>
    <n v="91.798000000000002"/>
    <n v="0.25"/>
  </r>
  <r>
    <x v="154"/>
    <n v="83.587999999999994"/>
    <n v="0.15"/>
  </r>
  <r>
    <x v="43"/>
    <n v="44.87"/>
    <n v="0.35"/>
  </r>
  <r>
    <x v="9"/>
    <n v="26.113"/>
    <n v="0.12"/>
  </r>
  <r>
    <x v="80"/>
    <n v="14.617000000000001"/>
    <n v="0.04"/>
  </r>
  <r>
    <x v="54"/>
    <n v="8.3439999999999994"/>
    <n v="0.08"/>
  </r>
  <r>
    <x v="8"/>
    <n v="42.822000000000003"/>
    <n v="0.12"/>
  </r>
  <r>
    <x v="121"/>
    <n v="20.006"/>
    <n v="0.5"/>
  </r>
  <r>
    <x v="87"/>
    <n v="22.294"/>
    <n v="0.36"/>
  </r>
  <r>
    <x v="6"/>
    <n v="99.994"/>
    <n v="7.0000000000000007E-2"/>
  </r>
  <r>
    <x v="2"/>
    <n v="10.348000000000001"/>
    <n v="0.55000000000000004"/>
  </r>
  <r>
    <x v="149"/>
    <n v="99.063000000000002"/>
    <n v="0.35"/>
  </r>
  <r>
    <x v="6"/>
    <n v="74.683000000000007"/>
    <n v="7.0000000000000007E-2"/>
  </r>
  <r>
    <x v="9"/>
    <n v="42.094999999999999"/>
    <n v="0.15"/>
  </r>
  <r>
    <x v="80"/>
    <n v="18.003"/>
    <n v="0.25"/>
  </r>
  <r>
    <x v="89"/>
    <n v="23.228999999999999"/>
    <n v="0.63"/>
  </r>
  <r>
    <x v="29"/>
    <n v="6.5940000000000003"/>
    <n v="0.1"/>
  </r>
  <r>
    <x v="64"/>
    <n v="15.500999999999999"/>
    <n v="0.25"/>
  </r>
  <r>
    <x v="6"/>
    <n v="6.0579999999999998"/>
    <n v="0.39"/>
  </r>
  <r>
    <x v="93"/>
    <n v="2.2589999999999999"/>
    <n v="0.15"/>
  </r>
  <r>
    <x v="7"/>
    <n v="9.3620000000000001"/>
    <n v="7.0000000000000007E-2"/>
  </r>
  <r>
    <x v="57"/>
    <n v="14.34"/>
    <n v="0.03"/>
  </r>
  <r>
    <x v="6"/>
    <n v="4.5780000000000003"/>
    <n v="0.12"/>
  </r>
  <r>
    <x v="6"/>
    <n v="5.7050000000000001"/>
    <n v="0.1"/>
  </r>
  <r>
    <x v="155"/>
    <n v="53.591000000000001"/>
    <n v="0.25"/>
  </r>
  <r>
    <x v="86"/>
    <n v="80.299000000000007"/>
    <n v="0.25"/>
  </r>
  <r>
    <x v="71"/>
    <n v="23.129000000000001"/>
    <n v="0.2"/>
  </r>
  <r>
    <x v="32"/>
    <n v="34.478999999999999"/>
    <n v="0.05"/>
  </r>
  <r>
    <x v="6"/>
    <n v="6.22"/>
    <n v="0.1"/>
  </r>
  <r>
    <x v="4"/>
    <n v="41.192999999999998"/>
    <n v="0.35"/>
  </r>
  <r>
    <x v="6"/>
    <n v="99.843000000000004"/>
    <n v="0"/>
  </r>
  <r>
    <x v="34"/>
    <n v="99.602999999999994"/>
    <n v="0.25"/>
  </r>
  <r>
    <x v="29"/>
    <n v="6.649"/>
    <n v="0.13"/>
  </r>
  <r>
    <x v="93"/>
    <n v="99.885999999999996"/>
    <n v="0.15"/>
  </r>
  <r>
    <x v="146"/>
    <n v="31.972000000000001"/>
    <n v="0.45"/>
  </r>
  <r>
    <x v="29"/>
    <n v="10.347"/>
    <n v="0.1"/>
  </r>
  <r>
    <x v="94"/>
    <n v="9.3170000000000002"/>
    <n v="0.02"/>
  </r>
  <r>
    <x v="6"/>
    <n v="7.4569999999999999"/>
    <n v="0.2"/>
  </r>
  <r>
    <x v="32"/>
    <n v="3.839"/>
    <n v="0.19"/>
  </r>
  <r>
    <x v="93"/>
    <n v="99.864000000000004"/>
    <n v="0.15"/>
  </r>
  <r>
    <x v="29"/>
    <n v="8.9969999999999999"/>
    <n v="0.1"/>
  </r>
  <r>
    <x v="80"/>
    <n v="24.114000000000001"/>
    <n v="0.04"/>
  </r>
  <r>
    <x v="32"/>
    <n v="15.561"/>
    <n v="0.05"/>
  </r>
  <r>
    <x v="51"/>
    <n v="10.448"/>
    <n v="0.15"/>
  </r>
  <r>
    <x v="54"/>
    <n v="11.673"/>
    <n v="0.3"/>
  </r>
  <r>
    <x v="65"/>
    <n v="19.077000000000002"/>
    <n v="0.02"/>
  </r>
  <r>
    <x v="5"/>
    <n v="14.101000000000001"/>
    <n v="0.03"/>
  </r>
  <r>
    <x v="5"/>
    <n v="19.013000000000002"/>
    <n v="0.03"/>
  </r>
  <r>
    <x v="28"/>
    <n v="4.4820000000000002"/>
    <n v="0.15"/>
  </r>
  <r>
    <x v="6"/>
    <n v="8.3840000000000003"/>
    <n v="0.1"/>
  </r>
  <r>
    <x v="30"/>
    <n v="5.7679999999999998"/>
    <n v="0.5"/>
  </r>
  <r>
    <x v="57"/>
    <n v="19.312999999999999"/>
    <n v="0.03"/>
  </r>
  <r>
    <x v="57"/>
    <n v="1.7030000000000001"/>
    <n v="0.03"/>
  </r>
  <r>
    <x v="6"/>
    <n v="28.89"/>
    <n v="7.0000000000000007E-2"/>
  </r>
  <r>
    <x v="25"/>
    <m/>
    <n v="0.75"/>
  </r>
  <r>
    <x v="6"/>
    <n v="6.133"/>
    <n v="0.1"/>
  </r>
  <r>
    <x v="6"/>
    <n v="50.293999999999997"/>
    <n v="7.0000000000000007E-2"/>
  </r>
  <r>
    <x v="6"/>
    <n v="7.556"/>
    <n v="0.1"/>
  </r>
  <r>
    <x v="93"/>
    <n v="99.881"/>
    <n v="0.15"/>
  </r>
  <r>
    <x v="29"/>
    <n v="7.742"/>
    <n v="0.1"/>
  </r>
  <r>
    <x v="6"/>
    <n v="74.430999999999997"/>
    <n v="7.0000000000000007E-2"/>
  </r>
  <r>
    <x v="6"/>
    <n v="52.966000000000001"/>
    <n v="7.0000000000000007E-2"/>
  </r>
  <r>
    <x v="7"/>
    <n v="25.957000000000001"/>
    <n v="0.36"/>
  </r>
  <r>
    <x v="6"/>
    <n v="25.809000000000001"/>
    <n v="0.15"/>
  </r>
  <r>
    <x v="29"/>
    <n v="7.8780000000000001"/>
    <n v="0.1"/>
  </r>
  <r>
    <x v="156"/>
    <n v="6.4189999999999996"/>
    <n v="0.14000000000000001"/>
  </r>
  <r>
    <x v="148"/>
    <n v="99.260999999999996"/>
    <n v="0.65"/>
  </r>
  <r>
    <x v="93"/>
    <n v="99.733000000000004"/>
    <n v="0.15"/>
  </r>
  <r>
    <x v="32"/>
    <n v="23.347999999999999"/>
    <n v="0.05"/>
  </r>
  <r>
    <x v="48"/>
    <n v="28.850999999999999"/>
    <n v="0.18"/>
  </r>
  <r>
    <x v="8"/>
    <n v="99.587999999999994"/>
    <n v="0.28999999999999998"/>
  </r>
  <r>
    <x v="17"/>
    <n v="123.501"/>
    <n v="0.5"/>
  </r>
  <r>
    <x v="91"/>
    <n v="23.300999999999998"/>
    <n v="0.39"/>
  </r>
  <r>
    <x v="71"/>
    <n v="18.439"/>
    <n v="0.15"/>
  </r>
  <r>
    <x v="4"/>
    <n v="16.004000000000001"/>
    <n v="0.5"/>
  </r>
  <r>
    <x v="8"/>
    <n v="12.672000000000001"/>
    <n v="0.39"/>
  </r>
  <r>
    <x v="30"/>
    <n v="12.457000000000001"/>
    <n v="0.5"/>
  </r>
  <r>
    <x v="2"/>
    <n v="10.824"/>
    <n v="0.65"/>
  </r>
  <r>
    <x v="6"/>
    <n v="100"/>
    <n v="0"/>
  </r>
  <r>
    <x v="3"/>
    <n v="13.779"/>
    <n v="0.39"/>
  </r>
  <r>
    <x v="6"/>
    <n v="45.250999999999998"/>
    <n v="0.2"/>
  </r>
  <r>
    <x v="71"/>
    <n v="14.983000000000001"/>
    <n v="0.15"/>
  </r>
  <r>
    <x v="70"/>
    <n v="23.001000000000001"/>
    <n v="0.25"/>
  </r>
  <r>
    <x v="5"/>
    <n v="2.5830000000000002"/>
    <n v="0.5"/>
  </r>
  <r>
    <x v="80"/>
    <n v="13.291"/>
    <n v="0.39"/>
  </r>
  <r>
    <x v="157"/>
    <n v="23.323"/>
    <n v="0.49"/>
  </r>
  <r>
    <x v="52"/>
    <n v="55.265999999999998"/>
    <n v="0.2"/>
  </r>
  <r>
    <x v="5"/>
    <n v="7.8650000000000002"/>
    <n v="0.23"/>
  </r>
  <r>
    <x v="146"/>
    <n v="25.376999999999999"/>
    <n v="0.41"/>
  </r>
  <r>
    <x v="17"/>
    <n v="390"/>
    <n v="0.25"/>
  </r>
  <r>
    <x v="71"/>
    <n v="19.617999999999999"/>
    <n v="0.15"/>
  </r>
  <r>
    <x v="16"/>
    <n v="31.033999999999999"/>
    <n v="0.75"/>
  </r>
  <r>
    <x v="30"/>
    <n v="32.243000000000002"/>
    <n v="0.25"/>
  </r>
  <r>
    <x v="33"/>
    <m/>
    <n v="0"/>
  </r>
  <r>
    <x v="25"/>
    <m/>
    <n v="0.75"/>
  </r>
  <r>
    <x v="158"/>
    <n v="98.611999999999995"/>
    <n v="0.25"/>
  </r>
  <r>
    <x v="86"/>
    <n v="71.614999999999995"/>
    <n v="0.25"/>
  </r>
  <r>
    <x v="6"/>
    <n v="17.228999999999999"/>
    <n v="0.35"/>
  </r>
  <r>
    <x v="5"/>
    <n v="11.734"/>
    <n v="0.35"/>
  </r>
  <r>
    <x v="41"/>
    <n v="18.672000000000001"/>
    <n v="0.39"/>
  </r>
  <r>
    <x v="5"/>
    <n v="2.87"/>
    <n v="0.35"/>
  </r>
  <r>
    <x v="52"/>
    <n v="20.513999999999999"/>
    <n v="0.25"/>
  </r>
  <r>
    <x v="159"/>
    <n v="21.282"/>
    <n v="0.3"/>
  </r>
  <r>
    <x v="25"/>
    <m/>
    <n v="0.75"/>
  </r>
  <r>
    <x v="17"/>
    <n v="622.82899999999995"/>
    <n v="0.25"/>
  </r>
  <r>
    <x v="12"/>
    <n v="94.977000000000004"/>
    <n v="0.59"/>
  </r>
  <r>
    <x v="62"/>
    <n v="17.187000000000001"/>
    <n v="0.52"/>
  </r>
  <r>
    <x v="8"/>
    <n v="45.65"/>
    <n v="0.45"/>
  </r>
  <r>
    <x v="4"/>
    <n v="27.984999999999999"/>
    <n v="0.99"/>
  </r>
  <r>
    <x v="25"/>
    <m/>
    <n v="0.75"/>
  </r>
  <r>
    <x v="25"/>
    <m/>
    <n v="0.75"/>
  </r>
  <r>
    <x v="16"/>
    <m/>
    <n v="0.75"/>
  </r>
  <r>
    <x v="20"/>
    <n v="77.825999999999993"/>
    <n v="0.99"/>
  </r>
  <r>
    <x v="17"/>
    <n v="100"/>
    <n v="0.5"/>
  </r>
  <r>
    <x v="160"/>
    <n v="31.99"/>
    <n v="0.4"/>
  </r>
  <r>
    <x v="105"/>
    <n v="8.6539999999999999"/>
    <n v="0.35"/>
  </r>
  <r>
    <x v="160"/>
    <n v="7.8639999999999999"/>
    <n v="0.5"/>
  </r>
  <r>
    <x v="160"/>
    <n v="13.564"/>
    <n v="0.4"/>
  </r>
  <r>
    <x v="160"/>
    <n v="15.153"/>
    <n v="0.35"/>
  </r>
  <r>
    <x v="8"/>
    <n v="99.945999999999998"/>
    <n v="7.0000000000000007E-2"/>
  </r>
  <r>
    <x v="8"/>
    <n v="100"/>
    <n v="7.0000000000000007E-2"/>
  </r>
  <r>
    <x v="8"/>
    <n v="100"/>
    <n v="7.0000000000000007E-2"/>
  </r>
  <r>
    <x v="8"/>
    <n v="100"/>
    <n v="7.0000000000000007E-2"/>
  </r>
  <r>
    <x v="8"/>
    <n v="100"/>
    <n v="7.0000000000000007E-2"/>
  </r>
  <r>
    <x v="8"/>
    <n v="100"/>
    <n v="7.0000000000000007E-2"/>
  </r>
</pivotCacheRecords>
</file>

<file path=xl/pivotCache/pivotCacheRecords1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">
  <r>
    <x v="0"/>
    <n v="100.389"/>
    <n v="0.255"/>
  </r>
  <r>
    <x v="0"/>
    <n v="99.942999999999998"/>
    <n v="2.5000000000000001E-2"/>
  </r>
  <r>
    <x v="1"/>
    <n v="98.814999999999998"/>
    <n v="0.11"/>
  </r>
  <r>
    <x v="1"/>
    <n v="8.1259999999999994"/>
    <n v="0.45"/>
  </r>
  <r>
    <x v="2"/>
    <n v="11.295"/>
    <n v="0.19"/>
  </r>
  <r>
    <x v="3"/>
    <n v="95.872"/>
    <n v="0.20899999999999999"/>
  </r>
  <r>
    <x v="3"/>
    <n v="68.225999999999999"/>
    <n v="0.14000000000000001"/>
  </r>
  <r>
    <x v="3"/>
    <n v="15.622"/>
    <n v="0.14000000000000001"/>
  </r>
  <r>
    <x v="1"/>
    <n v="83.37"/>
    <n v="0.06"/>
  </r>
  <r>
    <x v="0"/>
    <n v="104.152"/>
    <n v="2.5000000000000001E-2"/>
  </r>
  <r>
    <x v="4"/>
    <n v="24.37"/>
    <n v="0.12"/>
  </r>
  <r>
    <x v="3"/>
    <n v="99.126999999999995"/>
    <n v="0.08"/>
  </r>
  <r>
    <x v="1"/>
    <n v="86.707999999999998"/>
    <n v="0.16"/>
  </r>
  <r>
    <x v="5"/>
    <n v="72.7"/>
    <n v="0.1"/>
  </r>
  <r>
    <x v="5"/>
    <m/>
    <n v="0.1"/>
  </r>
  <r>
    <x v="3"/>
    <n v="89.846999999999994"/>
    <m/>
  </r>
  <r>
    <x v="5"/>
    <m/>
    <n v="0.45"/>
  </r>
  <r>
    <x v="6"/>
    <n v="99.864999999999995"/>
    <n v="0.55000000000000004"/>
  </r>
  <r>
    <x v="1"/>
    <n v="667.08600000000001"/>
    <n v="0.11"/>
  </r>
  <r>
    <x v="2"/>
    <n v="87.411000000000001"/>
    <n v="0.13"/>
  </r>
  <r>
    <x v="1"/>
    <n v="10.776999999999999"/>
    <n v="0.25"/>
  </r>
  <r>
    <x v="3"/>
    <n v="85.938000000000002"/>
    <n v="0.14000000000000001"/>
  </r>
  <r>
    <x v="0"/>
    <m/>
    <n v="2.5000000000000001E-2"/>
  </r>
  <r>
    <x v="3"/>
    <n v="98.974000000000004"/>
    <n v="0.57999999999999996"/>
  </r>
  <r>
    <x v="0"/>
    <n v="60.664000000000001"/>
    <n v="9.5000000000000001E-2"/>
  </r>
  <r>
    <x v="4"/>
    <n v="39.537999999999997"/>
    <n v="0.12"/>
  </r>
  <r>
    <x v="4"/>
    <n v="79.400999999999996"/>
    <n v="0.12"/>
  </r>
  <r>
    <x v="2"/>
    <n v="9.3759999999999994"/>
    <n v="0.12"/>
  </r>
  <r>
    <x v="2"/>
    <n v="100"/>
    <n v="0.38"/>
  </r>
  <r>
    <x v="3"/>
    <n v="99.914000000000001"/>
    <n v="0.28000000000000003"/>
  </r>
  <r>
    <x v="1"/>
    <n v="355.57900000000001"/>
    <n v="0.11"/>
  </r>
  <r>
    <x v="3"/>
    <n v="40.130000000000003"/>
    <n v="0.14000000000000001"/>
  </r>
  <r>
    <x v="3"/>
    <n v="98.945999999999998"/>
    <n v="0.1"/>
  </r>
  <r>
    <x v="3"/>
    <n v="24.277000000000001"/>
    <n v="0.12"/>
  </r>
  <r>
    <x v="2"/>
    <n v="12.987"/>
    <n v="7.0000000000000007E-2"/>
  </r>
  <r>
    <x v="3"/>
    <n v="9.6929999999999996"/>
    <n v="0.1"/>
  </r>
  <r>
    <x v="2"/>
    <m/>
    <n v="0.1"/>
  </r>
  <r>
    <x v="1"/>
    <n v="96.905000000000001"/>
    <n v="0.11"/>
  </r>
  <r>
    <x v="2"/>
    <m/>
    <n v="0.27"/>
  </r>
  <r>
    <x v="3"/>
    <n v="62.624000000000002"/>
    <n v="0.06"/>
  </r>
  <r>
    <x v="2"/>
    <m/>
    <n v="0.12"/>
  </r>
  <r>
    <x v="7"/>
    <n v="102.06399999999999"/>
    <n v="0.11"/>
  </r>
  <r>
    <x v="2"/>
    <n v="82.123999999999995"/>
    <m/>
  </r>
  <r>
    <x v="5"/>
    <n v="97.8"/>
    <n v="0.1"/>
  </r>
  <r>
    <x v="3"/>
    <n v="99.254999999999995"/>
    <n v="0.125"/>
  </r>
  <r>
    <x v="3"/>
    <n v="12.211"/>
    <n v="0.06"/>
  </r>
  <r>
    <x v="2"/>
    <m/>
    <n v="0.1"/>
  </r>
  <r>
    <x v="3"/>
    <n v="20.527999999999999"/>
    <n v="0.14000000000000001"/>
  </r>
  <r>
    <x v="5"/>
    <m/>
    <m/>
  </r>
  <r>
    <x v="4"/>
    <n v="80.299000000000007"/>
    <n v="0.12"/>
  </r>
  <r>
    <x v="0"/>
    <m/>
    <n v="2.5000000000000001E-2"/>
  </r>
  <r>
    <x v="3"/>
    <n v="99.137"/>
    <n v="0.28000000000000003"/>
  </r>
  <r>
    <x v="2"/>
    <n v="86.418999999999997"/>
    <n v="0.13"/>
  </r>
  <r>
    <x v="1"/>
    <n v="814.36300000000006"/>
    <n v="0.16"/>
  </r>
  <r>
    <x v="7"/>
    <n v="109.35299999999999"/>
    <n v="0.13"/>
  </r>
  <r>
    <x v="0"/>
    <n v="59.594999999999999"/>
    <n v="9.5000000000000001E-2"/>
  </r>
  <r>
    <x v="3"/>
    <n v="87.634"/>
    <n v="0.14000000000000001"/>
  </r>
  <r>
    <x v="3"/>
    <n v="99.284000000000006"/>
    <n v="0.45"/>
  </r>
  <r>
    <x v="3"/>
    <n v="40.914999999999999"/>
    <n v="0.14000000000000001"/>
  </r>
  <r>
    <x v="3"/>
    <n v="61.374000000000002"/>
    <n v="0.14000000000000001"/>
  </r>
  <r>
    <x v="4"/>
    <n v="40.774000000000001"/>
    <n v="0.12"/>
  </r>
  <r>
    <x v="6"/>
    <n v="69.552000000000007"/>
    <m/>
  </r>
  <r>
    <x v="3"/>
    <n v="60.423000000000002"/>
    <n v="0.14000000000000001"/>
  </r>
  <r>
    <x v="7"/>
    <n v="101.91800000000001"/>
    <n v="0.11"/>
  </r>
</pivotCacheRecords>
</file>

<file path=xl/pivotCache/pivotCacheRecords1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88">
  <r>
    <x v="0"/>
    <m/>
  </r>
  <r>
    <x v="1"/>
    <n v="22.608000000000001"/>
  </r>
  <r>
    <x v="1"/>
    <n v="64.084000000000003"/>
  </r>
  <r>
    <x v="2"/>
    <n v="21.154"/>
  </r>
  <r>
    <x v="2"/>
    <n v="99.162000000000006"/>
  </r>
  <r>
    <x v="2"/>
    <n v="103.133"/>
  </r>
  <r>
    <x v="3"/>
    <n v="8712.9259999999995"/>
  </r>
  <r>
    <x v="4"/>
    <n v="368.07400000000001"/>
  </r>
  <r>
    <x v="5"/>
    <n v="2.0270000000000001"/>
  </r>
  <r>
    <x v="6"/>
    <n v="2625.0770000000002"/>
  </r>
  <r>
    <x v="2"/>
    <n v="4975.107"/>
  </r>
  <r>
    <x v="7"/>
    <n v="6.718"/>
  </r>
  <r>
    <x v="2"/>
    <n v="7.1429999999999998"/>
  </r>
  <r>
    <x v="3"/>
    <n v="1369.7190000000001"/>
  </r>
  <r>
    <x v="2"/>
    <n v="5121.8580000000002"/>
  </r>
  <r>
    <x v="8"/>
    <n v="47.649000000000001"/>
  </r>
  <r>
    <x v="2"/>
    <n v="10.555999999999999"/>
  </r>
  <r>
    <x v="2"/>
    <n v="377.52199999999999"/>
  </r>
  <r>
    <x v="9"/>
    <n v="83.637"/>
  </r>
  <r>
    <x v="2"/>
    <n v="339.8"/>
  </r>
  <r>
    <x v="2"/>
    <n v="2167.9209999999998"/>
  </r>
  <r>
    <x v="6"/>
    <n v="1185.663"/>
  </r>
  <r>
    <x v="10"/>
    <n v="73.603999999999999"/>
  </r>
  <r>
    <x v="11"/>
    <n v="81.116"/>
  </r>
  <r>
    <x v="2"/>
    <n v="159.505"/>
  </r>
  <r>
    <x v="2"/>
    <n v="93.808999999999997"/>
  </r>
  <r>
    <x v="12"/>
    <n v="25.643000000000001"/>
  </r>
  <r>
    <x v="6"/>
    <n v="128.71"/>
  </r>
  <r>
    <x v="2"/>
    <n v="1051.547"/>
  </r>
  <r>
    <x v="2"/>
    <n v="339.05500000000001"/>
  </r>
  <r>
    <x v="2"/>
    <n v="2265.6889999999999"/>
  </r>
  <r>
    <x v="13"/>
    <n v="16.63"/>
  </r>
  <r>
    <x v="2"/>
    <n v="129.40299999999999"/>
  </r>
  <r>
    <x v="2"/>
    <n v="431.34500000000003"/>
  </r>
  <r>
    <x v="6"/>
    <n v="182.62100000000001"/>
  </r>
  <r>
    <x v="2"/>
    <n v="4720.7209999999995"/>
  </r>
  <r>
    <x v="2"/>
    <n v="716.149"/>
  </r>
  <r>
    <x v="12"/>
    <n v="27.192"/>
  </r>
  <r>
    <x v="2"/>
    <n v="281.67599999999999"/>
  </r>
  <r>
    <x v="2"/>
    <n v="781.58"/>
  </r>
  <r>
    <x v="6"/>
    <n v="179.44800000000001"/>
  </r>
  <r>
    <x v="11"/>
    <n v="35.720999999999997"/>
  </r>
  <r>
    <x v="2"/>
    <n v="39.851999999999997"/>
  </r>
  <r>
    <x v="9"/>
    <n v="20.277000000000001"/>
  </r>
  <r>
    <x v="12"/>
    <n v="185.577"/>
  </r>
  <r>
    <x v="2"/>
    <n v="6.141"/>
  </r>
  <r>
    <x v="6"/>
    <n v="5951.5540000000001"/>
  </r>
  <r>
    <x v="2"/>
    <n v="16.945"/>
  </r>
  <r>
    <x v="6"/>
    <n v="256.90499999999997"/>
  </r>
  <r>
    <x v="2"/>
    <n v="14225.64"/>
  </r>
  <r>
    <x v="6"/>
    <n v="473.88099999999997"/>
  </r>
  <r>
    <x v="12"/>
    <n v="68.960999999999999"/>
  </r>
  <r>
    <x v="14"/>
    <m/>
  </r>
  <r>
    <x v="6"/>
    <n v="696.72400000000005"/>
  </r>
  <r>
    <x v="2"/>
    <n v="2306.259"/>
  </r>
  <r>
    <x v="2"/>
    <n v="768.11800000000005"/>
  </r>
  <r>
    <x v="7"/>
    <n v="2.149"/>
  </r>
  <r>
    <x v="2"/>
    <n v="18.231999999999999"/>
  </r>
  <r>
    <x v="11"/>
    <n v="22.716999999999999"/>
  </r>
  <r>
    <x v="15"/>
    <n v="70.986000000000004"/>
  </r>
  <r>
    <x v="2"/>
    <n v="22.501999999999999"/>
  </r>
  <r>
    <x v="6"/>
    <n v="507.798"/>
  </r>
  <r>
    <x v="2"/>
    <n v="1574.5920000000001"/>
  </r>
  <r>
    <x v="12"/>
    <n v="137.55699999999999"/>
  </r>
  <r>
    <x v="16"/>
    <n v="9.9109999999999996"/>
  </r>
  <r>
    <x v="2"/>
    <n v="749.41700000000003"/>
  </r>
  <r>
    <x v="17"/>
    <m/>
  </r>
  <r>
    <x v="6"/>
    <n v="64.260000000000005"/>
  </r>
  <r>
    <x v="2"/>
    <n v="44.56"/>
  </r>
  <r>
    <x v="2"/>
    <n v="2172.2950000000001"/>
  </r>
  <r>
    <x v="9"/>
    <n v="18.393000000000001"/>
  </r>
  <r>
    <x v="6"/>
    <n v="825.08199999999999"/>
  </r>
  <r>
    <x v="18"/>
    <n v="171.80699999999999"/>
  </r>
  <r>
    <x v="2"/>
    <n v="299.363"/>
  </r>
  <r>
    <x v="2"/>
    <n v="4019.2919999999999"/>
  </r>
  <r>
    <x v="6"/>
    <n v="5.8140000000000001"/>
  </r>
  <r>
    <x v="1"/>
    <n v="11.702999999999999"/>
  </r>
  <r>
    <x v="11"/>
    <n v="20.885999999999999"/>
  </r>
  <r>
    <x v="7"/>
    <n v="250.786"/>
  </r>
  <r>
    <x v="6"/>
    <n v="1925.4860000000001"/>
  </r>
  <r>
    <x v="2"/>
    <n v="15.05"/>
  </r>
  <r>
    <x v="10"/>
    <n v="29.15"/>
  </r>
  <r>
    <x v="19"/>
    <n v="0.77600000000000002"/>
  </r>
  <r>
    <x v="7"/>
    <n v="624.52"/>
  </r>
  <r>
    <x v="12"/>
    <n v="57.088000000000001"/>
  </r>
  <r>
    <x v="6"/>
    <n v="27.283000000000001"/>
  </r>
  <r>
    <x v="2"/>
    <n v="51.377000000000002"/>
  </r>
  <r>
    <x v="9"/>
    <n v="0.94199999999999995"/>
  </r>
  <r>
    <x v="6"/>
    <n v="196.065"/>
  </r>
  <r>
    <x v="2"/>
    <n v="92.037000000000006"/>
  </r>
  <r>
    <x v="2"/>
    <n v="115.756"/>
  </r>
  <r>
    <x v="2"/>
    <n v="117.244"/>
  </r>
  <r>
    <x v="2"/>
    <n v="423.30099999999999"/>
  </r>
  <r>
    <x v="2"/>
    <n v="117.68"/>
  </r>
  <r>
    <x v="2"/>
    <n v="17.422999999999998"/>
  </r>
  <r>
    <x v="18"/>
    <m/>
  </r>
  <r>
    <x v="10"/>
    <n v="6.9260000000000002"/>
  </r>
  <r>
    <x v="11"/>
    <n v="196.97"/>
  </r>
  <r>
    <x v="20"/>
    <n v="801.59199999999998"/>
  </r>
  <r>
    <x v="9"/>
    <n v="343.49"/>
  </r>
  <r>
    <x v="2"/>
    <n v="65.399000000000001"/>
  </r>
  <r>
    <x v="2"/>
    <n v="34.436999999999998"/>
  </r>
  <r>
    <x v="2"/>
    <n v="10.129"/>
  </r>
  <r>
    <x v="6"/>
    <n v="79.959000000000003"/>
  </r>
  <r>
    <x v="11"/>
    <n v="1346.1410000000001"/>
  </r>
  <r>
    <x v="2"/>
    <n v="441.32600000000002"/>
  </r>
  <r>
    <x v="2"/>
    <n v="41.972999999999999"/>
  </r>
  <r>
    <x v="19"/>
    <n v="0.23300000000000001"/>
  </r>
  <r>
    <x v="6"/>
    <n v="11.394"/>
  </r>
  <r>
    <x v="16"/>
    <n v="14.019"/>
  </r>
  <r>
    <x v="18"/>
    <n v="149.078"/>
  </r>
  <r>
    <x v="19"/>
    <n v="0.38200000000000001"/>
  </r>
  <r>
    <x v="7"/>
    <n v="534.38400000000001"/>
  </r>
  <r>
    <x v="2"/>
    <n v="133.339"/>
  </r>
  <r>
    <x v="2"/>
    <n v="146.22900000000001"/>
  </r>
  <r>
    <x v="2"/>
    <n v="94.001999999999995"/>
  </r>
  <r>
    <x v="11"/>
    <n v="468.00200000000001"/>
  </r>
  <r>
    <x v="1"/>
    <n v="9.5079999999999991"/>
  </r>
  <r>
    <x v="6"/>
    <n v="376.16199999999998"/>
  </r>
  <r>
    <x v="16"/>
    <n v="23.126000000000001"/>
  </r>
  <r>
    <x v="6"/>
    <n v="4.6660000000000004"/>
  </r>
  <r>
    <x v="6"/>
    <n v="2810.6909999999998"/>
  </r>
  <r>
    <x v="2"/>
    <n v="10.849"/>
  </r>
  <r>
    <x v="11"/>
    <n v="544.27200000000005"/>
  </r>
  <r>
    <x v="2"/>
    <n v="73.171999999999997"/>
  </r>
  <r>
    <x v="18"/>
    <m/>
  </r>
  <r>
    <x v="19"/>
    <n v="24.263999999999999"/>
  </r>
  <r>
    <x v="9"/>
    <n v="246.08699999999999"/>
  </r>
  <r>
    <x v="2"/>
    <n v="10.077999999999999"/>
  </r>
  <r>
    <x v="6"/>
    <n v="42.220999999999997"/>
  </r>
  <r>
    <x v="6"/>
    <n v="26.085000000000001"/>
  </r>
  <r>
    <x v="11"/>
    <n v="96.638000000000005"/>
  </r>
  <r>
    <x v="2"/>
    <n v="12.138999999999999"/>
  </r>
  <r>
    <x v="16"/>
    <n v="17.199000000000002"/>
  </r>
  <r>
    <x v="11"/>
    <n v="408.16699999999997"/>
  </r>
  <r>
    <x v="16"/>
    <n v="80.391000000000005"/>
  </r>
  <r>
    <x v="6"/>
    <n v="22.602"/>
  </r>
  <r>
    <x v="16"/>
    <n v="49.621000000000002"/>
  </r>
  <r>
    <x v="16"/>
    <n v="25.167000000000002"/>
  </r>
  <r>
    <x v="1"/>
    <n v="4.8849999999999998"/>
  </r>
  <r>
    <x v="6"/>
    <n v="59.917000000000002"/>
  </r>
  <r>
    <x v="2"/>
    <n v="37.389000000000003"/>
  </r>
  <r>
    <x v="2"/>
    <n v="23.030999999999999"/>
  </r>
  <r>
    <x v="16"/>
    <n v="47.451000000000001"/>
  </r>
  <r>
    <x v="16"/>
    <n v="69.055000000000007"/>
  </r>
  <r>
    <x v="9"/>
    <n v="851.55600000000004"/>
  </r>
  <r>
    <x v="16"/>
    <n v="28.762"/>
  </r>
  <r>
    <x v="11"/>
    <n v="301.36900000000003"/>
  </r>
  <r>
    <x v="19"/>
    <n v="218.137"/>
  </r>
  <r>
    <x v="18"/>
    <n v="8.7609999999999992"/>
  </r>
  <r>
    <x v="18"/>
    <n v="22.760999999999999"/>
  </r>
  <r>
    <x v="2"/>
    <n v="69.097999999999999"/>
  </r>
  <r>
    <x v="16"/>
    <n v="13.085000000000001"/>
  </r>
  <r>
    <x v="2"/>
    <n v="33.634999999999998"/>
  </r>
  <r>
    <x v="11"/>
    <n v="41.924999999999997"/>
  </r>
  <r>
    <x v="2"/>
    <n v="4.5339999999999998"/>
  </r>
  <r>
    <x v="2"/>
    <n v="93.698999999999998"/>
  </r>
  <r>
    <x v="18"/>
    <m/>
  </r>
  <r>
    <x v="6"/>
    <n v="930.50099999999998"/>
  </r>
  <r>
    <x v="18"/>
    <n v="22.096"/>
  </r>
  <r>
    <x v="11"/>
    <n v="742.48"/>
  </r>
  <r>
    <x v="18"/>
    <n v="215.37299999999999"/>
  </r>
  <r>
    <x v="2"/>
    <n v="25.318000000000001"/>
  </r>
  <r>
    <x v="18"/>
    <n v="590.38699999999994"/>
  </r>
  <r>
    <x v="18"/>
    <n v="373.303"/>
  </r>
  <r>
    <x v="6"/>
    <n v="120.852"/>
  </r>
  <r>
    <x v="6"/>
    <n v="117.669"/>
  </r>
  <r>
    <x v="6"/>
    <n v="59.771999999999998"/>
  </r>
  <r>
    <x v="11"/>
    <n v="1037.67"/>
  </r>
  <r>
    <x v="6"/>
    <n v="5510.6409999999996"/>
  </r>
  <r>
    <x v="2"/>
    <n v="443.19900000000001"/>
  </r>
  <r>
    <x v="2"/>
    <n v="79.045000000000002"/>
  </r>
  <r>
    <x v="11"/>
    <n v="136.75200000000001"/>
  </r>
  <r>
    <x v="16"/>
    <n v="6.5000000000000002E-2"/>
  </r>
  <r>
    <x v="16"/>
    <n v="95.712000000000003"/>
  </r>
  <r>
    <x v="6"/>
    <n v="33.250999999999998"/>
  </r>
  <r>
    <x v="11"/>
    <n v="1367.3910000000001"/>
  </r>
  <r>
    <x v="2"/>
    <n v="19.591999999999999"/>
  </r>
  <r>
    <x v="2"/>
    <n v="33.265000000000001"/>
  </r>
  <r>
    <x v="2"/>
    <n v="209.24199999999999"/>
  </r>
  <r>
    <x v="9"/>
    <n v="581.17899999999997"/>
  </r>
  <r>
    <x v="16"/>
    <n v="54.284999999999997"/>
  </r>
  <r>
    <x v="11"/>
    <n v="36.854999999999997"/>
  </r>
  <r>
    <x v="2"/>
    <n v="36.030999999999999"/>
  </r>
  <r>
    <x v="18"/>
    <m/>
  </r>
  <r>
    <x v="9"/>
    <n v="18.821000000000002"/>
  </r>
  <r>
    <x v="2"/>
    <n v="1.7809999999999999"/>
  </r>
  <r>
    <x v="18"/>
    <n v="577.11800000000005"/>
  </r>
  <r>
    <x v="19"/>
    <n v="604.95100000000002"/>
  </r>
  <r>
    <x v="6"/>
    <n v="315.327"/>
  </r>
  <r>
    <x v="9"/>
    <n v="1301.7729999999999"/>
  </r>
  <r>
    <x v="16"/>
    <n v="25.555"/>
  </r>
  <r>
    <x v="16"/>
    <n v="61.54"/>
  </r>
  <r>
    <x v="16"/>
    <n v="51.564"/>
  </r>
  <r>
    <x v="2"/>
    <n v="334.25599999999997"/>
  </r>
  <r>
    <x v="16"/>
    <n v="50.819000000000003"/>
  </r>
  <r>
    <x v="21"/>
    <n v="56.66"/>
  </r>
  <r>
    <x v="11"/>
    <n v="121.328"/>
  </r>
  <r>
    <x v="9"/>
    <n v="29.187000000000001"/>
  </r>
  <r>
    <x v="9"/>
    <n v="188.529"/>
  </r>
  <r>
    <x v="16"/>
    <n v="381.64800000000002"/>
  </r>
  <r>
    <x v="2"/>
    <n v="101.431"/>
  </r>
  <r>
    <x v="11"/>
    <n v="816.68399999999997"/>
  </r>
  <r>
    <x v="2"/>
    <n v="22.442"/>
  </r>
  <r>
    <x v="6"/>
    <n v="82.070999999999998"/>
  </r>
  <r>
    <x v="2"/>
    <n v="28.504000000000001"/>
  </r>
  <r>
    <x v="2"/>
    <n v="1865.079"/>
  </r>
  <r>
    <x v="10"/>
    <n v="22.74"/>
  </r>
  <r>
    <x v="2"/>
    <n v="197.29300000000001"/>
  </r>
  <r>
    <x v="18"/>
    <m/>
  </r>
  <r>
    <x v="2"/>
    <n v="766.82600000000002"/>
  </r>
  <r>
    <x v="2"/>
    <n v="553.90300000000002"/>
  </r>
  <r>
    <x v="2"/>
    <n v="8.8529999999999998"/>
  </r>
  <r>
    <x v="2"/>
    <n v="8.3040000000000003"/>
  </r>
  <r>
    <x v="2"/>
    <n v="170.726"/>
  </r>
  <r>
    <x v="2"/>
    <n v="160.90100000000001"/>
  </r>
  <r>
    <x v="2"/>
    <n v="8.2889999999999997"/>
  </r>
  <r>
    <x v="21"/>
    <n v="43.947000000000003"/>
  </r>
  <r>
    <x v="9"/>
    <m/>
  </r>
  <r>
    <x v="16"/>
    <n v="192.84800000000001"/>
  </r>
  <r>
    <x v="20"/>
    <n v="897.64300000000003"/>
  </r>
  <r>
    <x v="2"/>
    <n v="1586.251"/>
  </r>
  <r>
    <x v="2"/>
    <n v="210.625"/>
  </r>
  <r>
    <x v="11"/>
    <n v="323.916"/>
  </r>
  <r>
    <x v="2"/>
    <n v="156.40799999999999"/>
  </r>
  <r>
    <x v="2"/>
    <n v="462.75"/>
  </r>
  <r>
    <x v="6"/>
    <n v="450.755"/>
  </r>
  <r>
    <x v="16"/>
    <n v="53.087000000000003"/>
  </r>
  <r>
    <x v="9"/>
    <n v="1008.524"/>
  </r>
  <r>
    <x v="11"/>
    <n v="1773.95"/>
  </r>
  <r>
    <x v="9"/>
    <n v="103.85"/>
  </r>
  <r>
    <x v="16"/>
    <n v="62.091000000000001"/>
  </r>
  <r>
    <x v="6"/>
    <n v="53.207000000000001"/>
  </r>
  <r>
    <x v="11"/>
    <n v="1181.6320000000001"/>
  </r>
  <r>
    <x v="16"/>
    <n v="495.36799999999999"/>
  </r>
  <r>
    <x v="9"/>
    <n v="223.179"/>
  </r>
  <r>
    <x v="19"/>
    <n v="115.532"/>
  </r>
  <r>
    <x v="2"/>
    <n v="17.039000000000001"/>
  </r>
  <r>
    <x v="11"/>
    <n v="13.66"/>
  </r>
  <r>
    <x v="11"/>
    <n v="322.21800000000002"/>
  </r>
  <r>
    <x v="16"/>
    <n v="200.46"/>
  </r>
  <r>
    <x v="16"/>
    <n v="54.091000000000001"/>
  </r>
  <r>
    <x v="11"/>
    <n v="106.33499999999999"/>
  </r>
  <r>
    <x v="1"/>
    <n v="9.9480000000000004"/>
  </r>
  <r>
    <x v="11"/>
    <n v="488.91899999999998"/>
  </r>
  <r>
    <x v="16"/>
    <n v="332.93400000000003"/>
  </r>
  <r>
    <x v="2"/>
    <n v="569.00099999999998"/>
  </r>
  <r>
    <x v="2"/>
    <n v="3313.6320000000001"/>
  </r>
  <r>
    <x v="2"/>
    <n v="10.863"/>
  </r>
  <r>
    <x v="19"/>
    <n v="250.66300000000001"/>
  </r>
  <r>
    <x v="2"/>
    <n v="21.146999999999998"/>
  </r>
  <r>
    <x v="11"/>
    <n v="662.26099999999997"/>
  </r>
  <r>
    <x v="2"/>
    <n v="119.239"/>
  </r>
  <r>
    <x v="9"/>
    <n v="595.46699999999998"/>
  </r>
  <r>
    <x v="16"/>
    <n v="66.399000000000001"/>
  </r>
  <r>
    <x v="7"/>
    <n v="14.984"/>
  </r>
  <r>
    <x v="2"/>
    <n v="18.757999999999999"/>
  </r>
  <r>
    <x v="9"/>
    <n v="58.883000000000003"/>
  </r>
  <r>
    <x v="2"/>
    <n v="39.93"/>
  </r>
  <r>
    <x v="9"/>
    <n v="12.569000000000001"/>
  </r>
  <r>
    <x v="16"/>
    <n v="50.301000000000002"/>
  </r>
  <r>
    <x v="3"/>
    <n v="4384.8819999999996"/>
  </r>
  <r>
    <x v="9"/>
    <n v="54.222999999999999"/>
  </r>
  <r>
    <x v="2"/>
    <n v="56.813000000000002"/>
  </r>
  <r>
    <x v="6"/>
    <n v="96.67"/>
  </r>
  <r>
    <x v="16"/>
    <n v="321.209"/>
  </r>
  <r>
    <x v="2"/>
    <n v="41.487000000000002"/>
  </r>
  <r>
    <x v="2"/>
    <n v="27.776"/>
  </r>
  <r>
    <x v="6"/>
    <n v="4350.232"/>
  </r>
  <r>
    <x v="9"/>
    <n v="168.303"/>
  </r>
  <r>
    <x v="16"/>
    <n v="14.218999999999999"/>
  </r>
  <r>
    <x v="19"/>
    <n v="18.236000000000001"/>
  </r>
  <r>
    <x v="2"/>
    <n v="204.3"/>
  </r>
  <r>
    <x v="9"/>
    <n v="616.202"/>
  </r>
  <r>
    <x v="2"/>
    <n v="6458.732"/>
  </r>
  <r>
    <x v="10"/>
    <n v="2.2559999999999998"/>
  </r>
  <r>
    <x v="18"/>
    <n v="151.078"/>
  </r>
  <r>
    <x v="6"/>
    <n v="13425.337"/>
  </r>
  <r>
    <x v="2"/>
    <n v="26.855"/>
  </r>
  <r>
    <x v="16"/>
    <n v="23.190999999999999"/>
  </r>
  <r>
    <x v="9"/>
    <n v="8.1890000000000001"/>
  </r>
  <r>
    <x v="2"/>
    <n v="1247.308"/>
  </r>
  <r>
    <x v="11"/>
    <n v="28.97"/>
  </r>
  <r>
    <x v="6"/>
    <n v="204.17400000000001"/>
  </r>
  <r>
    <x v="2"/>
    <n v="62.887999999999998"/>
  </r>
  <r>
    <x v="6"/>
    <n v="12.677"/>
  </r>
  <r>
    <x v="2"/>
    <n v="5.88"/>
  </r>
  <r>
    <x v="9"/>
    <n v="177.89400000000001"/>
  </r>
  <r>
    <x v="10"/>
    <n v="65.69"/>
  </r>
  <r>
    <x v="7"/>
    <n v="6.02"/>
  </r>
  <r>
    <x v="2"/>
    <n v="477.87599999999998"/>
  </r>
  <r>
    <x v="2"/>
    <n v="1021.434"/>
  </r>
  <r>
    <x v="9"/>
    <n v="61.284999999999997"/>
  </r>
  <r>
    <x v="2"/>
    <n v="688.96900000000005"/>
  </r>
  <r>
    <x v="10"/>
    <n v="40.869999999999997"/>
  </r>
  <r>
    <x v="11"/>
    <n v="185.666"/>
  </r>
  <r>
    <x v="6"/>
    <n v="34.201999999999998"/>
  </r>
  <r>
    <x v="2"/>
    <n v="74.158000000000001"/>
  </r>
  <r>
    <x v="11"/>
    <n v="50.28"/>
  </r>
  <r>
    <x v="3"/>
    <n v="2690.1660000000002"/>
  </r>
  <r>
    <x v="11"/>
    <n v="269.798"/>
  </r>
  <r>
    <x v="2"/>
    <n v="167.58199999999999"/>
  </r>
  <r>
    <x v="2"/>
    <n v="74.813999999999993"/>
  </r>
  <r>
    <x v="2"/>
    <n v="37.65"/>
  </r>
  <r>
    <x v="6"/>
    <n v="779.26099999999997"/>
  </r>
  <r>
    <x v="16"/>
    <n v="46.738"/>
  </r>
  <r>
    <x v="16"/>
    <n v="258.56700000000001"/>
  </r>
  <r>
    <x v="2"/>
    <n v="13.057"/>
  </r>
  <r>
    <x v="2"/>
    <n v="1186.826"/>
  </r>
  <r>
    <x v="19"/>
    <m/>
  </r>
  <r>
    <x v="16"/>
    <n v="70.48"/>
  </r>
  <r>
    <x v="2"/>
    <n v="5046.8580000000002"/>
  </r>
  <r>
    <x v="2"/>
    <n v="38.036000000000001"/>
  </r>
  <r>
    <x v="16"/>
    <n v="31.45"/>
  </r>
  <r>
    <x v="15"/>
    <n v="7.9889999999999999"/>
  </r>
  <r>
    <x v="2"/>
    <n v="151.13399999999999"/>
  </r>
  <r>
    <x v="2"/>
    <n v="13.641999999999999"/>
  </r>
  <r>
    <x v="16"/>
    <n v="32.972999999999999"/>
  </r>
  <r>
    <x v="6"/>
    <n v="2151.1080000000002"/>
  </r>
  <r>
    <x v="6"/>
    <n v="236.98400000000001"/>
  </r>
  <r>
    <x v="2"/>
    <n v="10.194000000000001"/>
  </r>
  <r>
    <x v="11"/>
    <n v="8024.1059999999998"/>
  </r>
  <r>
    <x v="2"/>
    <n v="157.68100000000001"/>
  </r>
  <r>
    <x v="6"/>
    <n v="288.53500000000003"/>
  </r>
  <r>
    <x v="2"/>
    <n v="5.0999999999999996"/>
  </r>
  <r>
    <x v="9"/>
    <n v="1130.4949999999999"/>
  </r>
  <r>
    <x v="9"/>
    <n v="166.87899999999999"/>
  </r>
  <r>
    <x v="6"/>
    <n v="46.292000000000002"/>
  </r>
  <r>
    <x v="6"/>
    <n v="4300.6719999999996"/>
  </r>
  <r>
    <x v="2"/>
    <n v="5.093"/>
  </r>
  <r>
    <x v="16"/>
    <n v="223.71600000000001"/>
  </r>
  <r>
    <x v="11"/>
    <n v="12.382"/>
  </r>
  <r>
    <x v="9"/>
    <n v="557.20000000000005"/>
  </r>
  <r>
    <x v="2"/>
    <n v="19.623999999999999"/>
  </r>
  <r>
    <x v="2"/>
    <n v="123.49299999999999"/>
  </r>
  <r>
    <x v="6"/>
    <n v="102.242"/>
  </r>
  <r>
    <x v="16"/>
    <n v="30.704999999999998"/>
  </r>
  <r>
    <x v="16"/>
    <n v="36.470999999999997"/>
  </r>
  <r>
    <x v="11"/>
    <n v="3580.201"/>
  </r>
  <r>
    <x v="10"/>
    <n v="12.125999999999999"/>
  </r>
  <r>
    <x v="6"/>
    <n v="299.94400000000002"/>
  </r>
  <r>
    <x v="22"/>
    <n v="19.588000000000001"/>
  </r>
  <r>
    <x v="2"/>
    <n v="1.976"/>
  </r>
  <r>
    <x v="2"/>
    <n v="1639.6420000000001"/>
  </r>
  <r>
    <x v="2"/>
    <n v="1231.779"/>
  </r>
  <r>
    <x v="9"/>
    <n v="2131.0349999999999"/>
  </r>
  <r>
    <x v="9"/>
    <n v="545.89400000000001"/>
  </r>
  <r>
    <x v="9"/>
    <n v="669.95500000000004"/>
  </r>
  <r>
    <x v="2"/>
    <n v="215.791"/>
  </r>
  <r>
    <x v="19"/>
    <n v="4.2619999999999996"/>
  </r>
  <r>
    <x v="2"/>
    <n v="1870.848"/>
  </r>
  <r>
    <x v="2"/>
    <n v="2400.0349999999999"/>
  </r>
  <r>
    <x v="2"/>
    <n v="10.385"/>
  </r>
  <r>
    <x v="9"/>
    <n v="88.424000000000007"/>
  </r>
  <r>
    <x v="2"/>
    <n v="103.48699999999999"/>
  </r>
  <r>
    <x v="9"/>
    <n v="7.4509999999999996"/>
  </r>
  <r>
    <x v="2"/>
    <n v="4.8780000000000001"/>
  </r>
  <r>
    <x v="11"/>
    <n v="304.64100000000002"/>
  </r>
  <r>
    <x v="2"/>
    <n v="306.55500000000001"/>
  </r>
  <r>
    <x v="11"/>
    <n v="1471.33"/>
  </r>
  <r>
    <x v="2"/>
    <n v="67.867000000000004"/>
  </r>
  <r>
    <x v="2"/>
    <n v="2215.2350000000001"/>
  </r>
  <r>
    <x v="2"/>
    <n v="159.10300000000001"/>
  </r>
  <r>
    <x v="9"/>
    <n v="1701.4349999999999"/>
  </r>
  <r>
    <x v="9"/>
    <n v="401.72"/>
  </r>
  <r>
    <x v="1"/>
    <n v="15.118"/>
  </r>
  <r>
    <x v="4"/>
    <n v="369.38099999999997"/>
  </r>
  <r>
    <x v="2"/>
    <n v="6.0750000000000002"/>
  </r>
  <r>
    <x v="2"/>
    <n v="845.11"/>
  </r>
  <r>
    <x v="11"/>
    <n v="62.917999999999999"/>
  </r>
  <r>
    <x v="2"/>
    <n v="801.19899999999996"/>
  </r>
  <r>
    <x v="11"/>
    <n v="1757.65"/>
  </r>
  <r>
    <x v="11"/>
    <n v="3680.665"/>
  </r>
  <r>
    <x v="6"/>
    <n v="320.21699999999998"/>
  </r>
  <r>
    <x v="6"/>
    <n v="16.315000000000001"/>
  </r>
  <r>
    <x v="2"/>
    <n v="569.14599999999996"/>
  </r>
  <r>
    <x v="2"/>
    <n v="1367.192"/>
  </r>
  <r>
    <x v="2"/>
    <n v="2639.5970000000002"/>
  </r>
  <r>
    <x v="2"/>
    <n v="748.577"/>
  </r>
  <r>
    <x v="2"/>
    <n v="212.89599999999999"/>
  </r>
  <r>
    <x v="10"/>
    <n v="53.551000000000002"/>
  </r>
  <r>
    <x v="9"/>
    <n v="24.053000000000001"/>
  </r>
  <r>
    <x v="2"/>
    <n v="10.423"/>
  </r>
  <r>
    <x v="2"/>
    <n v="676.53099999999995"/>
  </r>
  <r>
    <x v="6"/>
    <n v="117.411"/>
  </r>
  <r>
    <x v="2"/>
    <n v="37.198999999999998"/>
  </r>
  <r>
    <x v="9"/>
    <n v="1.4139999999999999"/>
  </r>
  <r>
    <x v="9"/>
    <n v="1808.62"/>
  </r>
  <r>
    <x v="11"/>
    <n v="2110.2020000000002"/>
  </r>
  <r>
    <x v="9"/>
    <n v="137.76599999999999"/>
  </r>
  <r>
    <x v="9"/>
    <n v="149.95500000000001"/>
  </r>
  <r>
    <x v="9"/>
    <n v="214.52"/>
  </r>
  <r>
    <x v="11"/>
    <n v="1573.231"/>
  </r>
  <r>
    <x v="9"/>
    <n v="580.42200000000003"/>
  </r>
  <r>
    <x v="9"/>
    <n v="84.563999999999993"/>
  </r>
  <r>
    <x v="2"/>
    <n v="1993.018"/>
  </r>
  <r>
    <x v="2"/>
    <n v="22.131"/>
  </r>
  <r>
    <x v="2"/>
    <n v="75.796999999999997"/>
  </r>
  <r>
    <x v="2"/>
    <n v="2491.7190000000001"/>
  </r>
  <r>
    <x v="9"/>
    <n v="67.97"/>
  </r>
  <r>
    <x v="6"/>
    <n v="1033.2159999999999"/>
  </r>
  <r>
    <x v="9"/>
    <n v="40.179000000000002"/>
  </r>
  <r>
    <x v="2"/>
    <n v="413.06900000000002"/>
  </r>
  <r>
    <x v="2"/>
    <n v="72.456000000000003"/>
  </r>
  <r>
    <x v="11"/>
    <n v="1275.79"/>
  </r>
  <r>
    <x v="11"/>
    <n v="2024.375"/>
  </r>
  <r>
    <x v="11"/>
    <n v="776.38"/>
  </r>
  <r>
    <x v="2"/>
    <n v="1400.424"/>
  </r>
  <r>
    <x v="2"/>
    <n v="447.26299999999998"/>
  </r>
  <r>
    <x v="11"/>
    <n v="3685.8020000000001"/>
  </r>
  <r>
    <x v="2"/>
    <n v="993.47299999999996"/>
  </r>
  <r>
    <x v="16"/>
    <n v="9.3130000000000006"/>
  </r>
  <r>
    <x v="11"/>
    <n v="1660.1020000000001"/>
  </r>
  <r>
    <x v="2"/>
    <n v="177.917"/>
  </r>
  <r>
    <x v="20"/>
    <n v="3957.6239999999998"/>
  </r>
  <r>
    <x v="19"/>
    <n v="152.84399999999999"/>
  </r>
  <r>
    <x v="9"/>
    <n v="113.17100000000001"/>
  </r>
  <r>
    <x v="11"/>
    <n v="1433.979"/>
  </r>
  <r>
    <x v="2"/>
    <n v="70.674000000000007"/>
  </r>
  <r>
    <x v="2"/>
    <n v="85.858000000000004"/>
  </r>
  <r>
    <x v="6"/>
    <n v="21.855"/>
  </r>
  <r>
    <x v="2"/>
    <n v="559.76300000000003"/>
  </r>
  <r>
    <x v="19"/>
    <n v="2382.2269999999999"/>
  </r>
  <r>
    <x v="2"/>
    <n v="1222.751"/>
  </r>
  <r>
    <x v="9"/>
    <n v="124.419"/>
  </r>
  <r>
    <x v="2"/>
    <n v="7812.991"/>
  </r>
  <r>
    <x v="2"/>
    <n v="1723.65"/>
  </r>
  <r>
    <x v="2"/>
    <n v="55.811999999999998"/>
  </r>
  <r>
    <x v="2"/>
    <n v="166.298"/>
  </r>
  <r>
    <x v="2"/>
    <n v="66.108999999999995"/>
  </r>
  <r>
    <x v="2"/>
    <n v="255.535"/>
  </r>
  <r>
    <x v="2"/>
    <n v="117.80500000000001"/>
  </r>
  <r>
    <x v="2"/>
    <n v="370.71800000000002"/>
  </r>
  <r>
    <x v="9"/>
    <n v="203.43600000000001"/>
  </r>
  <r>
    <x v="15"/>
    <n v="4.7590000000000003"/>
  </r>
  <r>
    <x v="2"/>
    <n v="76.381"/>
  </r>
  <r>
    <x v="9"/>
    <n v="144.44200000000001"/>
  </r>
  <r>
    <x v="11"/>
    <n v="2773.8580000000002"/>
  </r>
  <r>
    <x v="9"/>
    <n v="105.479"/>
  </r>
  <r>
    <x v="16"/>
    <n v="1.425"/>
  </r>
  <r>
    <x v="9"/>
    <n v="425.46"/>
  </r>
  <r>
    <x v="2"/>
    <n v="53.496000000000002"/>
  </r>
  <r>
    <x v="2"/>
    <n v="30.558"/>
  </r>
  <r>
    <x v="6"/>
    <n v="338.65499999999997"/>
  </r>
  <r>
    <x v="2"/>
    <n v="2771.5749999999998"/>
  </r>
  <r>
    <x v="6"/>
    <n v="1731.42"/>
  </r>
  <r>
    <x v="2"/>
    <n v="3126.605"/>
  </r>
  <r>
    <x v="2"/>
    <n v="159.001"/>
  </r>
  <r>
    <x v="9"/>
    <n v="241.54"/>
  </r>
  <r>
    <x v="23"/>
    <n v="577.29499999999996"/>
  </r>
  <r>
    <x v="24"/>
    <n v="45.536999999999999"/>
  </r>
  <r>
    <x v="1"/>
    <n v="5.7880000000000003"/>
  </r>
  <r>
    <x v="6"/>
    <n v="6950.4440000000004"/>
  </r>
  <r>
    <x v="24"/>
    <n v="36.112000000000002"/>
  </r>
  <r>
    <x v="6"/>
    <n v="815.96299999999997"/>
  </r>
  <r>
    <x v="6"/>
    <n v="333.17399999999998"/>
  </r>
  <r>
    <x v="11"/>
    <n v="320.00599999999997"/>
  </r>
  <r>
    <x v="2"/>
    <n v="37.131999999999998"/>
  </r>
  <r>
    <x v="9"/>
    <n v="591.44399999999996"/>
  </r>
  <r>
    <x v="2"/>
    <n v="42.384999999999998"/>
  </r>
  <r>
    <x v="2"/>
    <n v="75382.664000000004"/>
  </r>
  <r>
    <x v="6"/>
    <n v="84.188000000000002"/>
  </r>
  <r>
    <x v="25"/>
    <n v="647.57799999999997"/>
  </r>
  <r>
    <x v="2"/>
    <n v="1942.7190000000001"/>
  </r>
  <r>
    <x v="9"/>
    <n v="47.966000000000001"/>
  </r>
  <r>
    <x v="2"/>
    <n v="76.102999999999994"/>
  </r>
  <r>
    <x v="2"/>
    <n v="31.035"/>
  </r>
  <r>
    <x v="2"/>
    <n v="52.75"/>
  </r>
  <r>
    <x v="19"/>
    <n v="54.459000000000003"/>
  </r>
  <r>
    <x v="16"/>
    <n v="71.775999999999996"/>
  </r>
  <r>
    <x v="2"/>
    <n v="48.05"/>
  </r>
  <r>
    <x v="2"/>
    <n v="11610.329"/>
  </r>
  <r>
    <x v="6"/>
    <n v="2458.931"/>
  </r>
  <r>
    <x v="9"/>
    <n v="2496.0790000000002"/>
  </r>
  <r>
    <x v="2"/>
    <n v="53.585999999999999"/>
  </r>
  <r>
    <x v="6"/>
    <n v="166.18299999999999"/>
  </r>
  <r>
    <x v="2"/>
    <n v="3500.4369999999999"/>
  </r>
  <r>
    <x v="2"/>
    <n v="445.65199999999999"/>
  </r>
  <r>
    <x v="9"/>
    <n v="247.75200000000001"/>
  </r>
  <r>
    <x v="2"/>
    <n v="3904.2820000000002"/>
  </r>
  <r>
    <x v="9"/>
    <n v="981.74800000000005"/>
  </r>
  <r>
    <x v="2"/>
    <n v="5.7560000000000002"/>
  </r>
  <r>
    <x v="2"/>
    <n v="29.452999999999999"/>
  </r>
  <r>
    <x v="2"/>
    <n v="9.9909999999999997"/>
  </r>
  <r>
    <x v="2"/>
    <n v="647.81200000000001"/>
  </r>
  <r>
    <x v="2"/>
    <n v="470.13400000000001"/>
  </r>
  <r>
    <x v="16"/>
    <n v="57.232999999999997"/>
  </r>
  <r>
    <x v="9"/>
    <n v="28.164999999999999"/>
  </r>
  <r>
    <x v="2"/>
    <n v="11.169"/>
  </r>
  <r>
    <x v="10"/>
    <n v="1.923"/>
  </r>
  <r>
    <x v="2"/>
    <n v="49.197000000000003"/>
  </r>
  <r>
    <x v="6"/>
    <n v="162.494"/>
  </r>
  <r>
    <x v="6"/>
    <n v="199.148"/>
  </r>
  <r>
    <x v="9"/>
    <n v="427.27"/>
  </r>
  <r>
    <x v="11"/>
    <n v="769.92399999999998"/>
  </r>
  <r>
    <x v="2"/>
    <n v="1665.7660000000001"/>
  </r>
  <r>
    <x v="9"/>
    <n v="74.408000000000001"/>
  </r>
  <r>
    <x v="19"/>
    <n v="288.50599999999997"/>
  </r>
  <r>
    <x v="9"/>
    <n v="10.262"/>
  </r>
  <r>
    <x v="2"/>
    <n v="245.988"/>
  </r>
  <r>
    <x v="6"/>
    <n v="228.209"/>
  </r>
  <r>
    <x v="2"/>
    <n v="80.983000000000004"/>
  </r>
  <r>
    <x v="25"/>
    <n v="255.21899999999999"/>
  </r>
  <r>
    <x v="2"/>
    <n v="6742.6210000000001"/>
  </r>
  <r>
    <x v="2"/>
    <n v="542.20500000000004"/>
  </r>
  <r>
    <x v="2"/>
    <n v="377.01299999999998"/>
  </r>
  <r>
    <x v="19"/>
    <n v="249.953"/>
  </r>
  <r>
    <x v="9"/>
    <n v="536.66200000000003"/>
  </r>
  <r>
    <x v="11"/>
    <n v="1208.1489999999999"/>
  </r>
  <r>
    <x v="4"/>
    <n v="18.614000000000001"/>
  </r>
  <r>
    <x v="2"/>
    <n v="384.36799999999999"/>
  </r>
  <r>
    <x v="2"/>
    <n v="25.353000000000002"/>
  </r>
  <r>
    <x v="2"/>
    <n v="163.63200000000001"/>
  </r>
  <r>
    <x v="2"/>
    <n v="27.687999999999999"/>
  </r>
  <r>
    <x v="2"/>
    <n v="179.75200000000001"/>
  </r>
  <r>
    <x v="2"/>
    <n v="7258.25"/>
  </r>
  <r>
    <x v="2"/>
    <n v="10.076000000000001"/>
  </r>
  <r>
    <x v="6"/>
    <n v="1439.932"/>
  </r>
  <r>
    <x v="6"/>
    <n v="392.67099999999999"/>
  </r>
  <r>
    <x v="2"/>
    <n v="1647.33"/>
  </r>
  <r>
    <x v="3"/>
    <n v="2234.5149999999999"/>
  </r>
  <r>
    <x v="11"/>
    <n v="16.815000000000001"/>
  </r>
  <r>
    <x v="6"/>
    <n v="952.83699999999999"/>
  </r>
  <r>
    <x v="2"/>
    <n v="65.28"/>
  </r>
  <r>
    <x v="3"/>
    <n v="395.71300000000002"/>
  </r>
  <r>
    <x v="2"/>
    <n v="29.984999999999999"/>
  </r>
  <r>
    <x v="19"/>
    <n v="10.092000000000001"/>
  </r>
  <r>
    <x v="9"/>
    <n v="15.186999999999999"/>
  </r>
  <r>
    <x v="2"/>
    <n v="236.399"/>
  </r>
  <r>
    <x v="11"/>
    <n v="2386.8290000000002"/>
  </r>
  <r>
    <x v="9"/>
    <n v="206.48699999999999"/>
  </r>
  <r>
    <x v="2"/>
    <n v="412.34500000000003"/>
  </r>
  <r>
    <x v="2"/>
    <n v="11.135999999999999"/>
  </r>
  <r>
    <x v="6"/>
    <n v="112.214"/>
  </r>
  <r>
    <x v="9"/>
    <n v="4.1219999999999999"/>
  </r>
  <r>
    <x v="2"/>
    <n v="16384.294999999998"/>
  </r>
  <r>
    <x v="9"/>
    <n v="32.808999999999997"/>
  </r>
  <r>
    <x v="9"/>
    <n v="3247.9540000000002"/>
  </r>
  <r>
    <x v="9"/>
    <n v="166.048"/>
  </r>
  <r>
    <x v="12"/>
    <m/>
  </r>
  <r>
    <x v="4"/>
    <n v="139.964"/>
  </r>
  <r>
    <x v="11"/>
    <n v="567.55799999999999"/>
  </r>
  <r>
    <x v="9"/>
    <n v="2292.17"/>
  </r>
  <r>
    <x v="6"/>
    <n v="2142.69"/>
  </r>
  <r>
    <x v="1"/>
    <n v="3.734"/>
  </r>
  <r>
    <x v="9"/>
    <n v="245.434"/>
  </r>
  <r>
    <x v="2"/>
    <n v="143.107"/>
  </r>
  <r>
    <x v="9"/>
    <n v="395.03199999999998"/>
  </r>
  <r>
    <x v="2"/>
    <n v="37.901000000000003"/>
  </r>
  <r>
    <x v="9"/>
    <n v="5049.8490000000002"/>
  </r>
  <r>
    <x v="6"/>
    <n v="1417.98"/>
  </r>
  <r>
    <x v="2"/>
    <n v="134.97"/>
  </r>
  <r>
    <x v="2"/>
    <n v="22.172999999999998"/>
  </r>
  <r>
    <x v="2"/>
    <n v="225.83"/>
  </r>
  <r>
    <x v="6"/>
    <n v="209.62700000000001"/>
  </r>
  <r>
    <x v="2"/>
    <n v="1182.2539999999999"/>
  </r>
  <r>
    <x v="11"/>
    <n v="5713.2380000000003"/>
  </r>
  <r>
    <x v="9"/>
    <n v="368.60599999999999"/>
  </r>
  <r>
    <x v="2"/>
    <n v="317.88299999999998"/>
  </r>
  <r>
    <x v="6"/>
    <n v="705.55899999999997"/>
  </r>
  <r>
    <x v="16"/>
    <n v="5.3120000000000003"/>
  </r>
  <r>
    <x v="9"/>
    <n v="9053.107"/>
  </r>
  <r>
    <x v="2"/>
    <n v="823.16499999999996"/>
  </r>
  <r>
    <x v="16"/>
    <n v="78.900999999999996"/>
  </r>
  <r>
    <x v="19"/>
    <n v="2.5030000000000001"/>
  </r>
  <r>
    <x v="2"/>
    <n v="3933.665"/>
  </r>
  <r>
    <x v="11"/>
    <n v="1409.826"/>
  </r>
  <r>
    <x v="11"/>
    <n v="12.087"/>
  </r>
  <r>
    <x v="2"/>
    <n v="512.92600000000004"/>
  </r>
  <r>
    <x v="2"/>
    <n v="6059.9340000000002"/>
  </r>
  <r>
    <x v="9"/>
    <n v="74.563999999999993"/>
  </r>
  <r>
    <x v="2"/>
    <n v="31.373999999999999"/>
  </r>
  <r>
    <x v="2"/>
    <n v="501.83300000000003"/>
  </r>
  <r>
    <x v="6"/>
    <n v="2199.06"/>
  </r>
  <r>
    <x v="11"/>
    <n v="40.198"/>
  </r>
  <r>
    <x v="6"/>
    <n v="3061.43"/>
  </r>
  <r>
    <x v="11"/>
    <n v="847.22500000000002"/>
  </r>
  <r>
    <x v="4"/>
    <n v="235.446"/>
  </r>
  <r>
    <x v="2"/>
    <n v="83.909000000000006"/>
  </r>
  <r>
    <x v="2"/>
    <n v="1149.8869999999999"/>
  </r>
  <r>
    <x v="11"/>
    <n v="159.434"/>
  </r>
  <r>
    <x v="2"/>
    <n v="18.488"/>
  </r>
  <r>
    <x v="6"/>
    <n v="24.5"/>
  </r>
  <r>
    <x v="2"/>
    <n v="51.45"/>
  </r>
  <r>
    <x v="2"/>
    <n v="23.826000000000001"/>
  </r>
  <r>
    <x v="6"/>
    <n v="759.73099999999999"/>
  </r>
  <r>
    <x v="2"/>
    <n v="276.43400000000003"/>
  </r>
  <r>
    <x v="2"/>
    <n v="219.72499999999999"/>
  </r>
  <r>
    <x v="11"/>
    <n v="1191.8409999999999"/>
  </r>
  <r>
    <x v="6"/>
    <n v="1516.431"/>
  </r>
  <r>
    <x v="2"/>
    <n v="205.24299999999999"/>
  </r>
  <r>
    <x v="2"/>
    <n v="129.15899999999999"/>
  </r>
  <r>
    <x v="2"/>
    <n v="471.90800000000002"/>
  </r>
  <r>
    <x v="6"/>
    <n v="979.36800000000005"/>
  </r>
  <r>
    <x v="2"/>
    <n v="10.042"/>
  </r>
  <r>
    <x v="11"/>
    <n v="224.011"/>
  </r>
  <r>
    <x v="2"/>
    <n v="7.9379999999999997"/>
  </r>
  <r>
    <x v="2"/>
    <n v="200.24600000000001"/>
  </r>
  <r>
    <x v="9"/>
    <n v="116.136"/>
  </r>
  <r>
    <x v="9"/>
    <n v="20.649000000000001"/>
  </r>
  <r>
    <x v="2"/>
    <n v="141.95400000000001"/>
  </r>
  <r>
    <x v="2"/>
    <n v="194.31"/>
  </r>
  <r>
    <x v="6"/>
    <n v="251.48"/>
  </r>
  <r>
    <x v="9"/>
    <n v="43.243000000000002"/>
  </r>
  <r>
    <x v="2"/>
    <n v="186.03899999999999"/>
  </r>
  <r>
    <x v="6"/>
    <n v="327.97300000000001"/>
  </r>
  <r>
    <x v="26"/>
    <n v="144.79"/>
  </r>
  <r>
    <x v="9"/>
    <m/>
  </r>
  <r>
    <x v="2"/>
    <n v="11536.342000000001"/>
  </r>
  <r>
    <x v="16"/>
    <n v="13.701000000000001"/>
  </r>
  <r>
    <x v="2"/>
    <n v="58.094000000000001"/>
  </r>
  <r>
    <x v="2"/>
    <n v="41.55"/>
  </r>
  <r>
    <x v="2"/>
    <n v="679.83500000000004"/>
  </r>
  <r>
    <x v="2"/>
    <n v="1122.576"/>
  </r>
  <r>
    <x v="9"/>
    <n v="82.462000000000003"/>
  </r>
  <r>
    <x v="2"/>
    <n v="61.116"/>
  </r>
  <r>
    <x v="2"/>
    <n v="12.597"/>
  </r>
  <r>
    <x v="2"/>
    <n v="242.74199999999999"/>
  </r>
  <r>
    <x v="2"/>
    <n v="621.33399999999995"/>
  </r>
  <r>
    <x v="2"/>
    <n v="21.376999999999999"/>
  </r>
  <r>
    <x v="2"/>
    <n v="7.6360000000000001"/>
  </r>
  <r>
    <x v="11"/>
    <n v="1.87"/>
  </r>
  <r>
    <x v="2"/>
    <n v="24.114000000000001"/>
  </r>
  <r>
    <x v="2"/>
    <n v="1068.954"/>
  </r>
  <r>
    <x v="6"/>
    <n v="25.850999999999999"/>
  </r>
  <r>
    <x v="2"/>
    <n v="398.678"/>
  </r>
  <r>
    <x v="2"/>
    <n v="107.557"/>
  </r>
  <r>
    <x v="4"/>
    <n v="195.107"/>
  </r>
  <r>
    <x v="11"/>
    <n v="371.036"/>
  </r>
  <r>
    <x v="11"/>
    <n v="2.7010000000000001"/>
  </r>
  <r>
    <x v="2"/>
    <n v="502.76400000000001"/>
  </r>
  <r>
    <x v="4"/>
    <n v="142.73599999999999"/>
  </r>
  <r>
    <x v="9"/>
    <n v="44.497999999999998"/>
  </r>
  <r>
    <x v="16"/>
    <n v="54.188000000000002"/>
  </r>
  <r>
    <x v="2"/>
    <n v="1193.643"/>
  </r>
  <r>
    <x v="2"/>
    <n v="70.308999999999997"/>
  </r>
  <r>
    <x v="2"/>
    <n v="2271.6480000000001"/>
  </r>
  <r>
    <x v="2"/>
    <n v="151.06299999999999"/>
  </r>
  <r>
    <x v="2"/>
    <n v="27.699000000000002"/>
  </r>
  <r>
    <x v="9"/>
    <n v="607.84500000000003"/>
  </r>
  <r>
    <x v="2"/>
    <n v="168.05500000000001"/>
  </r>
  <r>
    <x v="9"/>
    <n v="16.728000000000002"/>
  </r>
  <r>
    <x v="6"/>
    <n v="17078.268"/>
  </r>
  <r>
    <x v="2"/>
    <n v="3002.9"/>
  </r>
  <r>
    <x v="2"/>
    <n v="88.787999999999997"/>
  </r>
  <r>
    <x v="9"/>
    <n v="65.225999999999999"/>
  </r>
  <r>
    <x v="2"/>
    <n v="626.97"/>
  </r>
  <r>
    <x v="7"/>
    <n v="10.026999999999999"/>
  </r>
  <r>
    <x v="11"/>
    <n v="153.517"/>
  </r>
  <r>
    <x v="19"/>
    <n v="20.263999999999999"/>
  </r>
  <r>
    <x v="2"/>
    <n v="39347.012000000002"/>
  </r>
  <r>
    <x v="9"/>
    <n v="15.593999999999999"/>
  </r>
  <r>
    <x v="6"/>
    <n v="6760.9179999999997"/>
  </r>
  <r>
    <x v="7"/>
    <n v="7.851"/>
  </r>
  <r>
    <x v="9"/>
    <n v="6.3540000000000001"/>
  </r>
  <r>
    <x v="9"/>
    <n v="1619.249"/>
  </r>
  <r>
    <x v="9"/>
    <n v="382.76799999999997"/>
  </r>
  <r>
    <x v="2"/>
    <n v="61.384999999999998"/>
  </r>
  <r>
    <x v="2"/>
    <n v="1447.335"/>
  </r>
  <r>
    <x v="2"/>
    <n v="207.61199999999999"/>
  </r>
  <r>
    <x v="2"/>
    <n v="1119.0650000000001"/>
  </r>
  <r>
    <x v="2"/>
    <n v="152.16"/>
  </r>
  <r>
    <x v="11"/>
    <n v="3117.732"/>
  </r>
  <r>
    <x v="2"/>
    <n v="31.783999999999999"/>
  </r>
  <r>
    <x v="9"/>
    <n v="1075.6189999999999"/>
  </r>
  <r>
    <x v="4"/>
    <n v="203.483"/>
  </r>
  <r>
    <x v="11"/>
    <n v="4026.9369999999999"/>
  </r>
  <r>
    <x v="2"/>
    <n v="397.709"/>
  </r>
  <r>
    <x v="6"/>
    <n v="74.796999999999997"/>
  </r>
  <r>
    <x v="4"/>
    <n v="456.93099999999998"/>
  </r>
  <r>
    <x v="2"/>
    <n v="31.780999999999999"/>
  </r>
  <r>
    <x v="16"/>
    <n v="16.195"/>
  </r>
  <r>
    <x v="11"/>
    <n v="100.88200000000001"/>
  </r>
  <r>
    <x v="9"/>
    <n v="343.79700000000003"/>
  </r>
  <r>
    <x v="2"/>
    <n v="1934.8040000000001"/>
  </r>
  <r>
    <x v="16"/>
    <n v="89.655000000000001"/>
  </r>
  <r>
    <x v="2"/>
    <n v="377.85"/>
  </r>
  <r>
    <x v="2"/>
    <n v="987.51400000000001"/>
  </r>
  <r>
    <x v="11"/>
    <n v="39.65"/>
  </r>
  <r>
    <x v="2"/>
    <n v="917.95899999999995"/>
  </r>
  <r>
    <x v="2"/>
    <n v="8.2880000000000003"/>
  </r>
  <r>
    <x v="9"/>
    <n v="37.756999999999998"/>
  </r>
  <r>
    <x v="6"/>
    <n v="1308.396"/>
  </r>
  <r>
    <x v="6"/>
    <n v="22.748999999999999"/>
  </r>
  <r>
    <x v="9"/>
    <n v="239.74100000000001"/>
  </r>
  <r>
    <x v="2"/>
    <n v="788.54899999999998"/>
  </r>
  <r>
    <x v="9"/>
    <n v="187.90600000000001"/>
  </r>
  <r>
    <x v="2"/>
    <n v="5811.6610000000001"/>
  </r>
  <r>
    <x v="9"/>
    <n v="2589.62"/>
  </r>
  <r>
    <x v="6"/>
    <n v="31.611999999999998"/>
  </r>
  <r>
    <x v="2"/>
    <n v="1297.723"/>
  </r>
  <r>
    <x v="11"/>
    <n v="2841.0549999999998"/>
  </r>
  <r>
    <x v="11"/>
    <n v="163.441"/>
  </r>
  <r>
    <x v="2"/>
    <n v="405.10599999999999"/>
  </r>
  <r>
    <x v="19"/>
    <n v="384.92200000000003"/>
  </r>
  <r>
    <x v="2"/>
    <n v="247.012"/>
  </r>
  <r>
    <x v="2"/>
    <n v="1458.913"/>
  </r>
  <r>
    <x v="2"/>
    <n v="25759.734"/>
  </r>
  <r>
    <x v="19"/>
    <n v="297.98"/>
  </r>
  <r>
    <x v="4"/>
    <n v="9.9909999999999997"/>
  </r>
  <r>
    <x v="9"/>
    <n v="592.73199999999997"/>
  </r>
  <r>
    <x v="2"/>
    <n v="6806.3819999999996"/>
  </r>
  <r>
    <x v="2"/>
    <n v="10.077999999999999"/>
  </r>
  <r>
    <x v="9"/>
    <n v="41.784999999999997"/>
  </r>
  <r>
    <x v="2"/>
    <n v="114.029"/>
  </r>
  <r>
    <x v="9"/>
    <n v="435.911"/>
  </r>
  <r>
    <x v="9"/>
    <n v="10.744"/>
  </r>
  <r>
    <x v="6"/>
    <n v="1711.662"/>
  </r>
  <r>
    <x v="2"/>
    <n v="1455.7909999999999"/>
  </r>
  <r>
    <x v="9"/>
    <n v="250.64099999999999"/>
  </r>
  <r>
    <x v="9"/>
    <n v="26.007000000000001"/>
  </r>
  <r>
    <x v="11"/>
    <n v="234.08199999999999"/>
  </r>
  <r>
    <x v="2"/>
    <n v="192.91499999999999"/>
  </r>
  <r>
    <x v="2"/>
    <n v="23.131"/>
  </r>
  <r>
    <x v="2"/>
    <n v="27.71"/>
  </r>
  <r>
    <x v="2"/>
    <n v="163.21100000000001"/>
  </r>
  <r>
    <x v="11"/>
    <n v="523.21299999999997"/>
  </r>
  <r>
    <x v="2"/>
    <n v="15177.199000000001"/>
  </r>
  <r>
    <x v="2"/>
    <n v="7925.9489999999996"/>
  </r>
  <r>
    <x v="2"/>
    <n v="24.504000000000001"/>
  </r>
  <r>
    <x v="19"/>
    <n v="31.661000000000001"/>
  </r>
  <r>
    <x v="9"/>
    <n v="10.419"/>
  </r>
  <r>
    <x v="2"/>
    <n v="2160.8780000000002"/>
  </r>
  <r>
    <x v="9"/>
    <n v="37.728000000000002"/>
  </r>
  <r>
    <x v="2"/>
    <n v="173.126"/>
  </r>
  <r>
    <x v="2"/>
    <n v="31.247"/>
  </r>
  <r>
    <x v="9"/>
    <n v="43.015000000000001"/>
  </r>
  <r>
    <x v="11"/>
    <n v="7172.3819999999996"/>
  </r>
  <r>
    <x v="19"/>
    <n v="121.58799999999999"/>
  </r>
  <r>
    <x v="2"/>
    <n v="618.62699999999995"/>
  </r>
  <r>
    <x v="2"/>
    <n v="67.361000000000004"/>
  </r>
  <r>
    <x v="2"/>
    <n v="712.49699999999996"/>
  </r>
  <r>
    <x v="6"/>
    <n v="731.72900000000004"/>
  </r>
  <r>
    <x v="9"/>
    <n v="89.486000000000004"/>
  </r>
  <r>
    <x v="2"/>
    <n v="7222.9809999999998"/>
  </r>
  <r>
    <x v="9"/>
    <n v="345.93299999999999"/>
  </r>
  <r>
    <x v="2"/>
    <n v="94.804000000000002"/>
  </r>
  <r>
    <x v="11"/>
    <n v="18.218"/>
  </r>
  <r>
    <x v="9"/>
    <n v="117.45699999999999"/>
  </r>
  <r>
    <x v="2"/>
    <n v="354.53699999999998"/>
  </r>
  <r>
    <x v="2"/>
    <n v="13837.478999999999"/>
  </r>
  <r>
    <x v="6"/>
    <n v="726.48500000000001"/>
  </r>
  <r>
    <x v="2"/>
    <n v="17.940999999999999"/>
  </r>
  <r>
    <x v="2"/>
    <n v="4.3460000000000001"/>
  </r>
  <r>
    <x v="9"/>
    <n v="476.66800000000001"/>
  </r>
  <r>
    <x v="11"/>
    <n v="30.64"/>
  </r>
  <r>
    <x v="9"/>
    <n v="32.548000000000002"/>
  </r>
  <r>
    <x v="2"/>
    <n v="271.87099999999998"/>
  </r>
  <r>
    <x v="2"/>
    <n v="33.015000000000001"/>
  </r>
  <r>
    <x v="2"/>
    <n v="42170.652000000002"/>
  </r>
  <r>
    <x v="9"/>
    <n v="48.558999999999997"/>
  </r>
  <r>
    <x v="2"/>
    <n v="9.85"/>
  </r>
  <r>
    <x v="2"/>
    <n v="310.16000000000003"/>
  </r>
  <r>
    <x v="2"/>
    <n v="215.023"/>
  </r>
  <r>
    <x v="6"/>
    <n v="350.38200000000001"/>
  </r>
  <r>
    <x v="2"/>
    <n v="20.687000000000001"/>
  </r>
  <r>
    <x v="6"/>
    <n v="21.286999999999999"/>
  </r>
  <r>
    <x v="9"/>
    <n v="3139.2280000000001"/>
  </r>
  <r>
    <x v="11"/>
    <n v="54.459000000000003"/>
  </r>
  <r>
    <x v="16"/>
    <n v="281.92"/>
  </r>
  <r>
    <x v="9"/>
    <n v="35.406999999999996"/>
  </r>
  <r>
    <x v="2"/>
    <n v="232.00800000000001"/>
  </r>
  <r>
    <x v="2"/>
    <n v="22.861999999999998"/>
  </r>
  <r>
    <x v="2"/>
    <n v="4198.5529999999999"/>
  </r>
  <r>
    <x v="2"/>
    <n v="967.02099999999996"/>
  </r>
  <r>
    <x v="6"/>
    <n v="22.675000000000001"/>
  </r>
  <r>
    <x v="2"/>
    <n v="789.35500000000002"/>
  </r>
  <r>
    <x v="9"/>
    <n v="40.731000000000002"/>
  </r>
  <r>
    <x v="11"/>
    <n v="72.396000000000001"/>
  </r>
  <r>
    <x v="12"/>
    <n v="30.468"/>
  </r>
  <r>
    <x v="6"/>
    <n v="26.527000000000001"/>
  </r>
  <r>
    <x v="9"/>
    <n v="0.66700000000000004"/>
  </r>
  <r>
    <x v="2"/>
    <n v="232.672"/>
  </r>
  <r>
    <x v="2"/>
    <n v="993.66800000000001"/>
  </r>
  <r>
    <x v="2"/>
    <n v="11.791"/>
  </r>
  <r>
    <x v="2"/>
    <n v="537.50099999999998"/>
  </r>
  <r>
    <x v="6"/>
    <n v="61.133000000000003"/>
  </r>
  <r>
    <x v="9"/>
    <n v="30.731999999999999"/>
  </r>
  <r>
    <x v="11"/>
    <n v="233.85"/>
  </r>
  <r>
    <x v="9"/>
    <n v="42.496000000000002"/>
  </r>
  <r>
    <x v="6"/>
    <n v="107.158"/>
  </r>
  <r>
    <x v="2"/>
    <n v="436.12400000000002"/>
  </r>
  <r>
    <x v="6"/>
    <n v="1008.918"/>
  </r>
  <r>
    <x v="2"/>
    <n v="204.173"/>
  </r>
  <r>
    <x v="2"/>
    <n v="3204.393"/>
  </r>
  <r>
    <x v="9"/>
    <n v="1139.1030000000001"/>
  </r>
  <r>
    <x v="2"/>
    <n v="99.350999999999999"/>
  </r>
  <r>
    <x v="2"/>
    <n v="2050.23"/>
  </r>
  <r>
    <x v="2"/>
    <n v="288.08100000000002"/>
  </r>
  <r>
    <x v="16"/>
    <n v="5.2149999999999999"/>
  </r>
  <r>
    <x v="9"/>
    <n v="638.35599999999999"/>
  </r>
  <r>
    <x v="6"/>
    <n v="233.67099999999999"/>
  </r>
  <r>
    <x v="6"/>
    <n v="273.77600000000001"/>
  </r>
  <r>
    <x v="2"/>
    <n v="3.0310000000000001"/>
  </r>
  <r>
    <x v="9"/>
    <n v="2108.915"/>
  </r>
  <r>
    <x v="9"/>
    <n v="1668.817"/>
  </r>
  <r>
    <x v="3"/>
    <n v="6287.3720000000003"/>
  </r>
  <r>
    <x v="2"/>
    <n v="359.99099999999999"/>
  </r>
  <r>
    <x v="25"/>
    <n v="547.02200000000005"/>
  </r>
  <r>
    <x v="2"/>
    <n v="690.68200000000002"/>
  </r>
  <r>
    <x v="11"/>
    <n v="63.731000000000002"/>
  </r>
  <r>
    <x v="15"/>
    <n v="5.0410000000000004"/>
  </r>
  <r>
    <x v="2"/>
    <n v="116.488"/>
  </r>
  <r>
    <x v="2"/>
    <n v="4.0110000000000001"/>
  </r>
  <r>
    <x v="9"/>
    <n v="42.805"/>
  </r>
  <r>
    <x v="19"/>
    <n v="9.5039999999999996"/>
  </r>
  <r>
    <x v="2"/>
    <n v="109.29300000000001"/>
  </r>
  <r>
    <x v="2"/>
    <n v="3.6080000000000001"/>
  </r>
  <r>
    <x v="19"/>
    <n v="6.0999999999999999E-2"/>
  </r>
  <r>
    <x v="5"/>
    <n v="7.0510000000000002"/>
  </r>
  <r>
    <x v="2"/>
    <n v="70.983000000000004"/>
  </r>
  <r>
    <x v="2"/>
    <n v="614.58500000000004"/>
  </r>
  <r>
    <x v="2"/>
    <n v="45461.883000000002"/>
  </r>
  <r>
    <x v="11"/>
    <n v="2.976"/>
  </r>
  <r>
    <x v="2"/>
    <n v="87.548000000000002"/>
  </r>
  <r>
    <x v="2"/>
    <n v="3.0659999999999998"/>
  </r>
  <r>
    <x v="27"/>
    <n v="5.13"/>
  </r>
  <r>
    <x v="2"/>
    <n v="17.809999999999999"/>
  </r>
  <r>
    <x v="2"/>
    <n v="55.607999999999997"/>
  </r>
  <r>
    <x v="2"/>
    <n v="100.81100000000001"/>
  </r>
  <r>
    <x v="9"/>
    <n v="132.54400000000001"/>
  </r>
  <r>
    <x v="2"/>
    <n v="3034.3"/>
  </r>
  <r>
    <x v="2"/>
    <n v="626.12599999999998"/>
  </r>
  <r>
    <x v="6"/>
    <n v="7.72"/>
  </r>
  <r>
    <x v="1"/>
    <n v="8.9870000000000001"/>
  </r>
  <r>
    <x v="2"/>
    <n v="1829.67"/>
  </r>
  <r>
    <x v="6"/>
    <n v="95.489000000000004"/>
  </r>
  <r>
    <x v="2"/>
    <n v="382.43799999999999"/>
  </r>
  <r>
    <x v="2"/>
    <n v="402.26799999999997"/>
  </r>
  <r>
    <x v="3"/>
    <n v="216.55500000000001"/>
  </r>
  <r>
    <x v="2"/>
    <n v="534.45399999999995"/>
  </r>
  <r>
    <x v="2"/>
    <n v="34.799999999999997"/>
  </r>
  <r>
    <x v="2"/>
    <n v="108.956"/>
  </r>
  <r>
    <x v="2"/>
    <n v="339.76"/>
  </r>
  <r>
    <x v="9"/>
    <n v="1427.3130000000001"/>
  </r>
  <r>
    <x v="4"/>
    <n v="502.81299999999999"/>
  </r>
  <r>
    <x v="2"/>
    <n v="3523.7640000000001"/>
  </r>
  <r>
    <x v="11"/>
    <n v="100.496"/>
  </r>
  <r>
    <x v="6"/>
    <n v="390.09399999999999"/>
  </r>
  <r>
    <x v="11"/>
    <n v="3.62"/>
  </r>
  <r>
    <x v="2"/>
    <n v="3541.683"/>
  </r>
  <r>
    <x v="2"/>
    <n v="109.413"/>
  </r>
  <r>
    <x v="9"/>
    <n v="477.25099999999998"/>
  </r>
  <r>
    <x v="2"/>
    <n v="1696.5630000000001"/>
  </r>
  <r>
    <x v="6"/>
    <n v="25.361999999999998"/>
  </r>
  <r>
    <x v="11"/>
    <n v="108.84"/>
  </r>
  <r>
    <x v="9"/>
    <n v="76.024000000000001"/>
  </r>
  <r>
    <x v="19"/>
    <n v="11.157999999999999"/>
  </r>
  <r>
    <x v="2"/>
    <n v="1512.6310000000001"/>
  </r>
  <r>
    <x v="6"/>
    <n v="168.03700000000001"/>
  </r>
  <r>
    <x v="2"/>
    <n v="26.795999999999999"/>
  </r>
  <r>
    <x v="2"/>
    <n v="10.598000000000001"/>
  </r>
  <r>
    <x v="2"/>
    <n v="153.292"/>
  </r>
  <r>
    <x v="2"/>
    <n v="240.66800000000001"/>
  </r>
  <r>
    <x v="16"/>
    <n v="165.86799999999999"/>
  </r>
  <r>
    <x v="2"/>
    <n v="70.58"/>
  </r>
  <r>
    <x v="2"/>
    <n v="3615.67"/>
  </r>
  <r>
    <x v="19"/>
    <n v="1320.683"/>
  </r>
  <r>
    <x v="2"/>
    <n v="12.869"/>
  </r>
  <r>
    <x v="10"/>
    <n v="133.29"/>
  </r>
  <r>
    <x v="2"/>
    <n v="352.64100000000002"/>
  </r>
  <r>
    <x v="2"/>
    <n v="10520.562"/>
  </r>
  <r>
    <x v="6"/>
    <n v="2772.0949999999998"/>
  </r>
  <r>
    <x v="2"/>
    <n v="690.82500000000005"/>
  </r>
  <r>
    <x v="2"/>
    <n v="154.95400000000001"/>
  </r>
  <r>
    <x v="2"/>
    <n v="181.43199999999999"/>
  </r>
  <r>
    <x v="2"/>
    <n v="37.484999999999999"/>
  </r>
  <r>
    <x v="20"/>
    <n v="43.976999999999997"/>
  </r>
  <r>
    <x v="4"/>
    <n v="212.85900000000001"/>
  </r>
  <r>
    <x v="6"/>
    <n v="1225.6790000000001"/>
  </r>
  <r>
    <x v="2"/>
    <n v="85.555999999999997"/>
  </r>
  <r>
    <x v="2"/>
    <n v="21.355"/>
  </r>
  <r>
    <x v="2"/>
    <n v="5552.3379999999997"/>
  </r>
  <r>
    <x v="9"/>
    <n v="4.21"/>
  </r>
  <r>
    <x v="2"/>
    <n v="1610.57"/>
  </r>
  <r>
    <x v="6"/>
    <n v="705.346"/>
  </r>
  <r>
    <x v="4"/>
    <n v="57.710999999999999"/>
  </r>
  <r>
    <x v="9"/>
    <n v="5.21"/>
  </r>
  <r>
    <x v="9"/>
    <n v="635.71600000000001"/>
  </r>
  <r>
    <x v="9"/>
    <n v="5.96"/>
  </r>
  <r>
    <x v="9"/>
    <n v="32.323999999999998"/>
  </r>
  <r>
    <x v="2"/>
    <n v="3.0350000000000001"/>
  </r>
  <r>
    <x v="2"/>
    <n v="10732.69"/>
  </r>
  <r>
    <x v="2"/>
    <n v="109.94799999999999"/>
  </r>
  <r>
    <x v="2"/>
    <n v="72.756"/>
  </r>
  <r>
    <x v="2"/>
    <n v="17985.328000000001"/>
  </r>
  <r>
    <x v="6"/>
    <n v="18.611000000000001"/>
  </r>
  <r>
    <x v="9"/>
    <n v="47.057000000000002"/>
  </r>
  <r>
    <x v="9"/>
    <n v="591.92700000000002"/>
  </r>
  <r>
    <x v="4"/>
    <n v="303.70800000000003"/>
  </r>
  <r>
    <x v="2"/>
    <n v="175.41200000000001"/>
  </r>
  <r>
    <x v="2"/>
    <n v="6.0090000000000003"/>
  </r>
  <r>
    <x v="2"/>
    <n v="87.561000000000007"/>
  </r>
  <r>
    <x v="2"/>
    <n v="490.464"/>
  </r>
  <r>
    <x v="9"/>
    <n v="29.16"/>
  </r>
  <r>
    <x v="9"/>
    <n v="259.71800000000002"/>
  </r>
  <r>
    <x v="2"/>
    <n v="25.291"/>
  </r>
  <r>
    <x v="2"/>
    <n v="3.0249999999999999"/>
  </r>
  <r>
    <x v="2"/>
    <n v="2.3340000000000001"/>
  </r>
  <r>
    <x v="6"/>
    <n v="499.572"/>
  </r>
  <r>
    <x v="2"/>
    <n v="266.86599999999999"/>
  </r>
  <r>
    <x v="2"/>
    <n v="5970.4650000000001"/>
  </r>
  <r>
    <x v="2"/>
    <n v="185.37799999999999"/>
  </r>
  <r>
    <x v="2"/>
    <n v="48.704000000000001"/>
  </r>
  <r>
    <x v="9"/>
    <n v="187.678"/>
  </r>
  <r>
    <x v="6"/>
    <n v="2079.9549999999999"/>
  </r>
  <r>
    <x v="16"/>
    <n v="275.37700000000001"/>
  </r>
  <r>
    <x v="1"/>
    <n v="8.0749999999999993"/>
  </r>
  <r>
    <x v="2"/>
    <n v="6.0369999999999999"/>
  </r>
  <r>
    <x v="9"/>
    <n v="78.680999999999997"/>
  </r>
  <r>
    <x v="2"/>
    <n v="376.15"/>
  </r>
  <r>
    <x v="9"/>
    <n v="27.79"/>
  </r>
  <r>
    <x v="2"/>
    <n v="265.61799999999999"/>
  </r>
  <r>
    <x v="9"/>
    <n v="19.963000000000001"/>
  </r>
  <r>
    <x v="16"/>
    <n v="364.35199999999998"/>
  </r>
  <r>
    <x v="2"/>
    <n v="24.437999999999999"/>
  </r>
  <r>
    <x v="2"/>
    <n v="1965.9760000000001"/>
  </r>
  <r>
    <x v="16"/>
    <n v="3.1419999999999999"/>
  </r>
  <r>
    <x v="2"/>
    <n v="70.376999999999995"/>
  </r>
  <r>
    <x v="11"/>
    <n v="3.5259999999999998"/>
  </r>
  <r>
    <x v="2"/>
    <n v="4370.6360000000004"/>
  </r>
  <r>
    <x v="9"/>
    <n v="14.981"/>
  </r>
  <r>
    <x v="2"/>
    <n v="1571.37"/>
  </r>
  <r>
    <x v="2"/>
    <n v="903.90499999999997"/>
  </r>
  <r>
    <x v="2"/>
    <n v="238.197"/>
  </r>
  <r>
    <x v="11"/>
    <n v="2709.0039999999999"/>
  </r>
  <r>
    <x v="2"/>
    <n v="76.894000000000005"/>
  </r>
  <r>
    <x v="16"/>
    <n v="81.881"/>
  </r>
  <r>
    <x v="2"/>
    <n v="1354.7829999999999"/>
  </r>
  <r>
    <x v="9"/>
    <n v="430.005"/>
  </r>
  <r>
    <x v="9"/>
    <n v="864.80399999999997"/>
  </r>
  <r>
    <x v="6"/>
    <n v="37.305999999999997"/>
  </r>
  <r>
    <x v="12"/>
    <n v="14.223000000000001"/>
  </r>
  <r>
    <x v="2"/>
    <n v="25525.958999999999"/>
  </r>
  <r>
    <x v="9"/>
    <n v="834.93299999999999"/>
  </r>
  <r>
    <x v="9"/>
    <n v="3.7690000000000001"/>
  </r>
  <r>
    <x v="2"/>
    <n v="55.012"/>
  </r>
  <r>
    <x v="2"/>
    <n v="877.28200000000004"/>
  </r>
  <r>
    <x v="9"/>
    <n v="74.858000000000004"/>
  </r>
  <r>
    <x v="6"/>
    <n v="313.39600000000002"/>
  </r>
  <r>
    <x v="9"/>
    <n v="475.36799999999999"/>
  </r>
  <r>
    <x v="19"/>
    <n v="2187.8229999999999"/>
  </r>
  <r>
    <x v="6"/>
    <n v="173.029"/>
  </r>
  <r>
    <x v="9"/>
    <n v="333.28300000000002"/>
  </r>
  <r>
    <x v="2"/>
    <n v="12624.210999999999"/>
  </r>
  <r>
    <x v="11"/>
    <n v="662.63699999999994"/>
  </r>
  <r>
    <x v="2"/>
    <n v="6840.3090000000002"/>
  </r>
  <r>
    <x v="11"/>
    <n v="479.06299999999999"/>
  </r>
  <r>
    <x v="2"/>
    <n v="21.05"/>
  </r>
  <r>
    <x v="6"/>
    <n v="57.466000000000001"/>
  </r>
  <r>
    <x v="9"/>
    <n v="62.08"/>
  </r>
  <r>
    <x v="2"/>
    <n v="8118.4769999999999"/>
  </r>
  <r>
    <x v="2"/>
    <n v="2198.5569999999998"/>
  </r>
  <r>
    <x v="6"/>
    <n v="63.835000000000001"/>
  </r>
  <r>
    <x v="19"/>
    <n v="1159.973"/>
  </r>
  <r>
    <x v="2"/>
    <n v="3483.0790000000002"/>
  </r>
  <r>
    <x v="2"/>
    <n v="836.13400000000001"/>
  </r>
  <r>
    <x v="9"/>
    <n v="15.913"/>
  </r>
  <r>
    <x v="9"/>
    <n v="140.53200000000001"/>
  </r>
  <r>
    <x v="2"/>
    <n v="629.10400000000004"/>
  </r>
  <r>
    <x v="9"/>
    <n v="6989.9970000000003"/>
  </r>
  <r>
    <x v="11"/>
    <n v="698.87"/>
  </r>
  <r>
    <x v="3"/>
    <n v="882.61300000000006"/>
  </r>
  <r>
    <x v="2"/>
    <n v="106.08799999999999"/>
  </r>
  <r>
    <x v="2"/>
    <n v="81.938999999999993"/>
  </r>
  <r>
    <x v="11"/>
    <n v="39.774000000000001"/>
  </r>
  <r>
    <x v="9"/>
    <n v="13.423999999999999"/>
  </r>
  <r>
    <x v="2"/>
    <n v="43594.383000000002"/>
  </r>
  <r>
    <x v="2"/>
    <n v="91.634"/>
  </r>
  <r>
    <x v="2"/>
    <n v="2512.069"/>
  </r>
  <r>
    <x v="2"/>
    <n v="4.585"/>
  </r>
  <r>
    <x v="2"/>
    <n v="205.886"/>
  </r>
  <r>
    <x v="17"/>
    <n v="38.688000000000002"/>
  </r>
  <r>
    <x v="2"/>
    <n v="111.661"/>
  </r>
  <r>
    <x v="2"/>
    <n v="247.75"/>
  </r>
  <r>
    <x v="9"/>
    <n v="589.97500000000002"/>
  </r>
  <r>
    <x v="6"/>
    <n v="1.042"/>
  </r>
  <r>
    <x v="9"/>
    <n v="387.024"/>
  </r>
  <r>
    <x v="11"/>
    <n v="263.09899999999999"/>
  </r>
  <r>
    <x v="2"/>
    <n v="166.01400000000001"/>
  </r>
  <r>
    <x v="2"/>
    <n v="104.514"/>
  </r>
  <r>
    <x v="9"/>
    <n v="1.1719999999999999"/>
  </r>
  <r>
    <x v="9"/>
    <n v="117.64700000000001"/>
  </r>
  <r>
    <x v="2"/>
    <n v="406.49900000000002"/>
  </r>
  <r>
    <x v="2"/>
    <n v="49.170999999999999"/>
  </r>
  <r>
    <x v="6"/>
    <n v="9.3859999999999992"/>
  </r>
  <r>
    <x v="12"/>
    <n v="22.914999999999999"/>
  </r>
  <r>
    <x v="2"/>
    <n v="185.34200000000001"/>
  </r>
  <r>
    <x v="9"/>
    <n v="941.42399999999998"/>
  </r>
  <r>
    <x v="2"/>
    <n v="801.197"/>
  </r>
  <r>
    <x v="2"/>
    <n v="22.792000000000002"/>
  </r>
  <r>
    <x v="2"/>
    <n v="48.075000000000003"/>
  </r>
  <r>
    <x v="2"/>
    <n v="6.18"/>
  </r>
  <r>
    <x v="2"/>
    <n v="14804.126"/>
  </r>
  <r>
    <x v="2"/>
    <n v="170.66200000000001"/>
  </r>
  <r>
    <x v="9"/>
    <n v="393.21100000000001"/>
  </r>
  <r>
    <x v="2"/>
    <n v="5876.665"/>
  </r>
  <r>
    <x v="9"/>
    <n v="2170.9380000000001"/>
  </r>
  <r>
    <x v="2"/>
    <n v="28831.77"/>
  </r>
  <r>
    <x v="2"/>
    <n v="366.01799999999997"/>
  </r>
  <r>
    <x v="2"/>
    <n v="357.85300000000001"/>
  </r>
  <r>
    <x v="2"/>
    <n v="103.199"/>
  </r>
  <r>
    <x v="2"/>
    <n v="115.557"/>
  </r>
  <r>
    <x v="6"/>
    <n v="196.46700000000001"/>
  </r>
  <r>
    <x v="4"/>
    <n v="224.80199999999999"/>
  </r>
  <r>
    <x v="9"/>
    <n v="254.88"/>
  </r>
  <r>
    <x v="2"/>
    <n v="1837.222"/>
  </r>
  <r>
    <x v="9"/>
    <n v="655.4"/>
  </r>
  <r>
    <x v="2"/>
    <n v="90.418999999999997"/>
  </r>
  <r>
    <x v="9"/>
    <n v="2687.74"/>
  </r>
  <r>
    <x v="4"/>
    <n v="115.108"/>
  </r>
  <r>
    <x v="2"/>
    <n v="28.803000000000001"/>
  </r>
  <r>
    <x v="16"/>
    <n v="5.54"/>
  </r>
  <r>
    <x v="4"/>
    <n v="79.593999999999994"/>
  </r>
  <r>
    <x v="11"/>
    <n v="40.656999999999996"/>
  </r>
  <r>
    <x v="9"/>
    <n v="54.037999999999997"/>
  </r>
  <r>
    <x v="2"/>
    <n v="29.04"/>
  </r>
  <r>
    <x v="6"/>
    <n v="5488.7820000000002"/>
  </r>
  <r>
    <x v="2"/>
    <n v="1179.4390000000001"/>
  </r>
  <r>
    <x v="9"/>
    <n v="255.36600000000001"/>
  </r>
  <r>
    <x v="9"/>
    <n v="312.56"/>
  </r>
  <r>
    <x v="2"/>
    <n v="4.8630000000000004"/>
  </r>
  <r>
    <x v="6"/>
    <n v="18.91"/>
  </r>
  <r>
    <x v="9"/>
    <n v="268.113"/>
  </r>
  <r>
    <x v="16"/>
    <m/>
  </r>
  <r>
    <x v="9"/>
    <n v="150.96799999999999"/>
  </r>
  <r>
    <x v="6"/>
    <n v="4588.1279999999997"/>
  </r>
  <r>
    <x v="2"/>
    <n v="2618.4389999999999"/>
  </r>
  <r>
    <x v="2"/>
    <n v="178.47900000000001"/>
  </r>
  <r>
    <x v="19"/>
    <n v="48.121000000000002"/>
  </r>
  <r>
    <x v="2"/>
    <n v="123.09399999999999"/>
  </r>
  <r>
    <x v="2"/>
    <n v="290.46100000000001"/>
  </r>
  <r>
    <x v="2"/>
    <n v="1466.7750000000001"/>
  </r>
  <r>
    <x v="2"/>
    <n v="431.76400000000001"/>
  </r>
  <r>
    <x v="2"/>
    <n v="122.334"/>
  </r>
  <r>
    <x v="9"/>
    <n v="1018.8049999999999"/>
  </r>
  <r>
    <x v="9"/>
    <m/>
  </r>
  <r>
    <x v="16"/>
    <n v="36.115000000000002"/>
  </r>
  <r>
    <x v="2"/>
    <n v="154.374"/>
  </r>
  <r>
    <x v="16"/>
    <n v="8.7129999999999992"/>
  </r>
  <r>
    <x v="2"/>
    <n v="17258.633000000002"/>
  </r>
  <r>
    <x v="2"/>
    <n v="300.72500000000002"/>
  </r>
  <r>
    <x v="2"/>
    <n v="60.52"/>
  </r>
  <r>
    <x v="2"/>
    <n v="834.63499999999999"/>
  </r>
  <r>
    <x v="2"/>
    <n v="142.429"/>
  </r>
  <r>
    <x v="2"/>
    <n v="192.559"/>
  </r>
  <r>
    <x v="9"/>
    <n v="187.89099999999999"/>
  </r>
  <r>
    <x v="9"/>
    <n v="118.387"/>
  </r>
  <r>
    <x v="2"/>
    <n v="77.230999999999995"/>
  </r>
  <r>
    <x v="9"/>
    <n v="107.249"/>
  </r>
  <r>
    <x v="2"/>
    <n v="531.976"/>
  </r>
  <r>
    <x v="2"/>
    <n v="17.53"/>
  </r>
  <r>
    <x v="2"/>
    <n v="56.968000000000004"/>
  </r>
  <r>
    <x v="3"/>
    <m/>
  </r>
  <r>
    <x v="3"/>
    <n v="2017.8979999999999"/>
  </r>
  <r>
    <x v="9"/>
    <n v="71.605999999999995"/>
  </r>
  <r>
    <x v="3"/>
    <n v="1497.626"/>
  </r>
  <r>
    <x v="2"/>
    <n v="1346.7070000000001"/>
  </r>
  <r>
    <x v="11"/>
    <n v="2604.46"/>
  </r>
  <r>
    <x v="2"/>
    <n v="17.460999999999999"/>
  </r>
  <r>
    <x v="2"/>
    <n v="202.441"/>
  </r>
  <r>
    <x v="4"/>
    <n v="312.73700000000002"/>
  </r>
  <r>
    <x v="9"/>
    <n v="49.505000000000003"/>
  </r>
  <r>
    <x v="9"/>
    <n v="71.037000000000006"/>
  </r>
  <r>
    <x v="2"/>
    <n v="323.47500000000002"/>
  </r>
  <r>
    <x v="2"/>
    <n v="1598.1389999999999"/>
  </r>
  <r>
    <x v="9"/>
    <n v="10.837999999999999"/>
  </r>
  <r>
    <x v="9"/>
    <n v="986.29600000000005"/>
  </r>
  <r>
    <x v="2"/>
    <n v="6499.3869999999997"/>
  </r>
  <r>
    <x v="9"/>
    <n v="23.911000000000001"/>
  </r>
  <r>
    <x v="9"/>
    <n v="163.39099999999999"/>
  </r>
  <r>
    <x v="2"/>
    <n v="34.161000000000001"/>
  </r>
  <r>
    <x v="4"/>
    <n v="15.419"/>
  </r>
  <r>
    <x v="2"/>
    <n v="583.32600000000002"/>
  </r>
  <r>
    <x v="6"/>
    <n v="365.91699999999997"/>
  </r>
  <r>
    <x v="3"/>
    <n v="142.26499999999999"/>
  </r>
  <r>
    <x v="2"/>
    <n v="5.99"/>
  </r>
  <r>
    <x v="9"/>
    <n v="66.462999999999994"/>
  </r>
  <r>
    <x v="9"/>
    <n v="209.84100000000001"/>
  </r>
  <r>
    <x v="2"/>
    <n v="4520.0379999999996"/>
  </r>
  <r>
    <x v="9"/>
    <n v="195.84800000000001"/>
  </r>
  <r>
    <x v="2"/>
    <n v="16649.666000000001"/>
  </r>
  <r>
    <x v="2"/>
    <n v="33.47"/>
  </r>
  <r>
    <x v="2"/>
    <n v="16903.787"/>
  </r>
  <r>
    <x v="2"/>
    <n v="7.4269999999999996"/>
  </r>
  <r>
    <x v="9"/>
    <m/>
  </r>
  <r>
    <x v="2"/>
    <n v="2599.451"/>
  </r>
  <r>
    <x v="9"/>
    <n v="27.361000000000001"/>
  </r>
  <r>
    <x v="19"/>
    <n v="363.62700000000001"/>
  </r>
  <r>
    <x v="9"/>
    <n v="4.5609999999999999"/>
  </r>
  <r>
    <x v="2"/>
    <n v="82.614000000000004"/>
  </r>
  <r>
    <x v="9"/>
    <n v="937.55"/>
  </r>
  <r>
    <x v="2"/>
    <n v="152.15"/>
  </r>
  <r>
    <x v="1"/>
    <n v="1448.5219999999999"/>
  </r>
  <r>
    <x v="2"/>
    <n v="9677.1820000000007"/>
  </r>
  <r>
    <x v="2"/>
    <n v="42.506999999999998"/>
  </r>
  <r>
    <x v="19"/>
    <n v="669.93899999999996"/>
  </r>
  <r>
    <x v="9"/>
    <n v="46.027000000000001"/>
  </r>
  <r>
    <x v="11"/>
    <n v="4154.2330000000002"/>
  </r>
  <r>
    <x v="2"/>
    <n v="550.04899999999998"/>
  </r>
  <r>
    <x v="6"/>
    <n v="41.956000000000003"/>
  </r>
  <r>
    <x v="2"/>
    <n v="96.67"/>
  </r>
  <r>
    <x v="2"/>
    <n v="150.602"/>
  </r>
  <r>
    <x v="28"/>
    <n v="6.9420000000000002"/>
  </r>
  <r>
    <x v="3"/>
    <n v="3153.6869999999999"/>
  </r>
  <r>
    <x v="1"/>
    <n v="32.006999999999998"/>
  </r>
  <r>
    <x v="19"/>
    <n v="70.938999999999993"/>
  </r>
  <r>
    <x v="16"/>
    <n v="10.268000000000001"/>
  </r>
  <r>
    <x v="19"/>
    <n v="538.29600000000005"/>
  </r>
  <r>
    <x v="6"/>
    <n v="1394.15"/>
  </r>
  <r>
    <x v="16"/>
    <n v="8.94"/>
  </r>
  <r>
    <x v="6"/>
    <n v="166.62700000000001"/>
  </r>
  <r>
    <x v="2"/>
    <n v="2729.277"/>
  </r>
  <r>
    <x v="2"/>
    <n v="174.09200000000001"/>
  </r>
  <r>
    <x v="9"/>
    <n v="117.581"/>
  </r>
  <r>
    <x v="2"/>
    <n v="5338.4059999999999"/>
  </r>
  <r>
    <x v="9"/>
    <n v="245.60400000000001"/>
  </r>
  <r>
    <x v="2"/>
    <n v="613.84199999999998"/>
  </r>
  <r>
    <x v="2"/>
    <n v="116.11199999999999"/>
  </r>
  <r>
    <x v="2"/>
    <n v="12.743"/>
  </r>
  <r>
    <x v="16"/>
    <n v="6.8339999999999996"/>
  </r>
  <r>
    <x v="9"/>
    <n v="957.83500000000004"/>
  </r>
  <r>
    <x v="11"/>
    <n v="128.22499999999999"/>
  </r>
  <r>
    <x v="2"/>
    <n v="444.07600000000002"/>
  </r>
  <r>
    <x v="2"/>
    <n v="239.8"/>
  </r>
  <r>
    <x v="17"/>
    <n v="130.523"/>
  </r>
  <r>
    <x v="28"/>
    <n v="203.11"/>
  </r>
  <r>
    <x v="6"/>
    <n v="3845.4569999999999"/>
  </r>
  <r>
    <x v="9"/>
    <n v="101.443"/>
  </r>
  <r>
    <x v="3"/>
    <n v="2864.9110000000001"/>
  </r>
  <r>
    <x v="2"/>
    <n v="2954.7829999999999"/>
  </r>
  <r>
    <x v="19"/>
    <n v="899.30600000000004"/>
  </r>
  <r>
    <x v="2"/>
    <n v="337.97899999999998"/>
  </r>
  <r>
    <x v="2"/>
    <n v="139.999"/>
  </r>
  <r>
    <x v="2"/>
    <n v="26.36"/>
  </r>
  <r>
    <x v="11"/>
    <n v="83.161000000000001"/>
  </r>
  <r>
    <x v="9"/>
    <n v="933.60699999999997"/>
  </r>
  <r>
    <x v="19"/>
    <n v="5.8869999999999996"/>
  </r>
  <r>
    <x v="28"/>
    <n v="826.68100000000004"/>
  </r>
  <r>
    <x v="9"/>
    <n v="229.846"/>
  </r>
  <r>
    <x v="4"/>
    <n v="58.817999999999998"/>
  </r>
  <r>
    <x v="11"/>
    <n v="184.96899999999999"/>
  </r>
  <r>
    <x v="6"/>
    <n v="143.05500000000001"/>
  </r>
  <r>
    <x v="2"/>
    <n v="13735.162"/>
  </r>
  <r>
    <x v="6"/>
    <n v="100.90600000000001"/>
  </r>
  <r>
    <x v="16"/>
    <n v="82.236999999999995"/>
  </r>
  <r>
    <x v="11"/>
    <n v="10.204000000000001"/>
  </r>
  <r>
    <x v="6"/>
    <n v="121.928"/>
  </r>
  <r>
    <x v="28"/>
    <n v="73.819999999999993"/>
  </r>
  <r>
    <x v="2"/>
    <n v="2298.502"/>
  </r>
  <r>
    <x v="2"/>
    <n v="37.061"/>
  </r>
  <r>
    <x v="2"/>
    <n v="50.075000000000003"/>
  </r>
  <r>
    <x v="2"/>
    <n v="204.547"/>
  </r>
  <r>
    <x v="28"/>
    <n v="6.4630000000000001"/>
  </r>
  <r>
    <x v="28"/>
    <n v="57.704000000000001"/>
  </r>
  <r>
    <x v="19"/>
    <n v="15.45"/>
  </r>
  <r>
    <x v="19"/>
    <n v="742.48599999999999"/>
  </r>
  <r>
    <x v="1"/>
    <n v="34.741"/>
  </r>
  <r>
    <x v="11"/>
    <n v="148.20599999999999"/>
  </r>
  <r>
    <x v="9"/>
    <m/>
  </r>
  <r>
    <x v="4"/>
    <n v="20.689"/>
  </r>
  <r>
    <x v="9"/>
    <n v="9.6370000000000005"/>
  </r>
  <r>
    <x v="9"/>
    <n v="72.247"/>
  </r>
  <r>
    <x v="11"/>
    <n v="215.279"/>
  </r>
  <r>
    <x v="2"/>
    <n v="13.715"/>
  </r>
  <r>
    <x v="2"/>
    <n v="193.78700000000001"/>
  </r>
  <r>
    <x v="9"/>
    <n v="123.622"/>
  </r>
  <r>
    <x v="28"/>
    <n v="3.6909999999999998"/>
  </r>
  <r>
    <x v="2"/>
    <n v="6108.5150000000003"/>
  </r>
  <r>
    <x v="9"/>
    <n v="117.879"/>
  </r>
  <r>
    <x v="9"/>
    <n v="166.32499999999999"/>
  </r>
  <r>
    <x v="2"/>
    <n v="10.032999999999999"/>
  </r>
  <r>
    <x v="2"/>
    <n v="617.61599999999999"/>
  </r>
  <r>
    <x v="9"/>
    <n v="57.429000000000002"/>
  </r>
  <r>
    <x v="2"/>
    <n v="178.142"/>
  </r>
  <r>
    <x v="6"/>
    <n v="149.102"/>
  </r>
  <r>
    <x v="2"/>
    <n v="2211.0320000000002"/>
  </r>
  <r>
    <x v="2"/>
    <n v="65.462000000000003"/>
  </r>
  <r>
    <x v="2"/>
    <n v="181.56200000000001"/>
  </r>
  <r>
    <x v="2"/>
    <n v="1358.2809999999999"/>
  </r>
  <r>
    <x v="19"/>
    <n v="10.772"/>
  </r>
  <r>
    <x v="2"/>
    <n v="16.529"/>
  </r>
  <r>
    <x v="2"/>
    <n v="300.89800000000002"/>
  </r>
  <r>
    <x v="11"/>
    <n v="17.882999999999999"/>
  </r>
  <r>
    <x v="6"/>
    <n v="2715.8270000000002"/>
  </r>
  <r>
    <x v="9"/>
    <n v="47.438000000000002"/>
  </r>
  <r>
    <x v="2"/>
    <n v="22.515000000000001"/>
  </r>
  <r>
    <x v="28"/>
    <n v="13.035"/>
  </r>
  <r>
    <x v="2"/>
    <n v="3569.1849999999999"/>
  </r>
  <r>
    <x v="2"/>
    <n v="7.5039999999999996"/>
  </r>
  <r>
    <x v="6"/>
    <n v="32.119999999999997"/>
  </r>
  <r>
    <x v="6"/>
    <n v="2567.6999999999998"/>
  </r>
  <r>
    <x v="9"/>
    <n v="291.38499999999999"/>
  </r>
  <r>
    <x v="19"/>
    <n v="1813.4880000000001"/>
  </r>
  <r>
    <x v="11"/>
    <n v="2054.8649999999998"/>
  </r>
  <r>
    <x v="6"/>
    <n v="226.67699999999999"/>
  </r>
  <r>
    <x v="6"/>
    <n v="880.61300000000006"/>
  </r>
  <r>
    <x v="2"/>
    <n v="1727.5609999999999"/>
  </r>
  <r>
    <x v="6"/>
    <n v="366.53300000000002"/>
  </r>
  <r>
    <x v="2"/>
    <n v="24106.471000000001"/>
  </r>
  <r>
    <x v="3"/>
    <m/>
  </r>
  <r>
    <x v="2"/>
    <n v="387.11500000000001"/>
  </r>
  <r>
    <x v="2"/>
    <n v="7.4169999999999998"/>
  </r>
  <r>
    <x v="9"/>
    <n v="462.23599999999999"/>
  </r>
  <r>
    <x v="2"/>
    <n v="2778.0129999999999"/>
  </r>
  <r>
    <x v="2"/>
    <n v="68.504000000000005"/>
  </r>
  <r>
    <x v="2"/>
    <n v="34.548999999999999"/>
  </r>
  <r>
    <x v="2"/>
    <n v="786.26800000000003"/>
  </r>
  <r>
    <x v="2"/>
    <n v="1.502"/>
  </r>
  <r>
    <x v="2"/>
    <n v="27.594000000000001"/>
  </r>
  <r>
    <x v="9"/>
    <n v="52.381"/>
  </r>
  <r>
    <x v="9"/>
    <n v="610.79700000000003"/>
  </r>
  <r>
    <x v="2"/>
    <n v="15.898"/>
  </r>
  <r>
    <x v="3"/>
    <n v="1792.635"/>
  </r>
  <r>
    <x v="2"/>
    <n v="6111.2240000000002"/>
  </r>
  <r>
    <x v="2"/>
    <n v="6806.8590000000004"/>
  </r>
  <r>
    <x v="6"/>
    <n v="48.698999999999998"/>
  </r>
  <r>
    <x v="9"/>
    <n v="417.79199999999997"/>
  </r>
  <r>
    <x v="3"/>
    <n v="530.67399999999998"/>
  </r>
  <r>
    <x v="9"/>
    <n v="46.475000000000001"/>
  </r>
  <r>
    <x v="6"/>
    <n v="201.73500000000001"/>
  </r>
  <r>
    <x v="2"/>
    <n v="22.405999999999999"/>
  </r>
  <r>
    <x v="2"/>
    <n v="866.59"/>
  </r>
  <r>
    <x v="3"/>
    <n v="1892.1590000000001"/>
  </r>
  <r>
    <x v="9"/>
    <n v="251.072"/>
  </r>
  <r>
    <x v="24"/>
    <n v="61.575000000000003"/>
  </r>
  <r>
    <x v="19"/>
    <n v="1042.6969999999999"/>
  </r>
  <r>
    <x v="6"/>
    <n v="2514.9659999999999"/>
  </r>
  <r>
    <x v="2"/>
    <n v="89.19"/>
  </r>
  <r>
    <x v="2"/>
    <n v="14835.406999999999"/>
  </r>
  <r>
    <x v="2"/>
    <n v="17.300999999999998"/>
  </r>
  <r>
    <x v="2"/>
    <n v="16230.572"/>
  </r>
  <r>
    <x v="6"/>
    <n v="146.03399999999999"/>
  </r>
  <r>
    <x v="2"/>
    <n v="1964.5250000000001"/>
  </r>
  <r>
    <x v="2"/>
    <n v="3.5489999999999999"/>
  </r>
  <r>
    <x v="2"/>
    <n v="7703.0529999999999"/>
  </r>
  <r>
    <x v="11"/>
    <n v="176.27199999999999"/>
  </r>
  <r>
    <x v="2"/>
    <n v="58.587000000000003"/>
  </r>
  <r>
    <x v="2"/>
    <n v="12.882999999999999"/>
  </r>
  <r>
    <x v="2"/>
    <n v="68.712999999999994"/>
  </r>
  <r>
    <x v="11"/>
    <n v="2826.348"/>
  </r>
  <r>
    <x v="16"/>
    <n v="116.117"/>
  </r>
  <r>
    <x v="2"/>
    <n v="135.32900000000001"/>
  </r>
  <r>
    <x v="2"/>
    <n v="1332.8779999999999"/>
  </r>
  <r>
    <x v="3"/>
    <n v="3555.6190000000001"/>
  </r>
  <r>
    <x v="19"/>
    <n v="135.78200000000001"/>
  </r>
  <r>
    <x v="17"/>
    <n v="36.823999999999998"/>
  </r>
  <r>
    <x v="2"/>
    <n v="42.609000000000002"/>
  </r>
  <r>
    <x v="3"/>
    <n v="1878.537"/>
  </r>
  <r>
    <x v="6"/>
    <n v="2701.2440000000001"/>
  </r>
  <r>
    <x v="16"/>
    <n v="1.587"/>
  </r>
  <r>
    <x v="2"/>
    <n v="908.90599999999995"/>
  </r>
  <r>
    <x v="2"/>
    <n v="344.05700000000002"/>
  </r>
  <r>
    <x v="2"/>
    <n v="156.23400000000001"/>
  </r>
  <r>
    <x v="16"/>
    <n v="44.664999999999999"/>
  </r>
  <r>
    <x v="2"/>
    <n v="75.747"/>
  </r>
  <r>
    <x v="2"/>
    <n v="39.506"/>
  </r>
  <r>
    <x v="16"/>
    <n v="36.923999999999999"/>
  </r>
  <r>
    <x v="9"/>
    <n v="33.887"/>
  </r>
  <r>
    <x v="2"/>
    <n v="43.238999999999997"/>
  </r>
  <r>
    <x v="9"/>
    <n v="85.242000000000004"/>
  </r>
  <r>
    <x v="2"/>
    <n v="599.01499999999999"/>
  </r>
  <r>
    <x v="6"/>
    <n v="143.37299999999999"/>
  </r>
  <r>
    <x v="2"/>
    <n v="3276.0070000000001"/>
  </r>
  <r>
    <x v="2"/>
    <n v="966.98599999999999"/>
  </r>
  <r>
    <x v="2"/>
    <n v="243.785"/>
  </r>
  <r>
    <x v="2"/>
    <n v="1728.7380000000001"/>
  </r>
  <r>
    <x v="1"/>
    <n v="55.771000000000001"/>
  </r>
  <r>
    <x v="2"/>
    <n v="6.2560000000000002"/>
  </r>
  <r>
    <x v="15"/>
    <n v="352.80599999999998"/>
  </r>
  <r>
    <x v="28"/>
    <n v="2.738"/>
  </r>
  <r>
    <x v="16"/>
    <n v="25.716999999999999"/>
  </r>
  <r>
    <x v="2"/>
    <n v="157.36000000000001"/>
  </r>
  <r>
    <x v="9"/>
    <n v="854.04200000000003"/>
  </r>
  <r>
    <x v="9"/>
    <n v="1884.104"/>
  </r>
  <r>
    <x v="2"/>
    <n v="30.12"/>
  </r>
  <r>
    <x v="9"/>
    <n v="71.921999999999997"/>
  </r>
  <r>
    <x v="11"/>
    <n v="566.09199999999998"/>
  </r>
  <r>
    <x v="2"/>
    <n v="32.994999999999997"/>
  </r>
  <r>
    <x v="16"/>
    <n v="2.008"/>
  </r>
  <r>
    <x v="6"/>
    <n v="254.06800000000001"/>
  </r>
  <r>
    <x v="2"/>
    <n v="168.20099999999999"/>
  </r>
  <r>
    <x v="16"/>
    <n v="25.879000000000001"/>
  </r>
  <r>
    <x v="2"/>
    <n v="67.076999999999998"/>
  </r>
  <r>
    <x v="2"/>
    <n v="3442.489"/>
  </r>
  <r>
    <x v="2"/>
    <n v="199.85300000000001"/>
  </r>
  <r>
    <x v="19"/>
    <n v="48.786000000000001"/>
  </r>
  <r>
    <x v="2"/>
    <n v="260.47399999999999"/>
  </r>
  <r>
    <x v="2"/>
    <n v="1580.2239999999999"/>
  </r>
  <r>
    <x v="2"/>
    <n v="348.18099999999998"/>
  </r>
  <r>
    <x v="19"/>
    <n v="257.916"/>
  </r>
  <r>
    <x v="2"/>
    <n v="300.68400000000003"/>
  </r>
  <r>
    <x v="16"/>
    <n v="58.786999999999999"/>
  </r>
  <r>
    <x v="9"/>
    <n v="23.600999999999999"/>
  </r>
  <r>
    <x v="2"/>
    <n v="183.11"/>
  </r>
  <r>
    <x v="6"/>
    <n v="265.39800000000002"/>
  </r>
  <r>
    <x v="6"/>
    <n v="350.21600000000001"/>
  </r>
  <r>
    <x v="6"/>
    <n v="107.428"/>
  </r>
  <r>
    <x v="6"/>
    <n v="437.959"/>
  </r>
  <r>
    <x v="1"/>
    <n v="125.39"/>
  </r>
  <r>
    <x v="6"/>
    <n v="58.832999999999998"/>
  </r>
  <r>
    <x v="2"/>
    <n v="21742.33"/>
  </r>
  <r>
    <x v="6"/>
    <n v="910.49300000000005"/>
  </r>
  <r>
    <x v="2"/>
    <n v="12.489000000000001"/>
  </r>
  <r>
    <x v="11"/>
    <n v="501.44099999999997"/>
  </r>
  <r>
    <x v="3"/>
    <n v="2980.415"/>
  </r>
  <r>
    <x v="9"/>
    <n v="150.95099999999999"/>
  </r>
  <r>
    <x v="2"/>
    <n v="56.869"/>
  </r>
  <r>
    <x v="6"/>
    <n v="2391.9679999999998"/>
  </r>
  <r>
    <x v="19"/>
    <n v="17.259"/>
  </r>
  <r>
    <x v="2"/>
    <n v="191.54499999999999"/>
  </r>
  <r>
    <x v="2"/>
    <n v="125.93899999999999"/>
  </r>
  <r>
    <x v="11"/>
    <n v="727.649"/>
  </r>
  <r>
    <x v="2"/>
    <n v="5.157"/>
  </r>
  <r>
    <x v="19"/>
    <n v="25.388000000000002"/>
  </r>
  <r>
    <x v="2"/>
    <n v="6402.4470000000001"/>
  </r>
  <r>
    <x v="2"/>
    <n v="6262.5029999999997"/>
  </r>
  <r>
    <x v="2"/>
    <n v="436.95699999999999"/>
  </r>
  <r>
    <x v="9"/>
    <m/>
  </r>
  <r>
    <x v="2"/>
    <n v="6876.1189999999997"/>
  </r>
  <r>
    <x v="2"/>
    <n v="36407.125"/>
  </r>
  <r>
    <x v="9"/>
    <n v="24.588999999999999"/>
  </r>
  <r>
    <x v="2"/>
    <n v="44.694000000000003"/>
  </r>
  <r>
    <x v="6"/>
    <n v="744.48"/>
  </r>
  <r>
    <x v="2"/>
    <n v="390.74299999999999"/>
  </r>
  <r>
    <x v="2"/>
    <n v="905.97699999999998"/>
  </r>
  <r>
    <x v="2"/>
    <n v="3319.63"/>
  </r>
  <r>
    <x v="11"/>
    <n v="520.48199999999997"/>
  </r>
  <r>
    <x v="6"/>
    <n v="31.794"/>
  </r>
  <r>
    <x v="2"/>
    <n v="9149.6550000000007"/>
  </r>
  <r>
    <x v="2"/>
    <n v="211.61500000000001"/>
  </r>
  <r>
    <x v="9"/>
    <n v="1021.133"/>
  </r>
  <r>
    <x v="2"/>
    <n v="2558.5309999999999"/>
  </r>
  <r>
    <x v="2"/>
    <n v="36.902000000000001"/>
  </r>
  <r>
    <x v="2"/>
    <n v="263.36599999999999"/>
  </r>
  <r>
    <x v="2"/>
    <n v="40869.160000000003"/>
  </r>
  <r>
    <x v="6"/>
    <n v="24.824999999999999"/>
  </r>
  <r>
    <x v="2"/>
    <n v="34.838000000000001"/>
  </r>
  <r>
    <x v="6"/>
    <n v="22.609000000000002"/>
  </r>
  <r>
    <x v="2"/>
    <n v="85.84"/>
  </r>
  <r>
    <x v="2"/>
    <n v="1404.153"/>
  </r>
  <r>
    <x v="6"/>
    <n v="1644.009"/>
  </r>
  <r>
    <x v="19"/>
    <n v="67.287000000000006"/>
  </r>
  <r>
    <x v="11"/>
    <n v="213.70500000000001"/>
  </r>
  <r>
    <x v="2"/>
    <n v="486.07600000000002"/>
  </r>
  <r>
    <x v="2"/>
    <n v="7328.1009999999997"/>
  </r>
  <r>
    <x v="2"/>
    <n v="670.56899999999996"/>
  </r>
  <r>
    <x v="2"/>
    <n v="115.68"/>
  </r>
  <r>
    <x v="9"/>
    <n v="197.65199999999999"/>
  </r>
  <r>
    <x v="4"/>
    <n v="77.305999999999997"/>
  </r>
  <r>
    <x v="2"/>
    <n v="310.137"/>
  </r>
  <r>
    <x v="7"/>
    <n v="19.417999999999999"/>
  </r>
  <r>
    <x v="2"/>
    <n v="132.99"/>
  </r>
  <r>
    <x v="2"/>
    <n v="239.66800000000001"/>
  </r>
  <r>
    <x v="3"/>
    <m/>
  </r>
  <r>
    <x v="2"/>
    <n v="111.61199999999999"/>
  </r>
  <r>
    <x v="2"/>
    <n v="1394.5139999999999"/>
  </r>
  <r>
    <x v="2"/>
    <n v="18.338000000000001"/>
  </r>
  <r>
    <x v="19"/>
    <n v="130.80799999999999"/>
  </r>
  <r>
    <x v="2"/>
    <n v="10077.924999999999"/>
  </r>
  <r>
    <x v="19"/>
    <n v="2503.83"/>
  </r>
  <r>
    <x v="9"/>
    <n v="7.4029999999999996"/>
  </r>
  <r>
    <x v="16"/>
    <n v="65.784000000000006"/>
  </r>
  <r>
    <x v="2"/>
    <n v="1313.258"/>
  </r>
  <r>
    <x v="2"/>
    <n v="1907.693"/>
  </r>
  <r>
    <x v="2"/>
    <n v="43.098999999999997"/>
  </r>
  <r>
    <x v="6"/>
    <n v="5826.2939999999999"/>
  </r>
  <r>
    <x v="2"/>
    <n v="48.918999999999997"/>
  </r>
  <r>
    <x v="2"/>
    <n v="10685.306"/>
  </r>
  <r>
    <x v="9"/>
    <m/>
  </r>
  <r>
    <x v="11"/>
    <n v="599.62599999999998"/>
  </r>
  <r>
    <x v="2"/>
    <n v="234.46700000000001"/>
  </r>
  <r>
    <x v="2"/>
    <n v="30.253"/>
  </r>
  <r>
    <x v="2"/>
    <n v="35096.586000000003"/>
  </r>
  <r>
    <x v="2"/>
    <n v="10.65"/>
  </r>
  <r>
    <x v="11"/>
    <n v="452.32400000000001"/>
  </r>
  <r>
    <x v="2"/>
    <n v="9707.35"/>
  </r>
  <r>
    <x v="2"/>
    <n v="194.90299999999999"/>
  </r>
  <r>
    <x v="6"/>
    <n v="438.62799999999999"/>
  </r>
  <r>
    <x v="9"/>
    <n v="21.712"/>
  </r>
  <r>
    <x v="9"/>
    <n v="1.4670000000000001"/>
  </r>
  <r>
    <x v="2"/>
    <n v="8628.2479999999996"/>
  </r>
  <r>
    <x v="6"/>
    <n v="106.047"/>
  </r>
  <r>
    <x v="2"/>
    <n v="70.929000000000002"/>
  </r>
  <r>
    <x v="2"/>
    <n v="73.936999999999998"/>
  </r>
  <r>
    <x v="2"/>
    <n v="133.79599999999999"/>
  </r>
  <r>
    <x v="11"/>
    <n v="595.95399999999995"/>
  </r>
  <r>
    <x v="2"/>
    <n v="2.282"/>
  </r>
  <r>
    <x v="2"/>
    <n v="339.56200000000001"/>
  </r>
  <r>
    <x v="2"/>
    <n v="12.127000000000001"/>
  </r>
  <r>
    <x v="6"/>
    <n v="184.95599999999999"/>
  </r>
  <r>
    <x v="2"/>
    <n v="9255.1059999999998"/>
  </r>
  <r>
    <x v="2"/>
    <n v="101.928"/>
  </r>
  <r>
    <x v="6"/>
    <n v="24.584"/>
  </r>
  <r>
    <x v="11"/>
    <n v="334.10399999999998"/>
  </r>
  <r>
    <x v="17"/>
    <n v="1.486"/>
  </r>
  <r>
    <x v="2"/>
    <n v="3954.721"/>
  </r>
  <r>
    <x v="2"/>
    <n v="72.975999999999999"/>
  </r>
  <r>
    <x v="2"/>
    <n v="50.435000000000002"/>
  </r>
  <r>
    <x v="9"/>
    <n v="94.391999999999996"/>
  </r>
  <r>
    <x v="2"/>
    <n v="6.28"/>
  </r>
  <r>
    <x v="2"/>
    <n v="99.614999999999995"/>
  </r>
  <r>
    <x v="2"/>
    <n v="635.49800000000005"/>
  </r>
  <r>
    <x v="11"/>
    <n v="743.93200000000002"/>
  </r>
  <r>
    <x v="6"/>
    <n v="2807.5859999999998"/>
  </r>
  <r>
    <x v="3"/>
    <n v="2196.1010000000001"/>
  </r>
  <r>
    <x v="2"/>
    <n v="150.12700000000001"/>
  </r>
  <r>
    <x v="2"/>
    <n v="9.9949999999999992"/>
  </r>
  <r>
    <x v="2"/>
    <n v="474.32600000000002"/>
  </r>
  <r>
    <x v="2"/>
    <n v="394.92700000000002"/>
  </r>
  <r>
    <x v="9"/>
    <n v="63.787999999999997"/>
  </r>
  <r>
    <x v="2"/>
    <n v="192.298"/>
  </r>
  <r>
    <x v="2"/>
    <n v="29.791"/>
  </r>
  <r>
    <x v="2"/>
    <n v="26.047000000000001"/>
  </r>
  <r>
    <x v="2"/>
    <n v="19.114999999999998"/>
  </r>
  <r>
    <x v="9"/>
    <n v="214.874"/>
  </r>
  <r>
    <x v="2"/>
    <n v="211.74600000000001"/>
  </r>
  <r>
    <x v="11"/>
    <n v="324.04500000000002"/>
  </r>
  <r>
    <x v="2"/>
    <n v="2360.0419999999999"/>
  </r>
  <r>
    <x v="4"/>
    <n v="409.00299999999999"/>
  </r>
  <r>
    <x v="9"/>
    <m/>
  </r>
  <r>
    <x v="2"/>
    <n v="808.90499999999997"/>
  </r>
  <r>
    <x v="6"/>
    <n v="195.19300000000001"/>
  </r>
  <r>
    <x v="9"/>
    <n v="871.83500000000004"/>
  </r>
  <r>
    <x v="2"/>
    <n v="22.913"/>
  </r>
  <r>
    <x v="1"/>
    <n v="30.771000000000001"/>
  </r>
  <r>
    <x v="2"/>
    <n v="14.531000000000001"/>
  </r>
  <r>
    <x v="2"/>
    <n v="1469.3320000000001"/>
  </r>
  <r>
    <x v="2"/>
    <n v="28.856999999999999"/>
  </r>
  <r>
    <x v="2"/>
    <n v="2366.2530000000002"/>
  </r>
  <r>
    <x v="19"/>
    <n v="764.71799999999996"/>
  </r>
  <r>
    <x v="2"/>
    <n v="800.03499999999997"/>
  </r>
  <r>
    <x v="2"/>
    <n v="1041.9849999999999"/>
  </r>
  <r>
    <x v="2"/>
    <n v="109.32299999999999"/>
  </r>
  <r>
    <x v="2"/>
    <n v="222.63800000000001"/>
  </r>
  <r>
    <x v="1"/>
    <n v="65.018000000000001"/>
  </r>
  <r>
    <x v="19"/>
    <n v="4.8819999999999997"/>
  </r>
  <r>
    <x v="2"/>
    <n v="39.384"/>
  </r>
  <r>
    <x v="9"/>
    <n v="24.248000000000001"/>
  </r>
  <r>
    <x v="11"/>
    <n v="25.32"/>
  </r>
  <r>
    <x v="2"/>
    <n v="84.072000000000003"/>
  </r>
  <r>
    <x v="6"/>
    <n v="2424.5590000000002"/>
  </r>
  <r>
    <x v="9"/>
    <n v="282.99099999999999"/>
  </r>
  <r>
    <x v="9"/>
    <n v="403.27800000000002"/>
  </r>
  <r>
    <x v="2"/>
    <n v="26.463999999999999"/>
  </r>
  <r>
    <x v="2"/>
    <n v="1367.2370000000001"/>
  </r>
  <r>
    <x v="2"/>
    <n v="206.971"/>
  </r>
  <r>
    <x v="2"/>
    <n v="210.78800000000001"/>
  </r>
  <r>
    <x v="11"/>
    <n v="3.621"/>
  </r>
  <r>
    <x v="2"/>
    <n v="567.99"/>
  </r>
  <r>
    <x v="16"/>
    <n v="31.870999999999999"/>
  </r>
  <r>
    <x v="19"/>
    <n v="30.561"/>
  </r>
  <r>
    <x v="2"/>
    <n v="72.024000000000001"/>
  </r>
  <r>
    <x v="11"/>
    <n v="80.436999999999998"/>
  </r>
  <r>
    <x v="6"/>
    <n v="185.7"/>
  </r>
  <r>
    <x v="16"/>
    <n v="106.07599999999999"/>
  </r>
  <r>
    <x v="2"/>
    <n v="18.004000000000001"/>
  </r>
  <r>
    <x v="2"/>
    <n v="1262.471"/>
  </r>
  <r>
    <x v="2"/>
    <n v="41.048000000000002"/>
  </r>
  <r>
    <x v="2"/>
    <n v="6.2460000000000004"/>
  </r>
  <r>
    <x v="2"/>
    <n v="654.05999999999995"/>
  </r>
  <r>
    <x v="2"/>
    <n v="2454.44"/>
  </r>
  <r>
    <x v="2"/>
    <n v="1567.9380000000001"/>
  </r>
  <r>
    <x v="1"/>
    <n v="144.99600000000001"/>
  </r>
  <r>
    <x v="2"/>
    <n v="42371.281000000003"/>
  </r>
  <r>
    <x v="16"/>
    <n v="36.049999999999997"/>
  </r>
  <r>
    <x v="2"/>
    <n v="314.88499999999999"/>
  </r>
  <r>
    <x v="11"/>
    <n v="5.6449999999999996"/>
  </r>
  <r>
    <x v="16"/>
    <n v="1.861"/>
  </r>
  <r>
    <x v="2"/>
    <n v="154.83000000000001"/>
  </r>
  <r>
    <x v="2"/>
    <n v="2888.7420000000002"/>
  </r>
  <r>
    <x v="2"/>
    <n v="9131.9240000000009"/>
  </r>
  <r>
    <x v="6"/>
    <n v="60.075000000000003"/>
  </r>
  <r>
    <x v="2"/>
    <n v="50.003"/>
  </r>
  <r>
    <x v="9"/>
    <n v="28.61"/>
  </r>
  <r>
    <x v="2"/>
    <n v="30.998999999999999"/>
  </r>
  <r>
    <x v="2"/>
    <n v="138345.65599999999"/>
  </r>
  <r>
    <x v="16"/>
    <n v="58.981999999999999"/>
  </r>
  <r>
    <x v="2"/>
    <n v="187.577"/>
  </r>
  <r>
    <x v="2"/>
    <n v="3.4359999999999999"/>
  </r>
  <r>
    <x v="2"/>
    <n v="50.189"/>
  </r>
  <r>
    <x v="2"/>
    <n v="51.179000000000002"/>
  </r>
  <r>
    <x v="2"/>
    <n v="70933.672000000006"/>
  </r>
  <r>
    <x v="2"/>
    <n v="25.085999999999999"/>
  </r>
  <r>
    <x v="3"/>
    <m/>
  </r>
  <r>
    <x v="2"/>
    <n v="16.390999999999998"/>
  </r>
  <r>
    <x v="11"/>
    <n v="13.238"/>
  </r>
  <r>
    <x v="9"/>
    <n v="211.071"/>
  </r>
  <r>
    <x v="2"/>
    <n v="1349.9690000000001"/>
  </r>
  <r>
    <x v="2"/>
    <n v="3.2570000000000001"/>
  </r>
  <r>
    <x v="2"/>
    <n v="20.501999999999999"/>
  </r>
  <r>
    <x v="19"/>
    <n v="2.4380000000000002"/>
  </r>
  <r>
    <x v="2"/>
    <n v="155.423"/>
  </r>
  <r>
    <x v="2"/>
    <n v="734.31399999999996"/>
  </r>
  <r>
    <x v="9"/>
    <n v="517.83600000000001"/>
  </r>
  <r>
    <x v="16"/>
    <n v="102.773"/>
  </r>
  <r>
    <x v="2"/>
    <n v="200.905"/>
  </r>
  <r>
    <x v="6"/>
    <n v="115.795"/>
  </r>
  <r>
    <x v="9"/>
    <n v="65.173000000000002"/>
  </r>
  <r>
    <x v="2"/>
    <n v="3993.4720000000002"/>
  </r>
  <r>
    <x v="2"/>
    <n v="115.337"/>
  </r>
  <r>
    <x v="2"/>
    <n v="0.874"/>
  </r>
  <r>
    <x v="6"/>
    <n v="367.77699999999999"/>
  </r>
  <r>
    <x v="6"/>
    <n v="131.87"/>
  </r>
  <r>
    <x v="11"/>
    <n v="416.84300000000002"/>
  </r>
  <r>
    <x v="1"/>
    <n v="102.48699999999999"/>
  </r>
  <r>
    <x v="2"/>
    <n v="1782.807"/>
  </r>
  <r>
    <x v="2"/>
    <n v="9.5500000000000007"/>
  </r>
  <r>
    <x v="2"/>
    <n v="10300.621999999999"/>
  </r>
  <r>
    <x v="6"/>
    <n v="3753.4169999999999"/>
  </r>
  <r>
    <x v="6"/>
    <n v="448.82600000000002"/>
  </r>
  <r>
    <x v="2"/>
    <n v="43.143000000000001"/>
  </r>
  <r>
    <x v="16"/>
    <n v="70.349999999999994"/>
  </r>
  <r>
    <x v="2"/>
    <n v="868.64"/>
  </r>
  <r>
    <x v="2"/>
    <n v="17657.16"/>
  </r>
  <r>
    <x v="6"/>
    <n v="5030.6790000000001"/>
  </r>
  <r>
    <x v="1"/>
    <n v="213.529"/>
  </r>
  <r>
    <x v="2"/>
    <n v="7.4539999999999997"/>
  </r>
  <r>
    <x v="19"/>
    <n v="3.8460000000000001"/>
  </r>
  <r>
    <x v="2"/>
    <n v="2.5350000000000001"/>
  </r>
  <r>
    <x v="6"/>
    <n v="619.86099999999999"/>
  </r>
  <r>
    <x v="2"/>
    <n v="3.7770000000000001"/>
  </r>
  <r>
    <x v="1"/>
    <n v="191.00399999999999"/>
  </r>
  <r>
    <x v="2"/>
    <n v="51.411000000000001"/>
  </r>
  <r>
    <x v="6"/>
    <n v="330"/>
  </r>
  <r>
    <x v="18"/>
    <m/>
  </r>
  <r>
    <x v="2"/>
    <n v="149636.65599999999"/>
  </r>
  <r>
    <x v="2"/>
    <n v="40.703000000000003"/>
  </r>
  <r>
    <x v="2"/>
    <n v="54.305"/>
  </r>
  <r>
    <x v="2"/>
    <n v="111.173"/>
  </r>
  <r>
    <x v="2"/>
    <n v="2235.1149999999998"/>
  </r>
  <r>
    <x v="15"/>
    <n v="428.87299999999999"/>
  </r>
  <r>
    <x v="6"/>
    <n v="265.928"/>
  </r>
  <r>
    <x v="2"/>
    <n v="1245.8389999999999"/>
  </r>
  <r>
    <x v="2"/>
    <n v="3727.2669999999998"/>
  </r>
  <r>
    <x v="6"/>
    <n v="151.16"/>
  </r>
  <r>
    <x v="2"/>
    <n v="2838.5529999999999"/>
  </r>
  <r>
    <x v="6"/>
    <n v="322.00299999999999"/>
  </r>
  <r>
    <x v="6"/>
    <n v="931.32100000000003"/>
  </r>
  <r>
    <x v="6"/>
    <n v="3729.3620000000001"/>
  </r>
  <r>
    <x v="9"/>
    <n v="29.219000000000001"/>
  </r>
  <r>
    <x v="7"/>
    <n v="51.869"/>
  </r>
  <r>
    <x v="25"/>
    <n v="126.14700000000001"/>
  </r>
  <r>
    <x v="11"/>
    <n v="420.41800000000001"/>
  </r>
  <r>
    <x v="6"/>
    <n v="10.837999999999999"/>
  </r>
  <r>
    <x v="2"/>
    <n v="5043.1869999999999"/>
  </r>
  <r>
    <x v="16"/>
    <n v="369.08100000000002"/>
  </r>
  <r>
    <x v="2"/>
    <n v="2382.4369999999999"/>
  </r>
  <r>
    <x v="2"/>
    <n v="614.57500000000005"/>
  </r>
  <r>
    <x v="2"/>
    <n v="4551.9930000000004"/>
  </r>
  <r>
    <x v="6"/>
    <n v="1304.9659999999999"/>
  </r>
  <r>
    <x v="2"/>
    <n v="63129.09"/>
  </r>
  <r>
    <x v="2"/>
    <n v="6305.4139999999998"/>
  </r>
  <r>
    <x v="11"/>
    <n v="8.3049999999999997"/>
  </r>
  <r>
    <x v="10"/>
    <n v="39.070999999999998"/>
  </r>
  <r>
    <x v="2"/>
    <n v="293.238"/>
  </r>
  <r>
    <x v="2"/>
    <n v="8.7110000000000003"/>
  </r>
  <r>
    <x v="2"/>
    <n v="2237.0189999999998"/>
  </r>
  <r>
    <x v="2"/>
    <n v="304.83"/>
  </r>
  <r>
    <x v="2"/>
    <n v="708.49900000000002"/>
  </r>
  <r>
    <x v="6"/>
    <n v="55.649000000000001"/>
  </r>
  <r>
    <x v="2"/>
    <n v="430.95"/>
  </r>
  <r>
    <x v="3"/>
    <n v="326.74099999999999"/>
  </r>
  <r>
    <x v="2"/>
    <n v="3657.2950000000001"/>
  </r>
  <r>
    <x v="2"/>
    <n v="7.931"/>
  </r>
  <r>
    <x v="6"/>
    <n v="50.216999999999999"/>
  </r>
  <r>
    <x v="6"/>
    <n v="125.518"/>
  </r>
  <r>
    <x v="4"/>
    <n v="409.18400000000003"/>
  </r>
  <r>
    <x v="25"/>
    <n v="2553.2220000000002"/>
  </r>
  <r>
    <x v="3"/>
    <m/>
  </r>
  <r>
    <x v="9"/>
    <n v="933.60699999999997"/>
  </r>
  <r>
    <x v="11"/>
    <n v="3376.2260000000001"/>
  </r>
  <r>
    <x v="1"/>
    <n v="46.314999999999998"/>
  </r>
  <r>
    <x v="3"/>
    <n v="1473.579"/>
  </r>
  <r>
    <x v="11"/>
    <n v="1931.87"/>
  </r>
  <r>
    <x v="16"/>
    <n v="9.49"/>
  </r>
  <r>
    <x v="16"/>
    <n v="48.487000000000002"/>
  </r>
  <r>
    <x v="29"/>
    <n v="455.31599999999997"/>
  </r>
  <r>
    <x v="2"/>
    <n v="380.5"/>
  </r>
  <r>
    <x v="2"/>
    <n v="941.37699999999995"/>
  </r>
  <r>
    <x v="9"/>
    <n v="22.501000000000001"/>
  </r>
  <r>
    <x v="2"/>
    <n v="1641.2149999999999"/>
  </r>
  <r>
    <x v="16"/>
    <n v="18.98"/>
  </r>
  <r>
    <x v="2"/>
    <n v="38.198"/>
  </r>
  <r>
    <x v="9"/>
    <n v="48.750999999999998"/>
  </r>
  <r>
    <x v="6"/>
    <n v="7165.6369999999997"/>
  </r>
  <r>
    <x v="11"/>
    <n v="36.932000000000002"/>
  </r>
  <r>
    <x v="2"/>
    <n v="26.861000000000001"/>
  </r>
  <r>
    <x v="9"/>
    <n v="404.35599999999999"/>
  </r>
  <r>
    <x v="15"/>
    <n v="56.23"/>
  </r>
  <r>
    <x v="2"/>
    <n v="7146.8440000000001"/>
  </r>
  <r>
    <x v="2"/>
    <n v="10.531000000000001"/>
  </r>
  <r>
    <x v="2"/>
    <n v="758.27599999999995"/>
  </r>
  <r>
    <x v="16"/>
    <n v="476.58199999999999"/>
  </r>
  <r>
    <x v="2"/>
    <n v="65.290000000000006"/>
  </r>
  <r>
    <x v="2"/>
    <n v="1971.883"/>
  </r>
  <r>
    <x v="2"/>
    <n v="71.022000000000006"/>
  </r>
  <r>
    <x v="2"/>
    <n v="105.387"/>
  </r>
  <r>
    <x v="9"/>
    <n v="162.874"/>
  </r>
  <r>
    <x v="9"/>
    <n v="66.215000000000003"/>
  </r>
  <r>
    <x v="2"/>
    <n v="1068.9290000000001"/>
  </r>
  <r>
    <x v="2"/>
    <n v="1274.953"/>
  </r>
  <r>
    <x v="6"/>
    <n v="230.85900000000001"/>
  </r>
  <r>
    <x v="2"/>
    <n v="1076.259"/>
  </r>
  <r>
    <x v="2"/>
    <n v="10683.053"/>
  </r>
  <r>
    <x v="2"/>
    <n v="157.941"/>
  </r>
  <r>
    <x v="2"/>
    <n v="100.587"/>
  </r>
  <r>
    <x v="2"/>
    <n v="19993.338"/>
  </r>
  <r>
    <x v="6"/>
    <n v="85.432000000000002"/>
  </r>
  <r>
    <x v="2"/>
    <n v="35.569000000000003"/>
  </r>
  <r>
    <x v="9"/>
    <n v="10.401999999999999"/>
  </r>
  <r>
    <x v="4"/>
    <n v="74.36"/>
  </r>
  <r>
    <x v="1"/>
    <n v="84.605000000000004"/>
  </r>
  <r>
    <x v="10"/>
    <n v="21.111999999999998"/>
  </r>
  <r>
    <x v="2"/>
    <n v="29.593"/>
  </r>
  <r>
    <x v="6"/>
    <n v="649.47"/>
  </r>
  <r>
    <x v="2"/>
    <n v="669.56"/>
  </r>
  <r>
    <x v="11"/>
    <n v="1.1990000000000001"/>
  </r>
  <r>
    <x v="6"/>
    <n v="457.625"/>
  </r>
  <r>
    <x v="3"/>
    <n v="1812.1379999999999"/>
  </r>
  <r>
    <x v="19"/>
    <n v="16.54"/>
  </r>
  <r>
    <x v="2"/>
    <n v="3883.297"/>
  </r>
  <r>
    <x v="16"/>
    <n v="47.127000000000002"/>
  </r>
  <r>
    <x v="2"/>
    <n v="342.15600000000001"/>
  </r>
  <r>
    <x v="6"/>
    <n v="476.44600000000003"/>
  </r>
  <r>
    <x v="6"/>
    <n v="1197.1600000000001"/>
  </r>
  <r>
    <x v="11"/>
    <n v="562.96600000000001"/>
  </r>
  <r>
    <x v="2"/>
    <n v="1301.0909999999999"/>
  </r>
  <r>
    <x v="16"/>
    <n v="124.992"/>
  </r>
  <r>
    <x v="2"/>
    <n v="4568.9809999999998"/>
  </r>
  <r>
    <x v="1"/>
    <n v="893.43"/>
  </r>
  <r>
    <x v="16"/>
    <n v="32.649000000000001"/>
  </r>
  <r>
    <x v="6"/>
    <n v="1255.4849999999999"/>
  </r>
  <r>
    <x v="28"/>
    <n v="113.331"/>
  </r>
  <r>
    <x v="9"/>
    <n v="495.10199999999998"/>
  </r>
  <r>
    <x v="1"/>
    <n v="148.09299999999999"/>
  </r>
  <r>
    <x v="9"/>
    <n v="587.02300000000002"/>
  </r>
  <r>
    <x v="2"/>
    <n v="448.34"/>
  </r>
  <r>
    <x v="2"/>
    <n v="665.15700000000004"/>
  </r>
  <r>
    <x v="2"/>
    <n v="63.621000000000002"/>
  </r>
  <r>
    <x v="1"/>
    <n v="179.97499999999999"/>
  </r>
  <r>
    <x v="6"/>
    <n v="21.452999999999999"/>
  </r>
  <r>
    <x v="2"/>
    <n v="278.65499999999997"/>
  </r>
  <r>
    <x v="6"/>
    <n v="51.75"/>
  </r>
  <r>
    <x v="2"/>
    <n v="64.822999999999993"/>
  </r>
  <r>
    <x v="2"/>
    <n v="1563.327"/>
  </r>
  <r>
    <x v="4"/>
    <n v="35.103000000000002"/>
  </r>
  <r>
    <x v="1"/>
    <n v="76.97"/>
  </r>
  <r>
    <x v="16"/>
    <n v="140.11799999999999"/>
  </r>
  <r>
    <x v="9"/>
    <n v="1.3280000000000001"/>
  </r>
  <r>
    <x v="9"/>
    <n v="121.896"/>
  </r>
  <r>
    <x v="2"/>
    <n v="1452.3879999999999"/>
  </r>
  <r>
    <x v="9"/>
    <n v="197.197"/>
  </r>
  <r>
    <x v="6"/>
    <n v="47.688000000000002"/>
  </r>
  <r>
    <x v="11"/>
    <n v="206.73500000000001"/>
  </r>
  <r>
    <x v="9"/>
    <n v="60.128999999999998"/>
  </r>
  <r>
    <x v="10"/>
    <n v="111.354"/>
  </r>
  <r>
    <x v="16"/>
    <n v="44.536000000000001"/>
  </r>
  <r>
    <x v="1"/>
    <n v="80.694999999999993"/>
  </r>
  <r>
    <x v="9"/>
    <n v="115.127"/>
  </r>
  <r>
    <x v="2"/>
    <n v="107.032"/>
  </r>
  <r>
    <x v="2"/>
    <n v="74.155000000000001"/>
  </r>
  <r>
    <x v="6"/>
    <n v="219.41800000000001"/>
  </r>
  <r>
    <x v="2"/>
    <n v="171.26400000000001"/>
  </r>
  <r>
    <x v="6"/>
    <n v="6189.3710000000001"/>
  </r>
  <r>
    <x v="9"/>
    <n v="195.00299999999999"/>
  </r>
  <r>
    <x v="2"/>
    <n v="1456.999"/>
  </r>
  <r>
    <x v="2"/>
    <n v="4222.4970000000003"/>
  </r>
  <r>
    <x v="19"/>
    <n v="45.341000000000001"/>
  </r>
  <r>
    <x v="1"/>
    <n v="262.42399999999998"/>
  </r>
  <r>
    <x v="6"/>
    <n v="437.98700000000002"/>
  </r>
  <r>
    <x v="6"/>
    <n v="476.34500000000003"/>
  </r>
  <r>
    <x v="2"/>
    <n v="413.21899999999999"/>
  </r>
  <r>
    <x v="2"/>
    <n v="875.51499999999999"/>
  </r>
  <r>
    <x v="6"/>
    <n v="84.617000000000004"/>
  </r>
  <r>
    <x v="1"/>
    <n v="75.292000000000002"/>
  </r>
  <r>
    <x v="1"/>
    <n v="930.63800000000003"/>
  </r>
  <r>
    <x v="6"/>
    <n v="154.875"/>
  </r>
  <r>
    <x v="9"/>
    <n v="37.476999999999997"/>
  </r>
  <r>
    <x v="15"/>
    <n v="1301.1780000000001"/>
  </r>
  <r>
    <x v="9"/>
    <n v="39.33"/>
  </r>
  <r>
    <x v="2"/>
    <n v="13.058"/>
  </r>
  <r>
    <x v="9"/>
    <n v="31.913"/>
  </r>
  <r>
    <x v="2"/>
    <n v="8.6829999999999998"/>
  </r>
  <r>
    <x v="10"/>
    <n v="6.6639999999999997"/>
  </r>
  <r>
    <x v="2"/>
    <n v="580.39700000000005"/>
  </r>
  <r>
    <x v="11"/>
    <n v="11.677"/>
  </r>
  <r>
    <x v="3"/>
    <n v="2056.4490000000001"/>
  </r>
  <r>
    <x v="2"/>
    <n v="300.255"/>
  </r>
  <r>
    <x v="2"/>
    <n v="37.768999999999998"/>
  </r>
  <r>
    <x v="9"/>
    <n v="19.393000000000001"/>
  </r>
  <r>
    <x v="16"/>
    <n v="49.814999999999998"/>
  </r>
  <r>
    <x v="9"/>
    <n v="375.60700000000003"/>
  </r>
  <r>
    <x v="16"/>
    <n v="49.912999999999997"/>
  </r>
  <r>
    <x v="2"/>
    <n v="4762.0389999999998"/>
  </r>
  <r>
    <x v="3"/>
    <n v="1468.3910000000001"/>
  </r>
  <r>
    <x v="2"/>
    <n v="62.500999999999998"/>
  </r>
  <r>
    <x v="2"/>
    <n v="1138.8219999999999"/>
  </r>
  <r>
    <x v="2"/>
    <n v="3.5169999999999999"/>
  </r>
  <r>
    <x v="2"/>
    <n v="908.86800000000005"/>
  </r>
  <r>
    <x v="9"/>
    <n v="181.97300000000001"/>
  </r>
  <r>
    <x v="3"/>
    <m/>
  </r>
  <r>
    <x v="9"/>
    <n v="194.077"/>
  </r>
  <r>
    <x v="2"/>
    <n v="474.00200000000001"/>
  </r>
  <r>
    <x v="1"/>
    <n v="101.91"/>
  </r>
  <r>
    <x v="11"/>
    <n v="1599.596"/>
  </r>
  <r>
    <x v="2"/>
    <n v="718.07899999999995"/>
  </r>
  <r>
    <x v="9"/>
    <n v="102.114"/>
  </r>
  <r>
    <x v="9"/>
    <n v="3334.4769999999999"/>
  </r>
  <r>
    <x v="6"/>
    <n v="883.21"/>
  </r>
  <r>
    <x v="19"/>
    <n v="51.427999999999997"/>
  </r>
  <r>
    <x v="2"/>
    <n v="146.01400000000001"/>
  </r>
  <r>
    <x v="11"/>
    <n v="781.60400000000004"/>
  </r>
  <r>
    <x v="19"/>
    <n v="122.185"/>
  </r>
  <r>
    <x v="9"/>
    <n v="474.51400000000001"/>
  </r>
  <r>
    <x v="9"/>
    <n v="425.12"/>
  </r>
  <r>
    <x v="9"/>
    <n v="24.081"/>
  </r>
  <r>
    <x v="6"/>
    <n v="75.888999999999996"/>
  </r>
  <r>
    <x v="2"/>
    <n v="17.21"/>
  </r>
  <r>
    <x v="2"/>
    <n v="6.2990000000000004"/>
  </r>
  <r>
    <x v="9"/>
    <n v="98.015000000000001"/>
  </r>
  <r>
    <x v="3"/>
    <m/>
  </r>
  <r>
    <x v="2"/>
    <n v="44.44"/>
  </r>
  <r>
    <x v="9"/>
    <n v="721.22900000000004"/>
  </r>
  <r>
    <x v="1"/>
    <n v="40.634"/>
  </r>
  <r>
    <x v="3"/>
    <n v="254.57900000000001"/>
  </r>
  <r>
    <x v="9"/>
    <n v="50.179000000000002"/>
  </r>
  <r>
    <x v="6"/>
    <n v="12800.632"/>
  </r>
  <r>
    <x v="6"/>
    <n v="2252.11"/>
  </r>
  <r>
    <x v="9"/>
    <n v="2042.6189999999999"/>
  </r>
  <r>
    <x v="6"/>
    <n v="25309.697"/>
  </r>
  <r>
    <x v="9"/>
    <n v="260.70800000000003"/>
  </r>
  <r>
    <x v="2"/>
    <n v="43.758000000000003"/>
  </r>
  <r>
    <x v="2"/>
    <n v="58.503"/>
  </r>
  <r>
    <x v="2"/>
    <n v="2195.8850000000002"/>
  </r>
  <r>
    <x v="6"/>
    <n v="1730.6110000000001"/>
  </r>
  <r>
    <x v="2"/>
    <n v="4.9660000000000002"/>
  </r>
  <r>
    <x v="6"/>
    <n v="8062.2719999999999"/>
  </r>
  <r>
    <x v="9"/>
    <n v="42.719000000000001"/>
  </r>
  <r>
    <x v="16"/>
    <n v="37.960999999999999"/>
  </r>
  <r>
    <x v="2"/>
    <n v="192.214"/>
  </r>
  <r>
    <x v="2"/>
    <n v="12426.646000000001"/>
  </r>
  <r>
    <x v="1"/>
    <n v="121.468"/>
  </r>
  <r>
    <x v="9"/>
    <n v="558.89300000000003"/>
  </r>
  <r>
    <x v="16"/>
    <n v="351.072"/>
  </r>
  <r>
    <x v="9"/>
    <n v="57.81"/>
  </r>
  <r>
    <x v="9"/>
    <n v="294.053"/>
  </r>
  <r>
    <x v="16"/>
    <n v="149.63999999999999"/>
  </r>
  <r>
    <x v="3"/>
    <n v="3031.9670000000001"/>
  </r>
  <r>
    <x v="1"/>
    <n v="134.88"/>
  </r>
  <r>
    <x v="6"/>
    <n v="10.884"/>
  </r>
  <r>
    <x v="16"/>
    <n v="147.43799999999999"/>
  </r>
  <r>
    <x v="1"/>
    <n v="35.418999999999997"/>
  </r>
  <r>
    <x v="6"/>
    <n v="2322.6999999999998"/>
  </r>
  <r>
    <x v="9"/>
    <n v="377.97899999999998"/>
  </r>
  <r>
    <x v="16"/>
    <n v="73.816000000000003"/>
  </r>
  <r>
    <x v="11"/>
    <n v="2.4180000000000001"/>
  </r>
  <r>
    <x v="9"/>
    <n v="171.17400000000001"/>
  </r>
  <r>
    <x v="2"/>
    <n v="2024.7149999999999"/>
  </r>
  <r>
    <x v="2"/>
    <n v="259.327"/>
  </r>
  <r>
    <x v="11"/>
    <n v="150.179"/>
  </r>
  <r>
    <x v="6"/>
    <n v="1426.163"/>
  </r>
  <r>
    <x v="9"/>
    <n v="307.67599999999999"/>
  </r>
  <r>
    <x v="1"/>
    <n v="74.067999999999998"/>
  </r>
  <r>
    <x v="9"/>
    <n v="48.347000000000001"/>
  </r>
  <r>
    <x v="2"/>
    <n v="218.67099999999999"/>
  </r>
  <r>
    <x v="2"/>
    <n v="31.335000000000001"/>
  </r>
  <r>
    <x v="2"/>
    <n v="196.42099999999999"/>
  </r>
  <r>
    <x v="2"/>
    <n v="22.922999999999998"/>
  </r>
  <r>
    <x v="11"/>
    <n v="404.51499999999999"/>
  </r>
  <r>
    <x v="16"/>
    <n v="272.88299999999998"/>
  </r>
  <r>
    <x v="2"/>
    <n v="1053.8309999999999"/>
  </r>
  <r>
    <x v="6"/>
    <n v="388.19299999999998"/>
  </r>
  <r>
    <x v="9"/>
    <n v="23.119"/>
  </r>
  <r>
    <x v="2"/>
    <n v="68.569999999999993"/>
  </r>
  <r>
    <x v="2"/>
    <n v="1719.5450000000001"/>
  </r>
  <r>
    <x v="2"/>
    <n v="2739.8919999999998"/>
  </r>
  <r>
    <x v="2"/>
    <n v="1092.308"/>
  </r>
  <r>
    <x v="1"/>
    <n v="29.405000000000001"/>
  </r>
  <r>
    <x v="2"/>
    <n v="4.4130000000000003"/>
  </r>
  <r>
    <x v="1"/>
    <n v="337.51600000000002"/>
  </r>
  <r>
    <x v="11"/>
    <n v="1144.8989999999999"/>
  </r>
  <r>
    <x v="6"/>
    <n v="37.915999999999997"/>
  </r>
  <r>
    <x v="16"/>
    <n v="54.965000000000003"/>
  </r>
  <r>
    <x v="2"/>
    <n v="28.754000000000001"/>
  </r>
  <r>
    <x v="2"/>
    <n v="3797.7080000000001"/>
  </r>
  <r>
    <x v="6"/>
    <n v="9696.51"/>
  </r>
  <r>
    <x v="2"/>
    <n v="899.05200000000002"/>
  </r>
  <r>
    <x v="6"/>
    <n v="25.001000000000001"/>
  </r>
  <r>
    <x v="6"/>
    <n v="461.66800000000001"/>
  </r>
  <r>
    <x v="2"/>
    <n v="144.22200000000001"/>
  </r>
  <r>
    <x v="9"/>
    <n v="238.05099999999999"/>
  </r>
  <r>
    <x v="6"/>
    <n v="2462.1190000000001"/>
  </r>
  <r>
    <x v="2"/>
    <n v="884.08600000000001"/>
  </r>
  <r>
    <x v="6"/>
    <n v="43.939"/>
  </r>
  <r>
    <x v="1"/>
    <n v="511.24700000000001"/>
  </r>
  <r>
    <x v="6"/>
    <n v="7171.442"/>
  </r>
  <r>
    <x v="6"/>
    <n v="2395.0410000000002"/>
  </r>
  <r>
    <x v="1"/>
    <n v="125.452"/>
  </r>
  <r>
    <x v="2"/>
    <n v="277.47000000000003"/>
  </r>
  <r>
    <x v="6"/>
    <n v="1456.787"/>
  </r>
  <r>
    <x v="2"/>
    <n v="26516.675999999999"/>
  </r>
  <r>
    <x v="3"/>
    <n v="2750.2809999999999"/>
  </r>
  <r>
    <x v="9"/>
    <n v="202.577"/>
  </r>
  <r>
    <x v="6"/>
    <n v="38.414000000000001"/>
  </r>
  <r>
    <x v="6"/>
    <n v="21.123999999999999"/>
  </r>
  <r>
    <x v="2"/>
    <n v="123.23399999999999"/>
  </r>
  <r>
    <x v="3"/>
    <n v="325.57600000000002"/>
  </r>
  <r>
    <x v="2"/>
    <n v="577.89099999999996"/>
  </r>
  <r>
    <x v="1"/>
    <n v="71.826999999999998"/>
  </r>
  <r>
    <x v="1"/>
    <n v="24.913"/>
  </r>
  <r>
    <x v="2"/>
    <n v="132.02000000000001"/>
  </r>
  <r>
    <x v="1"/>
    <n v="1351.127"/>
  </r>
  <r>
    <x v="19"/>
    <n v="31.706"/>
  </r>
  <r>
    <x v="2"/>
    <n v="208.96700000000001"/>
  </r>
  <r>
    <x v="2"/>
    <n v="711.75900000000001"/>
  </r>
  <r>
    <x v="2"/>
    <n v="6048.0649999999996"/>
  </r>
  <r>
    <x v="9"/>
    <n v="189.03700000000001"/>
  </r>
  <r>
    <x v="2"/>
    <n v="149.12299999999999"/>
  </r>
  <r>
    <x v="3"/>
    <n v="2702.8110000000001"/>
  </r>
  <r>
    <x v="2"/>
    <n v="30.657"/>
  </r>
  <r>
    <x v="16"/>
    <n v="133.899"/>
  </r>
  <r>
    <x v="9"/>
    <n v="1130.23"/>
  </r>
  <r>
    <x v="9"/>
    <n v="108.646"/>
  </r>
  <r>
    <x v="9"/>
    <n v="110.413"/>
  </r>
  <r>
    <x v="2"/>
    <n v="53.058999999999997"/>
  </r>
  <r>
    <x v="6"/>
    <n v="274.82"/>
  </r>
  <r>
    <x v="1"/>
    <n v="144.07900000000001"/>
  </r>
  <r>
    <x v="2"/>
    <n v="19.587"/>
  </r>
  <r>
    <x v="11"/>
    <n v="1605.443"/>
  </r>
  <r>
    <x v="9"/>
    <n v="2594.395"/>
  </r>
  <r>
    <x v="9"/>
    <n v="79.662000000000006"/>
  </r>
  <r>
    <x v="3"/>
    <m/>
  </r>
  <r>
    <x v="25"/>
    <n v="306.98"/>
  </r>
  <r>
    <x v="9"/>
    <n v="1032.905"/>
  </r>
  <r>
    <x v="2"/>
    <n v="168.14099999999999"/>
  </r>
  <r>
    <x v="2"/>
    <n v="1150.1320000000001"/>
  </r>
  <r>
    <x v="2"/>
    <n v="21.300999999999998"/>
  </r>
  <r>
    <x v="16"/>
    <n v="10.526999999999999"/>
  </r>
  <r>
    <x v="3"/>
    <n v="428.82100000000003"/>
  </r>
  <r>
    <x v="11"/>
    <n v="7.74"/>
  </r>
  <r>
    <x v="2"/>
    <n v="482.21699999999998"/>
  </r>
  <r>
    <x v="2"/>
    <n v="881.57299999999998"/>
  </r>
  <r>
    <x v="6"/>
    <n v="1406.7750000000001"/>
  </r>
  <r>
    <x v="6"/>
    <n v="264.29000000000002"/>
  </r>
  <r>
    <x v="11"/>
    <n v="16.609000000000002"/>
  </r>
  <r>
    <x v="9"/>
    <n v="222.23699999999999"/>
  </r>
  <r>
    <x v="2"/>
    <n v="268.98899999999998"/>
  </r>
  <r>
    <x v="26"/>
    <n v="958.49199999999996"/>
  </r>
  <r>
    <x v="16"/>
    <n v="52.18"/>
  </r>
  <r>
    <x v="6"/>
    <n v="52.87"/>
  </r>
  <r>
    <x v="9"/>
    <n v="1237.5309999999999"/>
  </r>
  <r>
    <x v="19"/>
    <n v="1.123"/>
  </r>
  <r>
    <x v="6"/>
    <n v="3594.8270000000002"/>
  </r>
  <r>
    <x v="16"/>
    <n v="249.78899999999999"/>
  </r>
  <r>
    <x v="6"/>
    <n v="2310.7179999999998"/>
  </r>
  <r>
    <x v="2"/>
    <n v="33.932000000000002"/>
  </r>
  <r>
    <x v="6"/>
    <n v="236.43600000000001"/>
  </r>
  <r>
    <x v="6"/>
    <n v="25.754000000000001"/>
  </r>
  <r>
    <x v="1"/>
    <n v="46.768999999999998"/>
  </r>
  <r>
    <x v="30"/>
    <n v="89.27"/>
  </r>
  <r>
    <x v="2"/>
    <n v="34.973999999999997"/>
  </r>
  <r>
    <x v="15"/>
    <n v="18.709"/>
  </r>
  <r>
    <x v="28"/>
    <n v="4.8570000000000002"/>
  </r>
  <r>
    <x v="11"/>
    <n v="514.76900000000001"/>
  </r>
  <r>
    <x v="6"/>
    <n v="392.41300000000001"/>
  </r>
  <r>
    <x v="2"/>
    <n v="4100.8720000000003"/>
  </r>
  <r>
    <x v="2"/>
    <n v="12149.82"/>
  </r>
  <r>
    <x v="11"/>
    <n v="156.535"/>
  </r>
  <r>
    <x v="2"/>
    <n v="16.428999999999998"/>
  </r>
  <r>
    <x v="9"/>
    <n v="470.46"/>
  </r>
  <r>
    <x v="2"/>
    <n v="24293.432000000001"/>
  </r>
  <r>
    <x v="3"/>
    <n v="37.421999999999997"/>
  </r>
  <r>
    <x v="9"/>
    <n v="18.422999999999998"/>
  </r>
  <r>
    <x v="11"/>
    <n v="1.7989999999999999"/>
  </r>
  <r>
    <x v="9"/>
    <n v="135.72999999999999"/>
  </r>
  <r>
    <x v="6"/>
    <n v="1219.729"/>
  </r>
  <r>
    <x v="3"/>
    <m/>
  </r>
  <r>
    <x v="2"/>
    <n v="46.521999999999998"/>
  </r>
  <r>
    <x v="2"/>
    <n v="15.193"/>
  </r>
  <r>
    <x v="6"/>
    <n v="33.558"/>
  </r>
  <r>
    <x v="2"/>
    <n v="13.57"/>
  </r>
  <r>
    <x v="19"/>
    <n v="276.03300000000002"/>
  </r>
  <r>
    <x v="2"/>
    <n v="993.73900000000003"/>
  </r>
  <r>
    <x v="11"/>
    <n v="10.038"/>
  </r>
  <r>
    <x v="16"/>
    <n v="45.021999999999998"/>
  </r>
  <r>
    <x v="9"/>
    <n v="18.288"/>
  </r>
  <r>
    <x v="2"/>
    <n v="353.45699999999999"/>
  </r>
  <r>
    <x v="19"/>
    <n v="236.29300000000001"/>
  </r>
  <r>
    <x v="16"/>
    <n v="35.369999999999997"/>
  </r>
  <r>
    <x v="1"/>
    <n v="11.757"/>
  </r>
  <r>
    <x v="9"/>
    <n v="13.849"/>
  </r>
  <r>
    <x v="9"/>
    <n v="200.642"/>
  </r>
  <r>
    <x v="16"/>
    <n v="145.624"/>
  </r>
  <r>
    <x v="19"/>
    <n v="17.690000000000001"/>
  </r>
  <r>
    <x v="11"/>
    <n v="2380.1149999999998"/>
  </r>
  <r>
    <x v="6"/>
    <n v="248.941"/>
  </r>
  <r>
    <x v="10"/>
    <n v="66.867000000000004"/>
  </r>
  <r>
    <x v="16"/>
    <n v="265.952"/>
  </r>
  <r>
    <x v="6"/>
    <n v="640.32299999999998"/>
  </r>
  <r>
    <x v="1"/>
    <n v="132.18100000000001"/>
  </r>
  <r>
    <x v="6"/>
    <n v="2518.5509999999999"/>
  </r>
  <r>
    <x v="3"/>
    <n v="9083.5550000000003"/>
  </r>
  <r>
    <x v="2"/>
    <n v="28.084"/>
  </r>
  <r>
    <x v="3"/>
    <n v="537.86800000000005"/>
  </r>
  <r>
    <x v="26"/>
    <n v="204.648"/>
  </r>
  <r>
    <x v="6"/>
    <n v="1378.354"/>
  </r>
  <r>
    <x v="2"/>
    <n v="5664.7539999999999"/>
  </r>
  <r>
    <x v="6"/>
    <n v="82.218999999999994"/>
  </r>
  <r>
    <x v="2"/>
    <n v="43268.137000000002"/>
  </r>
  <r>
    <x v="16"/>
    <n v="209.91800000000001"/>
  </r>
  <r>
    <x v="2"/>
    <n v="168.78399999999999"/>
  </r>
  <r>
    <x v="2"/>
    <n v="29.992000000000001"/>
  </r>
  <r>
    <x v="9"/>
    <n v="1271.095"/>
  </r>
  <r>
    <x v="16"/>
    <n v="5.7649999999999997"/>
  </r>
  <r>
    <x v="9"/>
    <n v="62.759"/>
  </r>
  <r>
    <x v="10"/>
    <n v="7.9269999999999996"/>
  </r>
  <r>
    <x v="9"/>
    <n v="323.89499999999998"/>
  </r>
  <r>
    <x v="19"/>
    <n v="2732.7469999999998"/>
  </r>
  <r>
    <x v="11"/>
    <n v="202.15100000000001"/>
  </r>
  <r>
    <x v="11"/>
    <n v="58.453000000000003"/>
  </r>
  <r>
    <x v="3"/>
    <n v="75.867000000000004"/>
  </r>
  <r>
    <x v="2"/>
    <n v="4.6040000000000001"/>
  </r>
  <r>
    <x v="6"/>
    <n v="253.501"/>
  </r>
  <r>
    <x v="2"/>
    <n v="316.82299999999998"/>
  </r>
  <r>
    <x v="2"/>
    <n v="1516.325"/>
  </r>
  <r>
    <x v="2"/>
    <n v="403.78500000000003"/>
  </r>
  <r>
    <x v="6"/>
    <n v="5.851"/>
  </r>
  <r>
    <x v="15"/>
    <n v="162.53899999999999"/>
  </r>
  <r>
    <x v="6"/>
    <n v="179.33099999999999"/>
  </r>
  <r>
    <x v="2"/>
    <n v="32.112000000000002"/>
  </r>
  <r>
    <x v="19"/>
    <n v="227.83600000000001"/>
  </r>
  <r>
    <x v="11"/>
    <n v="17.492999999999999"/>
  </r>
  <r>
    <x v="3"/>
    <n v="515.827"/>
  </r>
  <r>
    <x v="11"/>
    <n v="1046.1769999999999"/>
  </r>
  <r>
    <x v="2"/>
    <n v="498.42599999999999"/>
  </r>
  <r>
    <x v="2"/>
    <n v="1048.105"/>
  </r>
  <r>
    <x v="2"/>
    <n v="644.31299999999999"/>
  </r>
  <r>
    <x v="6"/>
    <n v="1108.691"/>
  </r>
  <r>
    <x v="2"/>
    <n v="501.68599999999998"/>
  </r>
  <r>
    <x v="16"/>
    <n v="138.79"/>
  </r>
  <r>
    <x v="2"/>
    <n v="1149.0429999999999"/>
  </r>
  <r>
    <x v="6"/>
    <n v="65.47"/>
  </r>
  <r>
    <x v="7"/>
    <n v="12.449"/>
  </r>
  <r>
    <x v="11"/>
    <n v="2011.829"/>
  </r>
  <r>
    <x v="6"/>
    <n v="333.24099999999999"/>
  </r>
  <r>
    <x v="9"/>
    <n v="42.204000000000001"/>
  </r>
  <r>
    <x v="6"/>
    <n v="1823.6379999999999"/>
  </r>
  <r>
    <x v="6"/>
    <n v="3569.817"/>
  </r>
  <r>
    <x v="9"/>
    <n v="175.43600000000001"/>
  </r>
  <r>
    <x v="2"/>
    <n v="31.507999999999999"/>
  </r>
  <r>
    <x v="2"/>
    <n v="35365.097999999998"/>
  </r>
  <r>
    <x v="2"/>
    <n v="893.53099999999995"/>
  </r>
  <r>
    <x v="6"/>
    <n v="886.18700000000001"/>
  </r>
  <r>
    <x v="6"/>
    <n v="6.0060000000000002"/>
  </r>
  <r>
    <x v="6"/>
    <n v="437.69200000000001"/>
  </r>
  <r>
    <x v="2"/>
    <n v="113.38500000000001"/>
  </r>
  <r>
    <x v="2"/>
    <n v="3.48"/>
  </r>
  <r>
    <x v="9"/>
    <n v="31.675000000000001"/>
  </r>
  <r>
    <x v="2"/>
    <n v="4229.451"/>
  </r>
  <r>
    <x v="9"/>
    <n v="472.798"/>
  </r>
  <r>
    <x v="16"/>
    <n v="4.8109999999999999"/>
  </r>
  <r>
    <x v="6"/>
    <n v="31.768999999999998"/>
  </r>
  <r>
    <x v="9"/>
    <n v="13.753"/>
  </r>
  <r>
    <x v="2"/>
    <n v="419.1"/>
  </r>
  <r>
    <x v="2"/>
    <n v="572.32399999999996"/>
  </r>
  <r>
    <x v="2"/>
    <n v="640.98199999999997"/>
  </r>
  <r>
    <x v="15"/>
    <n v="111.447"/>
  </r>
  <r>
    <x v="16"/>
    <n v="101.607"/>
  </r>
  <r>
    <x v="11"/>
    <n v="6.875"/>
  </r>
  <r>
    <x v="1"/>
    <n v="43.03"/>
  </r>
  <r>
    <x v="11"/>
    <n v="678.82600000000002"/>
  </r>
  <r>
    <x v="2"/>
    <n v="9.9640000000000004"/>
  </r>
  <r>
    <x v="7"/>
    <n v="23.097000000000001"/>
  </r>
  <r>
    <x v="3"/>
    <m/>
  </r>
  <r>
    <x v="1"/>
    <n v="413.83600000000001"/>
  </r>
  <r>
    <x v="6"/>
    <n v="48.05"/>
  </r>
  <r>
    <x v="2"/>
    <n v="2.617"/>
  </r>
  <r>
    <x v="9"/>
    <n v="1212.1590000000001"/>
  </r>
  <r>
    <x v="2"/>
    <n v="1129.085"/>
  </r>
  <r>
    <x v="1"/>
    <n v="200.63499999999999"/>
  </r>
  <r>
    <x v="3"/>
    <n v="3292.5189999999998"/>
  </r>
  <r>
    <x v="2"/>
    <n v="41.734999999999999"/>
  </r>
  <r>
    <x v="6"/>
    <n v="839.96500000000003"/>
  </r>
  <r>
    <x v="9"/>
    <n v="12.755000000000001"/>
  </r>
  <r>
    <x v="6"/>
    <n v="721.20600000000002"/>
  </r>
  <r>
    <x v="6"/>
    <n v="5482.6260000000002"/>
  </r>
  <r>
    <x v="6"/>
    <n v="43.043999999999997"/>
  </r>
  <r>
    <x v="2"/>
    <n v="218.352"/>
  </r>
  <r>
    <x v="6"/>
    <n v="1566.98"/>
  </r>
  <r>
    <x v="6"/>
    <n v="208.94399999999999"/>
  </r>
  <r>
    <x v="15"/>
    <n v="69.83"/>
  </r>
  <r>
    <x v="2"/>
    <n v="76.09"/>
  </r>
  <r>
    <x v="2"/>
    <n v="3889.6219999999998"/>
  </r>
  <r>
    <x v="6"/>
    <n v="187.06399999999999"/>
  </r>
  <r>
    <x v="1"/>
    <n v="90.085999999999999"/>
  </r>
  <r>
    <x v="9"/>
    <n v="466.38499999999999"/>
  </r>
  <r>
    <x v="2"/>
    <n v="6.54"/>
  </r>
  <r>
    <x v="9"/>
    <n v="83.066999999999993"/>
  </r>
  <r>
    <x v="3"/>
    <m/>
  </r>
  <r>
    <x v="2"/>
    <n v="43.237000000000002"/>
  </r>
  <r>
    <x v="9"/>
    <n v="441.52800000000002"/>
  </r>
  <r>
    <x v="2"/>
    <n v="94.578999999999994"/>
  </r>
  <r>
    <x v="31"/>
    <n v="343.56799999999998"/>
  </r>
  <r>
    <x v="15"/>
    <n v="17.686"/>
  </r>
  <r>
    <x v="2"/>
    <n v="101.65600000000001"/>
  </r>
  <r>
    <x v="3"/>
    <n v="751.88199999999995"/>
  </r>
  <r>
    <x v="3"/>
    <m/>
  </r>
  <r>
    <x v="2"/>
    <n v="355.64699999999999"/>
  </r>
  <r>
    <x v="3"/>
    <n v="1621.8630000000001"/>
  </r>
  <r>
    <x v="9"/>
    <n v="762.59900000000005"/>
  </r>
  <r>
    <x v="9"/>
    <n v="402.45400000000001"/>
  </r>
  <r>
    <x v="9"/>
    <n v="130.857"/>
  </r>
  <r>
    <x v="6"/>
    <n v="33.982999999999997"/>
  </r>
  <r>
    <x v="2"/>
    <n v="497.18200000000002"/>
  </r>
  <r>
    <x v="9"/>
    <n v="209.078"/>
  </r>
  <r>
    <x v="28"/>
    <n v="27.855"/>
  </r>
  <r>
    <x v="1"/>
    <n v="281.91500000000002"/>
  </r>
  <r>
    <x v="1"/>
    <n v="127.154"/>
  </r>
  <r>
    <x v="15"/>
    <n v="9.1199999999999992"/>
  </r>
  <r>
    <x v="2"/>
    <n v="43.487000000000002"/>
  </r>
  <r>
    <x v="6"/>
    <n v="447.64400000000001"/>
  </r>
  <r>
    <x v="2"/>
    <n v="27763.886999999999"/>
  </r>
  <r>
    <x v="19"/>
    <n v="231.11199999999999"/>
  </r>
  <r>
    <x v="11"/>
    <n v="252.11"/>
  </r>
  <r>
    <x v="2"/>
    <n v="104.268"/>
  </r>
  <r>
    <x v="2"/>
    <n v="108.581"/>
  </r>
  <r>
    <x v="6"/>
    <n v="745.12800000000004"/>
  </r>
  <r>
    <x v="2"/>
    <n v="265.16199999999998"/>
  </r>
  <r>
    <x v="2"/>
    <n v="31.001999999999999"/>
  </r>
  <r>
    <x v="19"/>
    <n v="16.565999999999999"/>
  </r>
  <r>
    <x v="6"/>
    <n v="30.846"/>
  </r>
  <r>
    <x v="6"/>
    <n v="80.33"/>
  </r>
  <r>
    <x v="2"/>
    <n v="461.904"/>
  </r>
  <r>
    <x v="1"/>
    <n v="524.56100000000004"/>
  </r>
  <r>
    <x v="11"/>
    <n v="155.30600000000001"/>
  </r>
  <r>
    <x v="2"/>
    <n v="79.481999999999999"/>
  </r>
  <r>
    <x v="15"/>
    <n v="157.03800000000001"/>
  </r>
  <r>
    <x v="6"/>
    <n v="6065.9660000000003"/>
  </r>
  <r>
    <x v="10"/>
    <n v="6.7560000000000002"/>
  </r>
  <r>
    <x v="6"/>
    <n v="21.727"/>
  </r>
  <r>
    <x v="11"/>
    <n v="17.855"/>
  </r>
  <r>
    <x v="10"/>
    <n v="111.982"/>
  </r>
  <r>
    <x v="9"/>
    <n v="1115.529"/>
  </r>
  <r>
    <x v="6"/>
    <n v="5277.4859999999999"/>
  </r>
  <r>
    <x v="9"/>
    <n v="210.87899999999999"/>
  </r>
  <r>
    <x v="6"/>
    <n v="3844.7759999999998"/>
  </r>
  <r>
    <x v="6"/>
    <n v="10.574"/>
  </r>
  <r>
    <x v="11"/>
    <n v="1482.354"/>
  </r>
  <r>
    <x v="3"/>
    <m/>
  </r>
  <r>
    <x v="11"/>
    <n v="1862.7929999999999"/>
  </r>
  <r>
    <x v="6"/>
    <n v="66.010999999999996"/>
  </r>
  <r>
    <x v="19"/>
    <n v="596.95399999999995"/>
  </r>
  <r>
    <x v="6"/>
    <n v="3803.7289999999998"/>
  </r>
  <r>
    <x v="11"/>
    <n v="1.2"/>
  </r>
  <r>
    <x v="2"/>
    <n v="1328.7760000000001"/>
  </r>
  <r>
    <x v="6"/>
    <n v="7879.8559999999998"/>
  </r>
  <r>
    <x v="2"/>
    <n v="110.721"/>
  </r>
  <r>
    <x v="11"/>
    <n v="6.7169999999999996"/>
  </r>
  <r>
    <x v="15"/>
    <n v="31.146000000000001"/>
  </r>
  <r>
    <x v="2"/>
    <n v="1795.67"/>
  </r>
  <r>
    <x v="2"/>
    <n v="777.47199999999998"/>
  </r>
  <r>
    <x v="6"/>
    <n v="63.762999999999998"/>
  </r>
  <r>
    <x v="20"/>
    <n v="152.61099999999999"/>
  </r>
  <r>
    <x v="19"/>
    <n v="179.874"/>
  </r>
  <r>
    <x v="19"/>
    <n v="2355.4949999999999"/>
  </r>
  <r>
    <x v="19"/>
    <n v="2.726"/>
  </r>
  <r>
    <x v="6"/>
    <n v="734.15599999999995"/>
  </r>
  <r>
    <x v="6"/>
    <n v="254.18299999999999"/>
  </r>
  <r>
    <x v="15"/>
    <n v="8777.3289999999997"/>
  </r>
  <r>
    <x v="2"/>
    <n v="302.392"/>
  </r>
  <r>
    <x v="11"/>
    <n v="3355.9140000000002"/>
  </r>
  <r>
    <x v="6"/>
    <n v="94.695999999999998"/>
  </r>
  <r>
    <x v="19"/>
    <n v="263.86900000000003"/>
  </r>
  <r>
    <x v="1"/>
    <n v="74.822000000000003"/>
  </r>
  <r>
    <x v="1"/>
    <n v="91.091999999999999"/>
  </r>
  <r>
    <x v="2"/>
    <n v="17690.111000000001"/>
  </r>
  <r>
    <x v="2"/>
    <n v="443.31599999999997"/>
  </r>
  <r>
    <x v="19"/>
    <n v="61.067"/>
  </r>
  <r>
    <x v="1"/>
    <n v="76.686000000000007"/>
  </r>
  <r>
    <x v="6"/>
    <n v="102.533"/>
  </r>
  <r>
    <x v="2"/>
    <n v="8.91"/>
  </r>
  <r>
    <x v="1"/>
    <n v="105.717"/>
  </r>
  <r>
    <x v="15"/>
    <n v="5.08"/>
  </r>
  <r>
    <x v="15"/>
    <n v="50.051000000000002"/>
  </r>
  <r>
    <x v="16"/>
    <n v="20.45"/>
  </r>
  <r>
    <x v="6"/>
    <n v="514.69200000000001"/>
  </r>
  <r>
    <x v="2"/>
    <n v="38900.089999999997"/>
  </r>
  <r>
    <x v="11"/>
    <n v="58.133000000000003"/>
  </r>
  <r>
    <x v="28"/>
    <n v="59.762"/>
  </r>
  <r>
    <x v="6"/>
    <n v="593.79399999999998"/>
  </r>
  <r>
    <x v="6"/>
    <n v="281.21499999999997"/>
  </r>
  <r>
    <x v="9"/>
    <n v="29.699000000000002"/>
  </r>
  <r>
    <x v="2"/>
    <n v="25.774999999999999"/>
  </r>
  <r>
    <x v="2"/>
    <n v="32.935000000000002"/>
  </r>
  <r>
    <x v="17"/>
    <n v="312.61"/>
  </r>
  <r>
    <x v="6"/>
    <n v="9458.5810000000001"/>
  </r>
  <r>
    <x v="19"/>
    <n v="42.255000000000003"/>
  </r>
  <r>
    <x v="6"/>
    <n v="140.541"/>
  </r>
  <r>
    <x v="6"/>
    <n v="49.51"/>
  </r>
  <r>
    <x v="6"/>
    <n v="658.596"/>
  </r>
  <r>
    <x v="6"/>
    <n v="25.338000000000001"/>
  </r>
  <r>
    <x v="19"/>
    <n v="2.3759999999999999"/>
  </r>
  <r>
    <x v="2"/>
    <n v="9388.0709999999999"/>
  </r>
  <r>
    <x v="6"/>
    <n v="17.305"/>
  </r>
  <r>
    <x v="2"/>
    <n v="417.65699999999998"/>
  </r>
  <r>
    <x v="6"/>
    <n v="178.589"/>
  </r>
  <r>
    <x v="16"/>
    <n v="21.928000000000001"/>
  </r>
  <r>
    <x v="6"/>
    <n v="67.349000000000004"/>
  </r>
  <r>
    <x v="15"/>
    <n v="571.87800000000004"/>
  </r>
  <r>
    <x v="2"/>
    <n v="51.902000000000001"/>
  </r>
  <r>
    <x v="6"/>
    <n v="505.005"/>
  </r>
  <r>
    <x v="2"/>
    <n v="131.536"/>
  </r>
  <r>
    <x v="15"/>
    <n v="469.89800000000002"/>
  </r>
  <r>
    <x v="19"/>
    <n v="698.70600000000002"/>
  </r>
  <r>
    <x v="2"/>
    <n v="12772.132"/>
  </r>
  <r>
    <x v="1"/>
    <n v="26.716999999999999"/>
  </r>
  <r>
    <x v="19"/>
    <n v="244.02"/>
  </r>
  <r>
    <x v="6"/>
    <n v="396.86500000000001"/>
  </r>
  <r>
    <x v="1"/>
    <n v="29.852"/>
  </r>
  <r>
    <x v="11"/>
    <n v="763.83799999999997"/>
  </r>
  <r>
    <x v="6"/>
    <n v="41.042999999999999"/>
  </r>
  <r>
    <x v="15"/>
    <n v="11.317"/>
  </r>
  <r>
    <x v="6"/>
    <n v="13.333"/>
  </r>
  <r>
    <x v="9"/>
    <n v="79.361999999999995"/>
  </r>
  <r>
    <x v="15"/>
    <n v="857.83299999999997"/>
  </r>
  <r>
    <x v="11"/>
    <n v="232.13"/>
  </r>
  <r>
    <x v="2"/>
    <n v="517.74900000000002"/>
  </r>
  <r>
    <x v="16"/>
    <n v="6.3159999999999998"/>
  </r>
  <r>
    <x v="6"/>
    <n v="218.709"/>
  </r>
  <r>
    <x v="2"/>
    <n v="232.887"/>
  </r>
  <r>
    <x v="1"/>
    <n v="29.690999999999999"/>
  </r>
  <r>
    <x v="19"/>
    <n v="193.63200000000001"/>
  </r>
  <r>
    <x v="6"/>
    <n v="163.815"/>
  </r>
  <r>
    <x v="28"/>
    <n v="1.984"/>
  </r>
  <r>
    <x v="2"/>
    <n v="419.84199999999998"/>
  </r>
  <r>
    <x v="28"/>
    <n v="15.678000000000001"/>
  </r>
  <r>
    <x v="7"/>
    <n v="53.448999999999998"/>
  </r>
  <r>
    <x v="2"/>
    <n v="67.194999999999993"/>
  </r>
  <r>
    <x v="2"/>
    <n v="513.85599999999999"/>
  </r>
  <r>
    <x v="6"/>
    <n v="39.389000000000003"/>
  </r>
  <r>
    <x v="1"/>
    <n v="25.390999999999998"/>
  </r>
  <r>
    <x v="6"/>
    <n v="1617.94"/>
  </r>
  <r>
    <x v="11"/>
    <n v="8.7439999999999998"/>
  </r>
  <r>
    <x v="31"/>
    <n v="17.119"/>
  </r>
  <r>
    <x v="2"/>
    <n v="286.04300000000001"/>
  </r>
  <r>
    <x v="6"/>
    <n v="137.63300000000001"/>
  </r>
  <r>
    <x v="6"/>
    <n v="106.18"/>
  </r>
  <r>
    <x v="2"/>
    <n v="2340.1759999999999"/>
  </r>
  <r>
    <x v="11"/>
    <n v="163.68799999999999"/>
  </r>
  <r>
    <x v="15"/>
    <n v="188.315"/>
  </r>
  <r>
    <x v="1"/>
    <n v="8.532"/>
  </r>
  <r>
    <x v="6"/>
    <n v="6308.6729999999998"/>
  </r>
  <r>
    <x v="9"/>
    <n v="296.238"/>
  </r>
  <r>
    <x v="2"/>
    <n v="9.6920000000000002"/>
  </r>
  <r>
    <x v="15"/>
    <n v="5.702"/>
  </r>
  <r>
    <x v="6"/>
    <n v="409.18599999999998"/>
  </r>
  <r>
    <x v="2"/>
    <n v="46703.199000000001"/>
  </r>
  <r>
    <x v="2"/>
    <n v="3.5230000000000001"/>
  </r>
  <r>
    <x v="2"/>
    <n v="271.86099999999999"/>
  </r>
  <r>
    <x v="19"/>
    <n v="744.69100000000003"/>
  </r>
  <r>
    <x v="15"/>
    <n v="265.447"/>
  </r>
  <r>
    <x v="11"/>
    <n v="28.106999999999999"/>
  </r>
  <r>
    <x v="2"/>
    <n v="114.262"/>
  </r>
  <r>
    <x v="1"/>
    <n v="34.988999999999997"/>
  </r>
  <r>
    <x v="2"/>
    <n v="50.338999999999999"/>
  </r>
  <r>
    <x v="11"/>
    <n v="151.124"/>
  </r>
  <r>
    <x v="9"/>
    <n v="46.578000000000003"/>
  </r>
  <r>
    <x v="1"/>
    <n v="304.85700000000003"/>
  </r>
  <r>
    <x v="19"/>
    <n v="8.9209999999999994"/>
  </r>
  <r>
    <x v="6"/>
    <n v="27.239000000000001"/>
  </r>
  <r>
    <x v="1"/>
    <n v="255.91900000000001"/>
  </r>
  <r>
    <x v="11"/>
    <n v="76.158000000000001"/>
  </r>
  <r>
    <x v="9"/>
    <n v="187.71899999999999"/>
  </r>
  <r>
    <x v="6"/>
    <n v="34.271999999999998"/>
  </r>
  <r>
    <x v="9"/>
    <n v="685.13300000000004"/>
  </r>
  <r>
    <x v="6"/>
    <n v="681.78200000000004"/>
  </r>
  <r>
    <x v="10"/>
    <n v="1018.973"/>
  </r>
  <r>
    <x v="20"/>
    <n v="593.39700000000005"/>
  </r>
  <r>
    <x v="11"/>
    <n v="62.503"/>
  </r>
  <r>
    <x v="2"/>
    <n v="243.72300000000001"/>
  </r>
  <r>
    <x v="11"/>
    <n v="61.557000000000002"/>
  </r>
  <r>
    <x v="6"/>
    <n v="9.2479999999999993"/>
  </r>
  <r>
    <x v="28"/>
    <n v="291.94299999999998"/>
  </r>
  <r>
    <x v="1"/>
    <n v="325.82799999999997"/>
  </r>
  <r>
    <x v="2"/>
    <n v="30.295000000000002"/>
  </r>
  <r>
    <x v="6"/>
    <n v="58.31"/>
  </r>
  <r>
    <x v="2"/>
    <n v="959.07600000000002"/>
  </r>
  <r>
    <x v="1"/>
    <n v="21.361999999999998"/>
  </r>
  <r>
    <x v="11"/>
    <n v="2643.136"/>
  </r>
  <r>
    <x v="1"/>
    <n v="181.678"/>
  </r>
  <r>
    <x v="6"/>
    <n v="228.91200000000001"/>
  </r>
  <r>
    <x v="19"/>
    <n v="345.44499999999999"/>
  </r>
  <r>
    <x v="11"/>
    <n v="1077.8679999999999"/>
  </r>
  <r>
    <x v="15"/>
    <n v="65.283000000000001"/>
  </r>
  <r>
    <x v="9"/>
    <n v="489.60199999999998"/>
  </r>
  <r>
    <x v="30"/>
    <n v="37.488"/>
  </r>
  <r>
    <x v="15"/>
    <n v="4281.2"/>
  </r>
  <r>
    <x v="28"/>
    <n v="10.177"/>
  </r>
  <r>
    <x v="2"/>
    <n v="158.80000000000001"/>
  </r>
  <r>
    <x v="9"/>
    <n v="12.616"/>
  </r>
  <r>
    <x v="15"/>
    <n v="156.92699999999999"/>
  </r>
  <r>
    <x v="19"/>
    <n v="50.402999999999999"/>
  </r>
  <r>
    <x v="6"/>
    <n v="575.65"/>
  </r>
  <r>
    <x v="11"/>
    <n v="1.44"/>
  </r>
  <r>
    <x v="11"/>
    <n v="2640.1129999999998"/>
  </r>
  <r>
    <x v="6"/>
    <n v="10190.210999999999"/>
  </r>
  <r>
    <x v="15"/>
    <n v="679.27599999999995"/>
  </r>
  <r>
    <x v="2"/>
    <n v="59.512"/>
  </r>
  <r>
    <x v="6"/>
    <n v="326.87"/>
  </r>
  <r>
    <x v="15"/>
    <n v="18.260000000000002"/>
  </r>
  <r>
    <x v="19"/>
    <n v="55.813000000000002"/>
  </r>
  <r>
    <x v="6"/>
    <n v="2693.895"/>
  </r>
  <r>
    <x v="15"/>
    <n v="15.568"/>
  </r>
  <r>
    <x v="9"/>
    <n v="2.9550000000000001"/>
  </r>
  <r>
    <x v="11"/>
    <n v="64.221999999999994"/>
  </r>
  <r>
    <x v="6"/>
    <n v="10.018000000000001"/>
  </r>
  <r>
    <x v="28"/>
    <n v="248.83799999999999"/>
  </r>
  <r>
    <x v="30"/>
    <n v="2.0419999999999998"/>
  </r>
  <r>
    <x v="6"/>
    <n v="2770.922"/>
  </r>
  <r>
    <x v="15"/>
    <n v="91.567999999999998"/>
  </r>
  <r>
    <x v="6"/>
    <n v="15.441000000000001"/>
  </r>
  <r>
    <x v="2"/>
    <n v="52.043999999999997"/>
  </r>
  <r>
    <x v="6"/>
    <n v="58.386000000000003"/>
  </r>
  <r>
    <x v="4"/>
    <n v="12.26"/>
  </r>
  <r>
    <x v="15"/>
    <n v="128.92400000000001"/>
  </r>
  <r>
    <x v="15"/>
    <n v="1174.5409999999999"/>
  </r>
  <r>
    <x v="15"/>
    <n v="9.9760000000000009"/>
  </r>
  <r>
    <x v="15"/>
    <n v="33.643999999999998"/>
  </r>
  <r>
    <x v="28"/>
    <n v="10.162000000000001"/>
  </r>
  <r>
    <x v="15"/>
    <n v="209.13"/>
  </r>
  <r>
    <x v="11"/>
    <n v="198.76400000000001"/>
  </r>
  <r>
    <x v="6"/>
    <n v="72.706000000000003"/>
  </r>
  <r>
    <x v="6"/>
    <n v="110.616"/>
  </r>
  <r>
    <x v="6"/>
    <n v="5.1029999999999998"/>
  </r>
  <r>
    <x v="2"/>
    <n v="145.10499999999999"/>
  </r>
  <r>
    <x v="19"/>
    <n v="447.48500000000001"/>
  </r>
  <r>
    <x v="6"/>
    <n v="10.407999999999999"/>
  </r>
  <r>
    <x v="1"/>
    <n v="272.10899999999998"/>
  </r>
  <r>
    <x v="6"/>
    <n v="5655.4290000000001"/>
  </r>
  <r>
    <x v="1"/>
    <n v="642.95600000000002"/>
  </r>
  <r>
    <x v="6"/>
    <n v="152.202"/>
  </r>
  <r>
    <x v="6"/>
    <n v="65.647000000000006"/>
  </r>
  <r>
    <x v="2"/>
    <n v="9.2210000000000001"/>
  </r>
  <r>
    <x v="6"/>
    <n v="58.203000000000003"/>
  </r>
  <r>
    <x v="6"/>
    <n v="641.74300000000005"/>
  </r>
  <r>
    <x v="1"/>
    <n v="127.89400000000001"/>
  </r>
  <r>
    <x v="2"/>
    <n v="56.600999999999999"/>
  </r>
  <r>
    <x v="28"/>
    <n v="3.4470000000000001"/>
  </r>
  <r>
    <x v="15"/>
    <n v="292.83199999999999"/>
  </r>
  <r>
    <x v="15"/>
    <n v="57.68"/>
  </r>
  <r>
    <x v="10"/>
    <n v="39.359000000000002"/>
  </r>
  <r>
    <x v="2"/>
    <n v="42.893000000000001"/>
  </r>
  <r>
    <x v="9"/>
    <n v="57.091000000000001"/>
  </r>
  <r>
    <x v="6"/>
    <n v="95.644000000000005"/>
  </r>
  <r>
    <x v="32"/>
    <m/>
  </r>
  <r>
    <x v="10"/>
    <n v="18.849"/>
  </r>
  <r>
    <x v="15"/>
    <n v="4592.7070000000003"/>
  </r>
  <r>
    <x v="15"/>
    <n v="35.088999999999999"/>
  </r>
  <r>
    <x v="15"/>
    <n v="648.846"/>
  </r>
  <r>
    <x v="15"/>
    <n v="511.45"/>
  </r>
  <r>
    <x v="1"/>
    <n v="17.085000000000001"/>
  </r>
  <r>
    <x v="15"/>
    <n v="271.815"/>
  </r>
  <r>
    <x v="28"/>
    <n v="2746.8119999999999"/>
  </r>
  <r>
    <x v="6"/>
    <n v="216.44300000000001"/>
  </r>
  <r>
    <x v="2"/>
    <n v="355.59300000000002"/>
  </r>
  <r>
    <x v="10"/>
    <n v="45.939"/>
  </r>
  <r>
    <x v="7"/>
    <n v="332.66"/>
  </r>
  <r>
    <x v="15"/>
    <n v="2257.8809999999999"/>
  </r>
  <r>
    <x v="19"/>
    <n v="1.234"/>
  </r>
  <r>
    <x v="15"/>
    <n v="235.06200000000001"/>
  </r>
  <r>
    <x v="15"/>
    <n v="11.821"/>
  </r>
  <r>
    <x v="7"/>
    <n v="171.05600000000001"/>
  </r>
  <r>
    <x v="9"/>
    <n v="14.976000000000001"/>
  </r>
  <r>
    <x v="15"/>
    <n v="1507.788"/>
  </r>
  <r>
    <x v="1"/>
    <n v="206.71799999999999"/>
  </r>
  <r>
    <x v="19"/>
    <n v="18.391999999999999"/>
  </r>
  <r>
    <x v="2"/>
    <n v="4.3940000000000001"/>
  </r>
  <r>
    <x v="15"/>
    <n v="21.109000000000002"/>
  </r>
  <r>
    <x v="15"/>
    <n v="29.462"/>
  </r>
  <r>
    <x v="7"/>
    <n v="24.17"/>
  </r>
  <r>
    <x v="11"/>
    <n v="418.69400000000002"/>
  </r>
  <r>
    <x v="6"/>
    <n v="8808.098"/>
  </r>
  <r>
    <x v="15"/>
    <n v="137.30699999999999"/>
  </r>
  <r>
    <x v="9"/>
    <n v="240.34299999999999"/>
  </r>
  <r>
    <x v="15"/>
    <n v="3303.25"/>
  </r>
  <r>
    <x v="11"/>
    <n v="417.834"/>
  </r>
  <r>
    <x v="7"/>
    <n v="15.07"/>
  </r>
  <r>
    <x v="1"/>
    <n v="79.957999999999998"/>
  </r>
  <r>
    <x v="10"/>
    <n v="20.385999999999999"/>
  </r>
  <r>
    <x v="1"/>
    <n v="44.542000000000002"/>
  </r>
  <r>
    <x v="15"/>
    <n v="19.253"/>
  </r>
  <r>
    <x v="15"/>
    <n v="72.742000000000004"/>
  </r>
  <r>
    <x v="15"/>
    <n v="516.83600000000001"/>
  </r>
  <r>
    <x v="15"/>
    <n v="1740.808"/>
  </r>
  <r>
    <x v="15"/>
    <n v="1709.2380000000001"/>
  </r>
  <r>
    <x v="15"/>
    <n v="1732.441"/>
  </r>
  <r>
    <x v="15"/>
    <n v="302.84100000000001"/>
  </r>
  <r>
    <x v="6"/>
    <n v="25.56"/>
  </r>
  <r>
    <x v="9"/>
    <n v="1028.0899999999999"/>
  </r>
  <r>
    <x v="2"/>
    <n v="195.084"/>
  </r>
  <r>
    <x v="33"/>
    <m/>
  </r>
  <r>
    <x v="7"/>
    <n v="1.01"/>
  </r>
  <r>
    <x v="11"/>
    <n v="5066.1400000000003"/>
  </r>
  <r>
    <x v="2"/>
    <n v="16.692"/>
  </r>
  <r>
    <x v="15"/>
    <n v="2108.1"/>
  </r>
  <r>
    <x v="11"/>
    <n v="20.920999999999999"/>
  </r>
  <r>
    <x v="1"/>
    <n v="3.6269999999999998"/>
  </r>
  <r>
    <x v="2"/>
    <n v="6452.1809999999996"/>
  </r>
  <r>
    <x v="15"/>
    <n v="4.5019999999999998"/>
  </r>
  <r>
    <x v="6"/>
    <n v="18.734000000000002"/>
  </r>
  <r>
    <x v="6"/>
    <n v="2133.759"/>
  </r>
  <r>
    <x v="6"/>
    <n v="4836.2389999999996"/>
  </r>
  <r>
    <x v="15"/>
    <n v="66.813999999999993"/>
  </r>
  <r>
    <x v="15"/>
    <n v="83.804000000000002"/>
  </r>
  <r>
    <x v="11"/>
    <n v="296.262"/>
  </r>
  <r>
    <x v="15"/>
    <n v="586.548"/>
  </r>
  <r>
    <x v="6"/>
    <n v="7.4429999999999996"/>
  </r>
  <r>
    <x v="15"/>
    <n v="4920.3040000000001"/>
  </r>
  <r>
    <x v="2"/>
    <n v="1.4219999999999999"/>
  </r>
  <r>
    <x v="15"/>
    <n v="24.361999999999998"/>
  </r>
  <r>
    <x v="10"/>
    <n v="1.21"/>
  </r>
  <r>
    <x v="1"/>
    <n v="74.542000000000002"/>
  </r>
  <r>
    <x v="15"/>
    <n v="3064.6460000000002"/>
  </r>
  <r>
    <x v="15"/>
    <n v="86.356999999999999"/>
  </r>
  <r>
    <x v="10"/>
    <n v="257.87400000000002"/>
  </r>
  <r>
    <x v="19"/>
    <n v="119.831"/>
  </r>
  <r>
    <x v="15"/>
    <n v="3807.4389999999999"/>
  </r>
  <r>
    <x v="15"/>
    <n v="447.27499999999998"/>
  </r>
  <r>
    <x v="15"/>
    <n v="8.7370000000000001"/>
  </r>
  <r>
    <x v="16"/>
    <n v="9.5869999999999997"/>
  </r>
  <r>
    <x v="15"/>
    <n v="21.834"/>
  </r>
  <r>
    <x v="15"/>
    <n v="3598.64"/>
  </r>
  <r>
    <x v="2"/>
    <n v="46.375"/>
  </r>
  <r>
    <x v="15"/>
    <n v="1248.865"/>
  </r>
  <r>
    <x v="9"/>
    <n v="3.6520000000000001"/>
  </r>
  <r>
    <x v="6"/>
    <n v="2621.9259999999999"/>
  </r>
  <r>
    <x v="15"/>
    <n v="210.559"/>
  </r>
  <r>
    <x v="20"/>
    <n v="201.208"/>
  </r>
  <r>
    <x v="9"/>
    <n v="22.524000000000001"/>
  </r>
  <r>
    <x v="19"/>
    <n v="93.665999999999997"/>
  </r>
  <r>
    <x v="15"/>
    <n v="1964.0260000000001"/>
  </r>
  <r>
    <x v="9"/>
    <n v="22.777000000000001"/>
  </r>
  <r>
    <x v="6"/>
    <n v="5155.8540000000003"/>
  </r>
  <r>
    <x v="6"/>
    <n v="1332.904"/>
  </r>
  <r>
    <x v="9"/>
    <n v="787.87099999999998"/>
  </r>
  <r>
    <x v="27"/>
    <n v="2.4369999999999998"/>
  </r>
  <r>
    <x v="6"/>
    <n v="389.77499999999998"/>
  </r>
  <r>
    <x v="15"/>
    <n v="241.27699999999999"/>
  </r>
  <r>
    <x v="20"/>
    <n v="227.36699999999999"/>
  </r>
  <r>
    <x v="6"/>
    <n v="2621.9259999999999"/>
  </r>
  <r>
    <x v="11"/>
    <n v="3239.9009999999998"/>
  </r>
  <r>
    <x v="28"/>
    <n v="2.5539999999999998"/>
  </r>
  <r>
    <x v="1"/>
    <n v="221.05799999999999"/>
  </r>
  <r>
    <x v="28"/>
    <n v="1456.5809999999999"/>
  </r>
  <r>
    <x v="6"/>
    <n v="5.0739999999999998"/>
  </r>
  <r>
    <x v="2"/>
    <n v="269.899"/>
  </r>
  <r>
    <x v="28"/>
    <n v="356.57799999999997"/>
  </r>
  <r>
    <x v="6"/>
    <n v="175.37"/>
  </r>
  <r>
    <x v="9"/>
    <n v="299.86"/>
  </r>
  <r>
    <x v="15"/>
    <n v="2720.53"/>
  </r>
  <r>
    <x v="11"/>
    <n v="33.514000000000003"/>
  </r>
  <r>
    <x v="1"/>
    <n v="78.061000000000007"/>
  </r>
  <r>
    <x v="2"/>
    <n v="158.298"/>
  </r>
  <r>
    <x v="1"/>
    <n v="14.273999999999999"/>
  </r>
  <r>
    <x v="10"/>
    <n v="298.39100000000002"/>
  </r>
  <r>
    <x v="11"/>
    <n v="578.23500000000001"/>
  </r>
  <r>
    <x v="28"/>
    <n v="688.83399999999995"/>
  </r>
  <r>
    <x v="15"/>
    <n v="1146.5119999999999"/>
  </r>
  <r>
    <x v="1"/>
    <n v="10.513"/>
  </r>
  <r>
    <x v="6"/>
    <n v="14.87"/>
  </r>
  <r>
    <x v="30"/>
    <n v="71.546999999999997"/>
  </r>
  <r>
    <x v="15"/>
    <n v="3025.7539999999999"/>
  </r>
  <r>
    <x v="15"/>
    <n v="21.052"/>
  </r>
  <r>
    <x v="1"/>
    <n v="287.06799999999998"/>
  </r>
  <r>
    <x v="11"/>
    <n v="397.30399999999997"/>
  </r>
  <r>
    <x v="15"/>
    <n v="7.7370000000000001"/>
  </r>
  <r>
    <x v="6"/>
    <n v="442.76299999999998"/>
  </r>
  <r>
    <x v="2"/>
    <n v="7656.3670000000002"/>
  </r>
  <r>
    <x v="2"/>
    <n v="160.37299999999999"/>
  </r>
  <r>
    <x v="15"/>
    <n v="1156.1510000000001"/>
  </r>
  <r>
    <x v="2"/>
    <n v="639.80499999999995"/>
  </r>
  <r>
    <x v="1"/>
    <n v="41.261000000000003"/>
  </r>
  <r>
    <x v="15"/>
    <n v="803.92200000000003"/>
  </r>
  <r>
    <x v="9"/>
    <n v="14.086"/>
  </r>
  <r>
    <x v="15"/>
    <n v="7.7990000000000004"/>
  </r>
  <r>
    <x v="1"/>
    <n v="2606.9609999999998"/>
  </r>
  <r>
    <x v="1"/>
    <n v="867.37900000000002"/>
  </r>
  <r>
    <x v="15"/>
    <n v="149.34800000000001"/>
  </r>
  <r>
    <x v="11"/>
    <n v="12.846"/>
  </r>
  <r>
    <x v="6"/>
    <n v="5349.6980000000003"/>
  </r>
  <r>
    <x v="1"/>
    <n v="27.568999999999999"/>
  </r>
  <r>
    <x v="11"/>
    <n v="4.6269999999999998"/>
  </r>
  <r>
    <x v="15"/>
    <n v="321.25799999999998"/>
  </r>
  <r>
    <x v="1"/>
    <n v="30.27"/>
  </r>
  <r>
    <x v="2"/>
    <n v="62.521999999999998"/>
  </r>
  <r>
    <x v="1"/>
    <n v="751.07399999999996"/>
  </r>
  <r>
    <x v="9"/>
    <n v="56.488"/>
  </r>
  <r>
    <x v="1"/>
    <n v="20.006"/>
  </r>
  <r>
    <x v="10"/>
    <n v="82.126000000000005"/>
  </r>
  <r>
    <x v="15"/>
    <n v="33.941000000000003"/>
  </r>
  <r>
    <x v="10"/>
    <n v="205.78800000000001"/>
  </r>
  <r>
    <x v="1"/>
    <n v="353.56"/>
  </r>
  <r>
    <x v="28"/>
    <n v="1169.0989999999999"/>
  </r>
  <r>
    <x v="15"/>
    <n v="1449.288"/>
  </r>
  <r>
    <x v="6"/>
    <n v="1005.502"/>
  </r>
  <r>
    <x v="1"/>
    <n v="12.077999999999999"/>
  </r>
  <r>
    <x v="15"/>
    <n v="11.557"/>
  </r>
  <r>
    <x v="15"/>
    <n v="1124.271"/>
  </r>
  <r>
    <x v="26"/>
    <n v="25.741"/>
  </r>
  <r>
    <x v="11"/>
    <n v="845.33500000000004"/>
  </r>
  <r>
    <x v="15"/>
    <n v="578.67499999999995"/>
  </r>
  <r>
    <x v="11"/>
    <n v="24.974"/>
  </r>
  <r>
    <x v="2"/>
    <n v="19.465"/>
  </r>
  <r>
    <x v="6"/>
    <n v="103.474"/>
  </r>
  <r>
    <x v="9"/>
    <n v="1260.1289999999999"/>
  </r>
  <r>
    <x v="10"/>
    <n v="1325.579"/>
  </r>
  <r>
    <x v="1"/>
    <n v="7.8869999999999996"/>
  </r>
  <r>
    <x v="9"/>
    <n v="159.542"/>
  </r>
  <r>
    <x v="1"/>
    <n v="46.831000000000003"/>
  </r>
  <r>
    <x v="1"/>
    <n v="131.92099999999999"/>
  </r>
  <r>
    <x v="28"/>
    <n v="548.46600000000001"/>
  </r>
  <r>
    <x v="15"/>
    <n v="520.63699999999994"/>
  </r>
  <r>
    <x v="9"/>
    <n v="17.654"/>
  </r>
  <r>
    <x v="15"/>
    <n v="1056.798"/>
  </r>
  <r>
    <x v="15"/>
    <n v="65.305999999999997"/>
  </r>
  <r>
    <x v="15"/>
    <n v="1806.3219999999999"/>
  </r>
  <r>
    <x v="1"/>
    <n v="704.43700000000001"/>
  </r>
  <r>
    <x v="15"/>
    <n v="1248.27"/>
  </r>
  <r>
    <x v="15"/>
    <n v="5792.2359999999999"/>
  </r>
  <r>
    <x v="15"/>
    <n v="1178.691"/>
  </r>
  <r>
    <x v="15"/>
    <n v="7231.2470000000003"/>
  </r>
  <r>
    <x v="1"/>
    <n v="4.7060000000000004"/>
  </r>
  <r>
    <x v="1"/>
    <n v="1442.7809999999999"/>
  </r>
  <r>
    <x v="6"/>
    <n v="84.39"/>
  </r>
  <r>
    <x v="10"/>
    <n v="18.241"/>
  </r>
  <r>
    <x v="15"/>
    <n v="724.61500000000001"/>
  </r>
  <r>
    <x v="15"/>
    <n v="1022.704"/>
  </r>
  <r>
    <x v="1"/>
    <n v="30.190999999999999"/>
  </r>
  <r>
    <x v="15"/>
    <n v="13.818"/>
  </r>
  <r>
    <x v="1"/>
    <n v="49.460999999999999"/>
  </r>
  <r>
    <x v="10"/>
    <n v="52.033999999999999"/>
  </r>
  <r>
    <x v="1"/>
    <n v="474.55500000000001"/>
  </r>
  <r>
    <x v="10"/>
    <n v="370.48399999999998"/>
  </r>
  <r>
    <x v="15"/>
    <n v="464.22899999999998"/>
  </r>
  <r>
    <x v="1"/>
    <n v="347.88299999999998"/>
  </r>
  <r>
    <x v="1"/>
    <n v="373.99599999999998"/>
  </r>
  <r>
    <x v="15"/>
    <n v="77.691000000000003"/>
  </r>
  <r>
    <x v="9"/>
    <n v="28.396000000000001"/>
  </r>
  <r>
    <x v="15"/>
    <n v="43.348999999999997"/>
  </r>
  <r>
    <x v="15"/>
    <n v="72.224999999999994"/>
  </r>
  <r>
    <x v="9"/>
    <n v="97.213999999999999"/>
  </r>
  <r>
    <x v="10"/>
    <n v="309.91500000000002"/>
  </r>
  <r>
    <x v="10"/>
    <n v="23.937000000000001"/>
  </r>
  <r>
    <x v="9"/>
    <n v="35.585999999999999"/>
  </r>
  <r>
    <x v="10"/>
    <n v="88.522000000000006"/>
  </r>
  <r>
    <x v="1"/>
    <n v="7.94"/>
  </r>
  <r>
    <x v="6"/>
    <n v="891.44799999999998"/>
  </r>
  <r>
    <x v="1"/>
    <n v="58.518000000000001"/>
  </r>
  <r>
    <x v="1"/>
    <n v="103.965"/>
  </r>
  <r>
    <x v="9"/>
    <n v="58.566000000000003"/>
  </r>
  <r>
    <x v="10"/>
    <n v="403.00200000000001"/>
  </r>
  <r>
    <x v="9"/>
    <n v="93.983000000000004"/>
  </r>
  <r>
    <x v="11"/>
    <n v="12.124000000000001"/>
  </r>
  <r>
    <x v="1"/>
    <n v="155.73699999999999"/>
  </r>
  <r>
    <x v="10"/>
    <n v="132.41300000000001"/>
  </r>
  <r>
    <x v="1"/>
    <n v="79.03"/>
  </r>
  <r>
    <x v="1"/>
    <n v="55.423999999999999"/>
  </r>
  <r>
    <x v="18"/>
    <n v="205.50399999999999"/>
  </r>
  <r>
    <x v="10"/>
    <n v="24.257999999999999"/>
  </r>
  <r>
    <x v="9"/>
    <n v="2672.683"/>
  </r>
  <r>
    <x v="10"/>
    <n v="964.13300000000004"/>
  </r>
  <r>
    <x v="9"/>
    <n v="33.360999999999997"/>
  </r>
  <r>
    <x v="9"/>
    <n v="88.74"/>
  </r>
  <r>
    <x v="2"/>
    <n v="43.832000000000001"/>
  </r>
  <r>
    <x v="9"/>
    <n v="49.444000000000003"/>
  </r>
  <r>
    <x v="9"/>
    <n v="31.986999999999998"/>
  </r>
  <r>
    <x v="10"/>
    <n v="935.21299999999997"/>
  </r>
  <r>
    <x v="1"/>
    <n v="400.62400000000002"/>
  </r>
  <r>
    <x v="9"/>
    <n v="39.563000000000002"/>
  </r>
  <r>
    <x v="6"/>
    <n v="324.80200000000002"/>
  </r>
  <r>
    <x v="9"/>
    <n v="466.53100000000001"/>
  </r>
  <r>
    <x v="1"/>
    <n v="16.033999999999999"/>
  </r>
  <r>
    <x v="9"/>
    <n v="36.140999999999998"/>
  </r>
  <r>
    <x v="10"/>
    <n v="2.9689999999999999"/>
  </r>
  <r>
    <x v="10"/>
    <n v="33.302999999999997"/>
  </r>
  <r>
    <x v="6"/>
    <n v="97.787000000000006"/>
  </r>
  <r>
    <x v="9"/>
    <n v="120.206"/>
  </r>
  <r>
    <x v="2"/>
    <n v="478.81599999999997"/>
  </r>
  <r>
    <x v="6"/>
    <n v="353.21899999999999"/>
  </r>
  <r>
    <x v="9"/>
    <n v="115.086"/>
  </r>
  <r>
    <x v="6"/>
    <n v="130.297"/>
  </r>
  <r>
    <x v="11"/>
    <n v="1366.941"/>
  </r>
  <r>
    <x v="16"/>
    <n v="0.25800000000000001"/>
  </r>
  <r>
    <x v="11"/>
    <n v="440.27600000000001"/>
  </r>
  <r>
    <x v="11"/>
    <n v="241.191"/>
  </r>
  <r>
    <x v="9"/>
    <n v="57.421999999999997"/>
  </r>
  <r>
    <x v="1"/>
    <n v="327.08499999999998"/>
  </r>
  <r>
    <x v="1"/>
    <n v="96.293000000000006"/>
  </r>
  <r>
    <x v="11"/>
    <n v="12.907"/>
  </r>
  <r>
    <x v="11"/>
    <n v="1440.8920000000001"/>
  </r>
  <r>
    <x v="6"/>
    <n v="97.290999999999997"/>
  </r>
  <r>
    <x v="9"/>
    <n v="53.53"/>
  </r>
  <r>
    <x v="1"/>
    <n v="24.393999999999998"/>
  </r>
  <r>
    <x v="6"/>
    <n v="4331.3670000000002"/>
  </r>
  <r>
    <x v="9"/>
    <n v="234.66800000000001"/>
  </r>
  <r>
    <x v="6"/>
    <n v="113.364"/>
  </r>
  <r>
    <x v="11"/>
    <n v="560.18799999999999"/>
  </r>
  <r>
    <x v="1"/>
    <n v="15.260999999999999"/>
  </r>
  <r>
    <x v="6"/>
    <n v="47.686999999999998"/>
  </r>
  <r>
    <x v="11"/>
    <n v="609.37099999999998"/>
  </r>
  <r>
    <x v="9"/>
    <n v="100.036"/>
  </r>
  <r>
    <x v="6"/>
    <n v="45.332999999999998"/>
  </r>
  <r>
    <x v="9"/>
    <n v="212.244"/>
  </r>
  <r>
    <x v="6"/>
    <n v="4.5490000000000004"/>
  </r>
  <r>
    <x v="11"/>
    <n v="183.428"/>
  </r>
  <r>
    <x v="9"/>
    <n v="104.28"/>
  </r>
  <r>
    <x v="11"/>
    <n v="155.27600000000001"/>
  </r>
  <r>
    <x v="9"/>
    <n v="43.393999999999998"/>
  </r>
  <r>
    <x v="9"/>
    <n v="6.9"/>
  </r>
  <r>
    <x v="10"/>
    <n v="287.51499999999999"/>
  </r>
  <r>
    <x v="1"/>
    <n v="55.18"/>
  </r>
  <r>
    <x v="6"/>
    <n v="335.35300000000001"/>
  </r>
  <r>
    <x v="6"/>
    <n v="51.143999999999998"/>
  </r>
  <r>
    <x v="6"/>
    <n v="601.70699999999999"/>
  </r>
  <r>
    <x v="34"/>
    <n v="358.64699999999999"/>
  </r>
  <r>
    <x v="26"/>
    <n v="70.08"/>
  </r>
  <r>
    <x v="6"/>
    <n v="121.145"/>
  </r>
  <r>
    <x v="11"/>
    <n v="164.917"/>
  </r>
  <r>
    <x v="1"/>
    <n v="73.206000000000003"/>
  </r>
  <r>
    <x v="1"/>
    <n v="38.146000000000001"/>
  </r>
  <r>
    <x v="6"/>
    <n v="26.675000000000001"/>
  </r>
  <r>
    <x v="1"/>
    <n v="3.9129999999999998"/>
  </r>
  <r>
    <x v="10"/>
    <n v="11.491"/>
  </r>
  <r>
    <x v="11"/>
    <n v="1938.136"/>
  </r>
  <r>
    <x v="11"/>
    <n v="631.79399999999998"/>
  </r>
  <r>
    <x v="10"/>
    <n v="165.01"/>
  </r>
  <r>
    <x v="6"/>
    <n v="3189.3180000000002"/>
  </r>
  <r>
    <x v="15"/>
    <n v="57.926000000000002"/>
  </r>
  <r>
    <x v="9"/>
    <n v="71.001999999999995"/>
  </r>
  <r>
    <x v="6"/>
    <n v="295.14699999999999"/>
  </r>
  <r>
    <x v="10"/>
    <n v="16.318000000000001"/>
  </r>
  <r>
    <x v="10"/>
    <n v="193.126"/>
  </r>
  <r>
    <x v="11"/>
    <n v="558.44500000000005"/>
  </r>
  <r>
    <x v="6"/>
    <n v="62.264000000000003"/>
  </r>
  <r>
    <x v="6"/>
    <n v="1420.7239999999999"/>
  </r>
  <r>
    <x v="26"/>
    <n v="40.622999999999998"/>
  </r>
  <r>
    <x v="9"/>
    <n v="319.02600000000001"/>
  </r>
  <r>
    <x v="6"/>
    <n v="4.33"/>
  </r>
  <r>
    <x v="1"/>
    <n v="263.06400000000002"/>
  </r>
  <r>
    <x v="11"/>
    <n v="484.62700000000001"/>
  </r>
  <r>
    <x v="1"/>
    <n v="42.499000000000002"/>
  </r>
  <r>
    <x v="9"/>
    <n v="41.731999999999999"/>
  </r>
  <r>
    <x v="6"/>
    <n v="109.627"/>
  </r>
  <r>
    <x v="10"/>
    <n v="71.53"/>
  </r>
  <r>
    <x v="9"/>
    <n v="117.355"/>
  </r>
  <r>
    <x v="1"/>
    <n v="162.75299999999999"/>
  </r>
  <r>
    <x v="6"/>
    <n v="19.608000000000001"/>
  </r>
  <r>
    <x v="11"/>
    <n v="30.535"/>
  </r>
  <r>
    <x v="1"/>
    <n v="36.195999999999998"/>
  </r>
  <r>
    <x v="1"/>
    <n v="40.284999999999997"/>
  </r>
  <r>
    <x v="1"/>
    <n v="251.876"/>
  </r>
  <r>
    <x v="10"/>
    <n v="6.1020000000000003"/>
  </r>
  <r>
    <x v="6"/>
    <n v="142.07"/>
  </r>
  <r>
    <x v="11"/>
    <n v="550.91999999999996"/>
  </r>
  <r>
    <x v="11"/>
    <n v="76.143000000000001"/>
  </r>
  <r>
    <x v="30"/>
    <n v="8.9060000000000006"/>
  </r>
  <r>
    <x v="1"/>
    <n v="509.47699999999998"/>
  </r>
  <r>
    <x v="11"/>
    <n v="32.469000000000001"/>
  </r>
  <r>
    <x v="15"/>
    <n v="635.45799999999997"/>
  </r>
  <r>
    <x v="15"/>
    <n v="273.87200000000001"/>
  </r>
  <r>
    <x v="1"/>
    <n v="3.1549999999999998"/>
  </r>
  <r>
    <x v="6"/>
    <n v="5573.51"/>
  </r>
  <r>
    <x v="11"/>
    <n v="3.3570000000000002"/>
  </r>
  <r>
    <x v="10"/>
    <n v="11.497999999999999"/>
  </r>
  <r>
    <x v="6"/>
    <n v="52.814"/>
  </r>
  <r>
    <x v="6"/>
    <n v="5313.04"/>
  </r>
  <r>
    <x v="1"/>
    <n v="20.512"/>
  </r>
  <r>
    <x v="11"/>
    <n v="4.17"/>
  </r>
  <r>
    <x v="10"/>
    <n v="10.929"/>
  </r>
  <r>
    <x v="10"/>
    <n v="171.262"/>
  </r>
  <r>
    <x v="10"/>
    <n v="26.416"/>
  </r>
  <r>
    <x v="6"/>
    <n v="3.46"/>
  </r>
  <r>
    <x v="6"/>
    <n v="12076.278"/>
  </r>
  <r>
    <x v="6"/>
    <n v="1454.9949999999999"/>
  </r>
  <r>
    <x v="6"/>
    <n v="228.959"/>
  </r>
  <r>
    <x v="10"/>
    <n v="1.9950000000000001"/>
  </r>
  <r>
    <x v="6"/>
    <n v="5129.6620000000003"/>
  </r>
  <r>
    <x v="11"/>
    <n v="836.82399999999996"/>
  </r>
  <r>
    <x v="19"/>
    <n v="2.1269999999999998"/>
  </r>
  <r>
    <x v="6"/>
    <n v="62.905999999999999"/>
  </r>
  <r>
    <x v="6"/>
    <n v="16.209"/>
  </r>
  <r>
    <x v="4"/>
    <n v="248.21600000000001"/>
  </r>
  <r>
    <x v="10"/>
    <n v="74.12"/>
  </r>
  <r>
    <x v="1"/>
    <n v="230.66300000000001"/>
  </r>
  <r>
    <x v="6"/>
    <n v="2967.7060000000001"/>
  </r>
  <r>
    <x v="6"/>
    <n v="271.80200000000002"/>
  </r>
  <r>
    <x v="2"/>
    <n v="162.22"/>
  </r>
  <r>
    <x v="10"/>
    <n v="169.88200000000001"/>
  </r>
  <r>
    <x v="6"/>
    <n v="994.82899999999995"/>
  </r>
  <r>
    <x v="6"/>
    <n v="751.61199999999997"/>
  </r>
  <r>
    <x v="10"/>
    <n v="25.84"/>
  </r>
  <r>
    <x v="1"/>
    <n v="20.280999999999999"/>
  </r>
  <r>
    <x v="10"/>
    <n v="2.3090000000000002"/>
  </r>
  <r>
    <x v="10"/>
    <n v="5.3109999999999999"/>
  </r>
  <r>
    <x v="10"/>
    <n v="261.69400000000002"/>
  </r>
  <r>
    <x v="11"/>
    <n v="3.3220000000000001"/>
  </r>
  <r>
    <x v="10"/>
    <n v="75.265000000000001"/>
  </r>
  <r>
    <x v="1"/>
    <n v="47.401000000000003"/>
  </r>
  <r>
    <x v="6"/>
    <n v="23.105"/>
  </r>
  <r>
    <x v="6"/>
    <n v="6956.7460000000001"/>
  </r>
  <r>
    <x v="10"/>
    <n v="42.616"/>
  </r>
  <r>
    <x v="1"/>
    <n v="754.95500000000004"/>
  </r>
  <r>
    <x v="11"/>
    <n v="1394.675"/>
  </r>
  <r>
    <x v="11"/>
    <n v="456.57400000000001"/>
  </r>
  <r>
    <x v="16"/>
    <n v="4.2640000000000002"/>
  </r>
  <r>
    <x v="16"/>
    <n v="12.98"/>
  </r>
  <r>
    <x v="16"/>
    <n v="42.786999999999999"/>
  </r>
  <r>
    <x v="16"/>
    <n v="71.063000000000002"/>
  </r>
  <r>
    <x v="16"/>
    <n v="4.7290000000000001"/>
  </r>
  <r>
    <x v="19"/>
    <n v="3.7480000000000002"/>
  </r>
  <r>
    <x v="16"/>
    <n v="1.296"/>
  </r>
  <r>
    <x v="1"/>
    <n v="1198.751"/>
  </r>
  <r>
    <x v="16"/>
    <n v="37.700000000000003"/>
  </r>
  <r>
    <x v="1"/>
    <n v="10.077"/>
  </r>
  <r>
    <x v="2"/>
    <m/>
  </r>
  <r>
    <x v="10"/>
    <n v="21.956"/>
  </r>
  <r>
    <x v="6"/>
    <n v="5.0549999999999997"/>
  </r>
  <r>
    <x v="16"/>
    <n v="24.707000000000001"/>
  </r>
  <r>
    <x v="1"/>
    <n v="23.276"/>
  </r>
  <r>
    <x v="1"/>
    <n v="403.60700000000003"/>
  </r>
  <r>
    <x v="9"/>
    <n v="54.551000000000002"/>
  </r>
  <r>
    <x v="1"/>
    <n v="9.6760000000000002"/>
  </r>
  <r>
    <x v="1"/>
    <n v="231.02099999999999"/>
  </r>
  <r>
    <x v="16"/>
    <n v="10.667999999999999"/>
  </r>
  <r>
    <x v="12"/>
    <n v="27.105"/>
  </r>
  <r>
    <x v="1"/>
    <n v="4.58"/>
  </r>
  <r>
    <x v="12"/>
    <n v="82.965999999999994"/>
  </r>
  <r>
    <x v="18"/>
    <n v="10.393000000000001"/>
  </r>
  <r>
    <x v="9"/>
    <n v="1.1890000000000001"/>
  </r>
  <r>
    <x v="12"/>
    <n v="10.041"/>
  </r>
  <r>
    <x v="12"/>
    <n v="4.3999999999999997E-2"/>
  </r>
  <r>
    <x v="12"/>
    <n v="0.65"/>
  </r>
  <r>
    <x v="18"/>
    <n v="24.411000000000001"/>
  </r>
  <r>
    <x v="17"/>
    <n v="38.557000000000002"/>
  </r>
  <r>
    <x v="19"/>
    <n v="79.512"/>
  </r>
  <r>
    <x v="1"/>
    <n v="375.416"/>
  </r>
  <r>
    <x v="6"/>
    <n v="55.457000000000001"/>
  </r>
  <r>
    <x v="1"/>
    <n v="145.572"/>
  </r>
  <r>
    <x v="18"/>
    <m/>
  </r>
  <r>
    <x v="1"/>
    <n v="81.257000000000005"/>
  </r>
  <r>
    <x v="11"/>
    <n v="3.2719999999999998"/>
  </r>
  <r>
    <x v="1"/>
    <n v="6.5270000000000001"/>
  </r>
  <r>
    <x v="9"/>
    <n v="3.73"/>
  </r>
  <r>
    <x v="9"/>
    <n v="3.75"/>
  </r>
  <r>
    <x v="9"/>
    <n v="53.579000000000001"/>
  </r>
  <r>
    <x v="11"/>
    <n v="243.46899999999999"/>
  </r>
  <r>
    <x v="6"/>
    <n v="29.166"/>
  </r>
  <r>
    <x v="2"/>
    <n v="380.75099999999998"/>
  </r>
  <r>
    <x v="2"/>
    <n v="1777.15"/>
  </r>
  <r>
    <x v="2"/>
    <n v="1854.816"/>
  </r>
  <r>
    <x v="2"/>
    <n v="373.46100000000001"/>
  </r>
  <r>
    <x v="2"/>
    <n v="459.09899999999999"/>
  </r>
  <r>
    <x v="10"/>
    <n v="0.85"/>
  </r>
  <r>
    <x v="10"/>
    <n v="1.766"/>
  </r>
  <r>
    <x v="10"/>
    <n v="0.85"/>
  </r>
  <r>
    <x v="10"/>
    <n v="1.962"/>
  </r>
  <r>
    <x v="10"/>
    <n v="0.85"/>
  </r>
  <r>
    <x v="9"/>
    <n v="0.67200000000000004"/>
  </r>
  <r>
    <x v="2"/>
    <n v="1"/>
  </r>
  <r>
    <x v="2"/>
    <n v="0.5"/>
  </r>
  <r>
    <x v="2"/>
    <n v="0.998"/>
  </r>
  <r>
    <x v="2"/>
    <n v="0.998"/>
  </r>
  <r>
    <x v="2"/>
    <n v="0.999"/>
  </r>
  <r>
    <x v="2"/>
    <n v="1"/>
  </r>
  <r>
    <x v="2"/>
    <n v="4.9950000000000001"/>
  </r>
  <r>
    <x v="6"/>
    <n v="62.851999999999997"/>
  </r>
  <r>
    <x v="10"/>
    <n v="13.303000000000001"/>
  </r>
  <r>
    <x v="6"/>
    <n v="60.106999999999999"/>
  </r>
  <r>
    <x v="9"/>
    <m/>
  </r>
  <r>
    <x v="6"/>
    <n v="13.225"/>
  </r>
  <r>
    <x v="6"/>
    <n v="24.100999999999999"/>
  </r>
  <r>
    <x v="2"/>
    <n v="0.751"/>
  </r>
  <r>
    <x v="2"/>
    <n v="458.93900000000002"/>
  </r>
  <r>
    <x v="2"/>
    <n v="50.481000000000002"/>
  </r>
  <r>
    <x v="2"/>
    <n v="129.49600000000001"/>
  </r>
  <r>
    <x v="6"/>
    <n v="19.984000000000002"/>
  </r>
  <r>
    <x v="6"/>
    <n v="23.9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数据透视表7" cacheId="18" autoFormatId="1" applyNumberFormats="0" applyBorderFormats="0" applyFontFormats="0" applyPatternFormats="0" applyAlignmentFormats="0" applyWidthHeightFormats="1" dataCaption="值" updatedVersion="8" minRefreshableVersion="3" createdVersion="8" useAutoFormatting="1" indent="0" outline="1" outlineData="1" showDrill="1" multipleFieldFilters="0">
  <location ref="G3:H39" firstHeaderRow="1" firstDataRow="1" firstDataCol="1"/>
  <pivotFields count="2">
    <pivotField axis="axisRow" sortType="descending" showAll="0">
      <items count="36">
        <item x="7"/>
        <item x="15"/>
        <item x="27"/>
        <item x="6"/>
        <item x="19"/>
        <item x="33"/>
        <item x="18"/>
        <item x="21"/>
        <item x="4"/>
        <item x="26"/>
        <item x="13"/>
        <item x="1"/>
        <item x="24"/>
        <item x="9"/>
        <item x="14"/>
        <item x="11"/>
        <item x="29"/>
        <item x="8"/>
        <item x="2"/>
        <item x="32"/>
        <item x="12"/>
        <item x="0"/>
        <item x="10"/>
        <item x="23"/>
        <item x="25"/>
        <item x="31"/>
        <item x="34"/>
        <item x="22"/>
        <item x="20"/>
        <item x="30"/>
        <item x="16"/>
        <item x="28"/>
        <item x="5"/>
        <item x="17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36">
    <i>
      <x v="18"/>
    </i>
    <i>
      <x v="3"/>
    </i>
    <i>
      <x v="15"/>
    </i>
    <i>
      <x v="13"/>
    </i>
    <i>
      <x v="1"/>
    </i>
    <i>
      <x v="34"/>
    </i>
    <i>
      <x v="4"/>
    </i>
    <i>
      <x v="11"/>
    </i>
    <i>
      <x v="30"/>
    </i>
    <i>
      <x v="22"/>
    </i>
    <i>
      <x v="31"/>
    </i>
    <i>
      <x v="28"/>
    </i>
    <i>
      <x v="8"/>
    </i>
    <i>
      <x v="24"/>
    </i>
    <i>
      <x v="6"/>
    </i>
    <i>
      <x/>
    </i>
    <i>
      <x v="9"/>
    </i>
    <i>
      <x v="20"/>
    </i>
    <i>
      <x v="23"/>
    </i>
    <i>
      <x v="33"/>
    </i>
    <i>
      <x v="16"/>
    </i>
    <i>
      <x v="25"/>
    </i>
    <i>
      <x v="26"/>
    </i>
    <i>
      <x v="29"/>
    </i>
    <i>
      <x v="12"/>
    </i>
    <i>
      <x v="7"/>
    </i>
    <i>
      <x v="17"/>
    </i>
    <i>
      <x v="27"/>
    </i>
    <i>
      <x v="10"/>
    </i>
    <i>
      <x v="32"/>
    </i>
    <i>
      <x v="2"/>
    </i>
    <i>
      <x v="19"/>
    </i>
    <i>
      <x v="21"/>
    </i>
    <i>
      <x v="5"/>
    </i>
    <i>
      <x v="14"/>
    </i>
    <i t="grand">
      <x/>
    </i>
  </rowItems>
  <colItems count="1">
    <i/>
  </colItems>
  <dataFields count="1">
    <dataField name="求和项:总资产(百万)_x000a_" fld="1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11" cacheId="0" autoFormatId="1" applyNumberFormats="0" applyBorderFormats="0" applyFontFormats="0" applyPatternFormats="0" applyAlignmentFormats="0" applyWidthHeightFormats="1" dataCaption="值" updatedVersion="8" minRefreshableVersion="3" createdVersion="8" useAutoFormatting="1" indent="0" outline="1" outlineData="1" showDrill="1" multipleFieldFilters="0">
  <location ref="P12:Q174" firstHeaderRow="1" firstDataRow="1" firstDataCol="1"/>
  <pivotFields count="2">
    <pivotField axis="axisRow" showAll="0">
      <items count="162">
        <item x="72"/>
        <item x="136"/>
        <item x="144"/>
        <item x="131"/>
        <item x="147"/>
        <item x="115"/>
        <item x="31"/>
        <item x="142"/>
        <item x="51"/>
        <item x="66"/>
        <item x="108"/>
        <item x="79"/>
        <item x="143"/>
        <item x="141"/>
        <item x="41"/>
        <item x="105"/>
        <item x="160"/>
        <item x="32"/>
        <item x="47"/>
        <item x="1"/>
        <item x="12"/>
        <item x="64"/>
        <item x="107"/>
        <item x="26"/>
        <item x="14"/>
        <item x="102"/>
        <item x="13"/>
        <item x="49"/>
        <item x="16"/>
        <item x="91"/>
        <item x="19"/>
        <item x="126"/>
        <item x="137"/>
        <item x="125"/>
        <item x="146"/>
        <item x="59"/>
        <item x="139"/>
        <item x="11"/>
        <item x="101"/>
        <item x="34"/>
        <item x="127"/>
        <item x="35"/>
        <item x="87"/>
        <item x="61"/>
        <item x="2"/>
        <item x="58"/>
        <item x="28"/>
        <item x="155"/>
        <item x="128"/>
        <item x="50"/>
        <item x="135"/>
        <item x="90"/>
        <item x="104"/>
        <item x="8"/>
        <item x="124"/>
        <item x="54"/>
        <item x="84"/>
        <item x="63"/>
        <item x="53"/>
        <item x="10"/>
        <item x="112"/>
        <item x="56"/>
        <item x="24"/>
        <item x="30"/>
        <item x="29"/>
        <item x="152"/>
        <item x="158"/>
        <item x="92"/>
        <item x="46"/>
        <item x="6"/>
        <item x="77"/>
        <item x="62"/>
        <item x="33"/>
        <item x="80"/>
        <item x="114"/>
        <item x="20"/>
        <item x="23"/>
        <item x="95"/>
        <item x="118"/>
        <item x="122"/>
        <item x="69"/>
        <item x="149"/>
        <item x="113"/>
        <item x="37"/>
        <item x="73"/>
        <item x="74"/>
        <item x="85"/>
        <item x="68"/>
        <item x="40"/>
        <item x="48"/>
        <item x="67"/>
        <item x="99"/>
        <item x="148"/>
        <item x="159"/>
        <item x="27"/>
        <item x="103"/>
        <item x="38"/>
        <item x="70"/>
        <item x="76"/>
        <item x="121"/>
        <item x="83"/>
        <item x="15"/>
        <item x="78"/>
        <item x="100"/>
        <item x="153"/>
        <item x="25"/>
        <item x="110"/>
        <item x="96"/>
        <item x="93"/>
        <item x="140"/>
        <item x="18"/>
        <item x="0"/>
        <item x="116"/>
        <item x="57"/>
        <item x="98"/>
        <item x="42"/>
        <item x="17"/>
        <item x="5"/>
        <item x="133"/>
        <item x="52"/>
        <item x="89"/>
        <item x="71"/>
        <item x="45"/>
        <item x="86"/>
        <item x="129"/>
        <item x="44"/>
        <item x="43"/>
        <item x="117"/>
        <item x="120"/>
        <item x="4"/>
        <item x="3"/>
        <item x="106"/>
        <item x="130"/>
        <item x="39"/>
        <item x="60"/>
        <item x="123"/>
        <item x="134"/>
        <item x="111"/>
        <item x="150"/>
        <item x="151"/>
        <item x="157"/>
        <item x="7"/>
        <item x="94"/>
        <item x="81"/>
        <item x="82"/>
        <item x="75"/>
        <item x="145"/>
        <item x="119"/>
        <item x="55"/>
        <item x="88"/>
        <item x="138"/>
        <item x="65"/>
        <item x="109"/>
        <item x="156"/>
        <item x="36"/>
        <item x="97"/>
        <item x="21"/>
        <item x="154"/>
        <item x="9"/>
        <item x="22"/>
        <item x="132"/>
        <item t="default"/>
      </items>
    </pivotField>
    <pivotField dataField="1" showAll="0"/>
  </pivotFields>
  <rowFields count="1">
    <field x="0"/>
  </rowFields>
  <rowItems count="16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 t="grand">
      <x/>
    </i>
  </rowItems>
  <colItems count="1">
    <i/>
  </colItems>
  <dataFields count="1">
    <dataField name="求和项:总资产(百万)_x000a_" fld="1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数据透视表3" cacheId="16" autoFormatId="1" applyNumberFormats="0" applyBorderFormats="0" applyFontFormats="0" applyPatternFormats="0" applyAlignmentFormats="0" applyWidthHeightFormats="1" dataCaption="值" updatedVersion="8" minRefreshableVersion="3" createdVersion="8" useAutoFormatting="1" indent="0" outline="1" outlineData="1" showDrill="1" multipleFieldFilters="0">
  <location ref="AC55:AE217" firstHeaderRow="0" firstDataRow="1" firstDataCol="1"/>
  <pivotFields count="3">
    <pivotField axis="axisRow" showAll="0">
      <items count="162">
        <item x="72"/>
        <item x="136"/>
        <item x="144"/>
        <item x="131"/>
        <item x="147"/>
        <item x="115"/>
        <item x="31"/>
        <item x="142"/>
        <item x="51"/>
        <item x="66"/>
        <item x="108"/>
        <item x="79"/>
        <item x="143"/>
        <item x="141"/>
        <item x="41"/>
        <item x="105"/>
        <item x="160"/>
        <item x="32"/>
        <item x="47"/>
        <item x="1"/>
        <item x="12"/>
        <item x="64"/>
        <item x="107"/>
        <item x="26"/>
        <item x="14"/>
        <item x="102"/>
        <item x="13"/>
        <item x="49"/>
        <item x="16"/>
        <item x="91"/>
        <item x="19"/>
        <item x="126"/>
        <item x="137"/>
        <item x="125"/>
        <item x="146"/>
        <item x="59"/>
        <item x="139"/>
        <item x="11"/>
        <item x="101"/>
        <item x="34"/>
        <item x="127"/>
        <item x="35"/>
        <item x="87"/>
        <item x="61"/>
        <item x="2"/>
        <item x="58"/>
        <item x="28"/>
        <item x="155"/>
        <item x="128"/>
        <item x="50"/>
        <item x="135"/>
        <item x="90"/>
        <item x="104"/>
        <item x="8"/>
        <item x="124"/>
        <item x="54"/>
        <item x="84"/>
        <item x="63"/>
        <item x="53"/>
        <item x="10"/>
        <item x="112"/>
        <item x="56"/>
        <item x="24"/>
        <item x="30"/>
        <item x="29"/>
        <item x="152"/>
        <item x="158"/>
        <item x="92"/>
        <item x="46"/>
        <item x="6"/>
        <item x="77"/>
        <item x="62"/>
        <item x="33"/>
        <item x="80"/>
        <item x="114"/>
        <item x="20"/>
        <item x="23"/>
        <item x="95"/>
        <item x="118"/>
        <item x="122"/>
        <item x="69"/>
        <item x="149"/>
        <item x="113"/>
        <item x="37"/>
        <item x="73"/>
        <item x="74"/>
        <item x="85"/>
        <item x="68"/>
        <item x="40"/>
        <item x="48"/>
        <item x="67"/>
        <item x="99"/>
        <item x="148"/>
        <item x="159"/>
        <item x="27"/>
        <item x="103"/>
        <item x="38"/>
        <item x="70"/>
        <item x="76"/>
        <item x="121"/>
        <item x="83"/>
        <item x="15"/>
        <item x="78"/>
        <item x="100"/>
        <item x="153"/>
        <item x="25"/>
        <item x="110"/>
        <item x="96"/>
        <item x="93"/>
        <item x="140"/>
        <item x="18"/>
        <item x="0"/>
        <item x="116"/>
        <item x="57"/>
        <item x="98"/>
        <item x="42"/>
        <item x="17"/>
        <item x="5"/>
        <item x="133"/>
        <item x="52"/>
        <item x="89"/>
        <item x="71"/>
        <item x="45"/>
        <item x="86"/>
        <item x="129"/>
        <item x="44"/>
        <item x="43"/>
        <item x="117"/>
        <item x="120"/>
        <item x="4"/>
        <item x="3"/>
        <item x="106"/>
        <item x="130"/>
        <item x="39"/>
        <item x="60"/>
        <item x="123"/>
        <item x="134"/>
        <item x="111"/>
        <item x="150"/>
        <item x="151"/>
        <item x="157"/>
        <item x="7"/>
        <item x="94"/>
        <item x="81"/>
        <item x="82"/>
        <item x="75"/>
        <item x="145"/>
        <item x="119"/>
        <item x="55"/>
        <item x="88"/>
        <item x="138"/>
        <item x="65"/>
        <item x="109"/>
        <item x="156"/>
        <item x="36"/>
        <item x="97"/>
        <item x="21"/>
        <item x="154"/>
        <item x="9"/>
        <item x="22"/>
        <item x="132"/>
        <item t="default"/>
      </items>
    </pivotField>
    <pivotField dataField="1" showAll="0"/>
    <pivotField dataField="1" showAll="0"/>
  </pivotFields>
  <rowFields count="1">
    <field x="0"/>
  </rowFields>
  <rowItems count="16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 t="grand">
      <x/>
    </i>
  </rowItems>
  <colFields count="1">
    <field x="-2"/>
  </colFields>
  <colItems count="2">
    <i>
      <x/>
    </i>
    <i i="1">
      <x v="1"/>
    </i>
  </colItems>
  <dataFields count="2">
    <dataField name="平均值项:基金前十位持有市值 %" fld="1" subtotal="average" baseField="0" baseItem="0"/>
    <dataField name="平均值项:基金经理公布费用%" fld="2" subtotal="average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数据透视表4" cacheId="6" autoFormatId="1" applyNumberFormats="0" applyBorderFormats="0" applyFontFormats="0" applyPatternFormats="0" applyAlignmentFormats="0" applyWidthHeightFormats="1" dataCaption="值" updatedVersion="8" minRefreshableVersion="3" createdVersion="8" useAutoFormatting="1" indent="0" outline="1" outlineData="1" showDrill="1" multipleFieldFilters="0">
  <location ref="AC35:AD41" firstHeaderRow="1" firstDataRow="1" firstDataCol="1"/>
  <pivotFields count="1">
    <pivotField axis="axisRow" dataField="1" showAll="0">
      <items count="6">
        <item x="0"/>
        <item x="4"/>
        <item x="3"/>
        <item x="2"/>
        <item x="1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计数项:到期期限_x000a_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数据透视表2" cacheId="5" autoFormatId="1" applyNumberFormats="0" applyBorderFormats="0" applyFontFormats="0" applyPatternFormats="0" applyAlignmentFormats="0" applyWidthHeightFormats="1" dataCaption="值" updatedVersion="8" minRefreshableVersion="3" createdVersion="8" useAutoFormatting="1" indent="0" outline="1" outlineData="1" showDrill="1" multipleFieldFilters="0">
  <location ref="AC23:AD28" firstHeaderRow="1" firstDataRow="1" firstDataCol="1"/>
  <pivotFields count="1">
    <pivotField axis="axisRow" dataField="1" showAll="0">
      <items count="5">
        <item x="3"/>
        <item x="2"/>
        <item x="0"/>
        <item x="1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计数项:资产类别型(按持有)_x000a_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数据透视表1" cacheId="4" autoFormatId="1" applyNumberFormats="0" applyBorderFormats="0" applyFontFormats="0" applyPatternFormats="0" applyAlignmentFormats="0" applyWidthHeightFormats="1" dataCaption="值" updatedVersion="8" minRefreshableVersion="3" createdVersion="8" useAutoFormatting="1" indent="0" outline="1" outlineData="1" showDrill="1" multipleFieldFilters="0">
  <location ref="AC3:AD15" firstHeaderRow="1" firstDataRow="1" firstDataCol="1"/>
  <pivotFields count="1">
    <pivotField axis="axisRow" dataField="1" showAll="0">
      <items count="12">
        <item x="10"/>
        <item x="5"/>
        <item x="7"/>
        <item x="2"/>
        <item x="1"/>
        <item x="0"/>
        <item x="4"/>
        <item x="9"/>
        <item x="3"/>
        <item x="6"/>
        <item x="8"/>
        <item t="default"/>
      </items>
    </pivotField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计数项:基金策略_x000a_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数据透视表18" cacheId="11" autoFormatId="1" applyNumberFormats="0" applyBorderFormats="0" applyFontFormats="0" applyPatternFormats="0" applyAlignmentFormats="0" applyWidthHeightFormats="1" dataCaption="值" updatedVersion="8" minRefreshableVersion="3" createdVersion="8" useAutoFormatting="1" indent="0" outline="1" outlineData="1" showDrill="1" multipleFieldFilters="0">
  <location ref="AD14:AE19" firstHeaderRow="1" firstDataRow="1" firstDataCol="1"/>
  <pivotFields count="1">
    <pivotField axis="axisRow" dataField="1" showAll="0">
      <items count="5">
        <item x="2"/>
        <item x="0"/>
        <item x="1"/>
        <item x="3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计数项:资产类别型(按持有)_x000a_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数据透视表16" cacheId="10" autoFormatId="1" applyNumberFormats="0" applyBorderFormats="0" applyFontFormats="0" applyPatternFormats="0" applyAlignmentFormats="0" applyWidthHeightFormats="1" dataCaption="值" updatedVersion="8" minRefreshableVersion="3" createdVersion="8" useAutoFormatting="1" indent="0" outline="1" outlineData="1" showDrill="1" multipleFieldFilters="0">
  <location ref="AD2:AE8" firstHeaderRow="1" firstDataRow="1" firstDataCol="1"/>
  <pivotFields count="1">
    <pivotField axis="axisRow" dataField="1" showAll="0">
      <items count="6">
        <item x="4"/>
        <item x="2"/>
        <item x="3"/>
        <item x="0"/>
        <item x="1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计数项:基金策略_x000a_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数据透视表4" cacheId="17" autoFormatId="1" applyNumberFormats="0" applyBorderFormats="0" applyFontFormats="0" applyPatternFormats="0" applyAlignmentFormats="0" applyWidthHeightFormats="1" dataCaption="值" updatedVersion="8" minRefreshableVersion="3" createdVersion="8" useAutoFormatting="1" indent="0" outline="1" outlineData="1" showDrill="1" multipleFieldFilters="0">
  <location ref="AD43:AF52" firstHeaderRow="0" firstDataRow="1" firstDataCol="1"/>
  <pivotFields count="3">
    <pivotField axis="axisRow" showAll="0">
      <items count="9">
        <item x="1"/>
        <item x="6"/>
        <item x="5"/>
        <item x="0"/>
        <item x="3"/>
        <item x="4"/>
        <item x="2"/>
        <item x="7"/>
        <item t="default"/>
      </items>
    </pivotField>
    <pivotField dataField="1" showAll="0"/>
    <pivotField dataField="1"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平均值项:基金前十位持有市值 %" fld="1" subtotal="average" baseField="0" baseItem="0"/>
    <dataField name="平均值项:基金经理公布费用%" fld="2" subtotal="average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数据透视表12" cacheId="1" autoFormatId="1" applyNumberFormats="0" applyBorderFormats="0" applyFontFormats="0" applyPatternFormats="0" applyAlignmentFormats="0" applyWidthHeightFormats="1" dataCaption="值" updatedVersion="8" minRefreshableVersion="3" createdVersion="8" useAutoFormatting="1" indent="0" outline="1" outlineData="1" showDrill="1" multipleFieldFilters="0">
  <location ref="P6:Q15" firstHeaderRow="1" firstDataRow="1" firstDataCol="1"/>
  <pivotFields count="2">
    <pivotField axis="axisRow" sortType="descending" showAll="0">
      <items count="9">
        <item x="1"/>
        <item x="6"/>
        <item x="5"/>
        <item x="0"/>
        <item x="3"/>
        <item x="4"/>
        <item x="2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9">
    <i>
      <x v="4"/>
    </i>
    <i>
      <x v="6"/>
    </i>
    <i>
      <x/>
    </i>
    <i>
      <x v="3"/>
    </i>
    <i>
      <x v="2"/>
    </i>
    <i>
      <x v="5"/>
    </i>
    <i>
      <x v="7"/>
    </i>
    <i>
      <x v="1"/>
    </i>
    <i t="grand">
      <x/>
    </i>
  </rowItems>
  <colItems count="1">
    <i/>
  </colItems>
  <dataFields count="1">
    <dataField name="求和项:总资产(百万)_x000a_" fld="1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数据透视表19" cacheId="12" autoFormatId="1" applyNumberFormats="0" applyBorderFormats="0" applyFontFormats="0" applyPatternFormats="0" applyAlignmentFormats="0" applyWidthHeightFormats="1" dataCaption="值" updatedVersion="8" minRefreshableVersion="3" createdVersion="8" useAutoFormatting="1" indent="0" outline="1" outlineData="1" showDrill="1" multipleFieldFilters="0">
  <location ref="AD26:AE32" firstHeaderRow="1" firstDataRow="1" firstDataCol="1"/>
  <pivotFields count="1">
    <pivotField axis="axisRow" dataField="1" showAll="0">
      <items count="6">
        <item x="0"/>
        <item x="3"/>
        <item x="2"/>
        <item x="4"/>
        <item x="1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计数项:到期期限_x000a_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数据透视表13" cacheId="2" autoFormatId="1" applyNumberFormats="0" applyBorderFormats="0" applyFontFormats="0" applyPatternFormats="0" applyAlignmentFormats="0" applyWidthHeightFormats="1" dataCaption="值" updatedVersion="8" minRefreshableVersion="3" createdVersion="8" useAutoFormatting="1" indent="0" outline="1" outlineData="1" showDrill="1" multipleFieldFilters="0">
  <location ref="O2:P8" firstHeaderRow="1" firstDataRow="1" firstDataCol="1"/>
  <pivotFields count="2">
    <pivotField axis="axisRow" sortType="descending" showAll="0">
      <items count="6">
        <item x="1"/>
        <item x="2"/>
        <item x="0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6">
    <i>
      <x v="4"/>
    </i>
    <i>
      <x/>
    </i>
    <i>
      <x v="2"/>
    </i>
    <i>
      <x v="1"/>
    </i>
    <i>
      <x v="3"/>
    </i>
    <i t="grand">
      <x/>
    </i>
  </rowItems>
  <colItems count="1">
    <i/>
  </colItems>
  <dataFields count="1">
    <dataField name="求和项:总资产(百万)_x000a_" fld="1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数据透视表9" cacheId="9" autoFormatId="1" applyNumberFormats="0" applyBorderFormats="0" applyFontFormats="0" applyPatternFormats="0" applyAlignmentFormats="0" applyWidthHeightFormats="1" dataCaption="值" updatedVersion="8" minRefreshableVersion="3" createdVersion="8" useAutoFormatting="1" indent="0" outline="1" outlineData="1" showDrill="1" multipleFieldFilters="0">
  <location ref="L43:M47" firstHeaderRow="1" firstDataRow="1" firstDataCol="1"/>
  <pivotFields count="1">
    <pivotField axis="axisRow" dataField="1" showAll="0">
      <items count="4">
        <item x="2"/>
        <item x="0"/>
        <item x="1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计数项:到期期限_x000a_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4.xml><?xml version="1.0" encoding="utf-8"?>
<pivotTableDefinition xmlns="http://schemas.openxmlformats.org/spreadsheetml/2006/main" name="数据透视表8" cacheId="8" autoFormatId="1" applyNumberFormats="0" applyBorderFormats="0" applyFontFormats="0" applyPatternFormats="0" applyAlignmentFormats="0" applyWidthHeightFormats="1" dataCaption="值" updatedVersion="8" minRefreshableVersion="3" createdVersion="8" useAutoFormatting="1" indent="0" outline="1" outlineData="1" showDrill="1" multipleFieldFilters="0">
  <location ref="L37:M40" firstHeaderRow="1" firstDataRow="1" firstDataCol="1"/>
  <pivotFields count="1">
    <pivotField axis="axisRow" dataField="1" showAll="0">
      <items count="3">
        <item x="1"/>
        <item x="0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计数项:资产类别型(按持有)_x000a_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5.xml><?xml version="1.0" encoding="utf-8"?>
<pivotTableDefinition xmlns="http://schemas.openxmlformats.org/spreadsheetml/2006/main" name="数据透视表7" cacheId="7" autoFormatId="1" applyNumberFormats="0" applyBorderFormats="0" applyFontFormats="0" applyPatternFormats="0" applyAlignmentFormats="0" applyWidthHeightFormats="1" dataCaption="值" updatedVersion="8" minRefreshableVersion="3" createdVersion="8" useAutoFormatting="1" indent="0" outline="1" outlineData="1" showDrill="1" multipleFieldFilters="0">
  <location ref="L29:M33" firstHeaderRow="1" firstDataRow="1" firstDataCol="1"/>
  <pivotFields count="1">
    <pivotField axis="axisRow" dataField="1" showAll="0">
      <items count="4">
        <item x="2"/>
        <item x="0"/>
        <item x="1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计数项:基金策略_x000a_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6.xml><?xml version="1.0" encoding="utf-8"?>
<pivotTableDefinition xmlns="http://schemas.openxmlformats.org/spreadsheetml/2006/main" name="数据透视表22" cacheId="15" autoFormatId="1" applyNumberFormats="0" applyBorderFormats="0" applyFontFormats="0" applyPatternFormats="0" applyAlignmentFormats="0" applyWidthHeightFormats="1" dataCaption="值" updatedVersion="8" minRefreshableVersion="3" createdVersion="8" useAutoFormatting="1" indent="0" outline="1" outlineData="1" showDrill="1" multipleFieldFilters="0">
  <location ref="K61:L64" firstHeaderRow="1" firstDataRow="1" firstDataCol="1"/>
  <pivotFields count="1">
    <pivotField axis="axisRow" dataField="1" showAll="0">
      <items count="3">
        <item x="1"/>
        <item x="0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计数项:资产类别型(按持有)_x000a_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7.xml><?xml version="1.0" encoding="utf-8"?>
<pivotTableDefinition xmlns="http://schemas.openxmlformats.org/spreadsheetml/2006/main" name="数据透视表21" cacheId="14" autoFormatId="1" applyNumberFormats="0" applyBorderFormats="0" applyFontFormats="0" applyPatternFormats="0" applyAlignmentFormats="0" applyWidthHeightFormats="1" dataCaption="值" updatedVersion="8" minRefreshableVersion="3" createdVersion="8" useAutoFormatting="1" indent="0" outline="1" outlineData="1" showDrill="1" multipleFieldFilters="0">
  <location ref="K50:L56" firstHeaderRow="1" firstDataRow="1" firstDataCol="1"/>
  <pivotFields count="1">
    <pivotField axis="axisRow" dataField="1" showAll="0">
      <items count="6">
        <item x="0"/>
        <item x="1"/>
        <item x="2"/>
        <item x="4"/>
        <item x="3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计数项:到期期限_x000a_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8.xml><?xml version="1.0" encoding="utf-8"?>
<pivotTableDefinition xmlns="http://schemas.openxmlformats.org/spreadsheetml/2006/main" name="数据透视表20" cacheId="13" autoFormatId="1" applyNumberFormats="0" applyBorderFormats="0" applyFontFormats="0" applyPatternFormats="0" applyAlignmentFormats="0" applyWidthHeightFormats="1" dataCaption="值" updatedVersion="8" minRefreshableVersion="3" createdVersion="8" useAutoFormatting="1" indent="0" outline="1" outlineData="1" showDrill="1" multipleFieldFilters="0">
  <location ref="K40:L45" firstHeaderRow="1" firstDataRow="1" firstDataCol="1"/>
  <pivotFields count="1">
    <pivotField axis="axisRow" dataField="1" showAll="0">
      <items count="5">
        <item x="3"/>
        <item x="2"/>
        <item x="1"/>
        <item x="0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计数项:基金策略_x000a_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9.xml><?xml version="1.0" encoding="utf-8"?>
<pivotTableDefinition xmlns="http://schemas.openxmlformats.org/spreadsheetml/2006/main" name="数据透视表14" cacheId="3" autoFormatId="1" applyNumberFormats="0" applyBorderFormats="0" applyFontFormats="0" applyPatternFormats="0" applyAlignmentFormats="0" applyWidthHeightFormats="1" dataCaption="值" updatedVersion="8" minRefreshableVersion="3" createdVersion="8" useAutoFormatting="1" indent="0" outline="1" outlineData="1" showDrill="1" multipleFieldFilters="0">
  <location ref="P4:Q13" firstHeaderRow="1" firstDataRow="1" firstDataCol="1"/>
  <pivotFields count="2">
    <pivotField axis="axisRow" sortType="descending" showAll="0">
      <items count="9">
        <item x="5"/>
        <item x="7"/>
        <item x="3"/>
        <item x="6"/>
        <item x="4"/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9">
    <i>
      <x v="2"/>
    </i>
    <i>
      <x v="5"/>
    </i>
    <i>
      <x v="4"/>
    </i>
    <i>
      <x v="7"/>
    </i>
    <i>
      <x v="6"/>
    </i>
    <i>
      <x v="3"/>
    </i>
    <i>
      <x v="1"/>
    </i>
    <i>
      <x/>
    </i>
    <i t="grand">
      <x/>
    </i>
  </rowItems>
  <colItems count="1">
    <i/>
  </colItems>
  <dataFields count="1">
    <dataField name="求和项:总资产(百万)_x000a_" fld="1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6" Type="http://schemas.openxmlformats.org/officeDocument/2006/relationships/drawing" Target="../drawings/drawing3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6" Type="http://schemas.openxmlformats.org/officeDocument/2006/relationships/drawing" Target="../drawings/drawing4.xml"/><Relationship Id="rId5" Type="http://schemas.openxmlformats.org/officeDocument/2006/relationships/pivotTable" Target="../pivotTables/pivotTable11.xml"/><Relationship Id="rId4" Type="http://schemas.openxmlformats.org/officeDocument/2006/relationships/pivotTable" Target="../pivotTables/pivotTable10.xml"/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5.xml.rels><?xml version="1.0" encoding="UTF-8" standalone="yes"?>
<Relationships xmlns="http://schemas.openxmlformats.org/package/2006/relationships"><Relationship Id="rId5" Type="http://schemas.openxmlformats.org/officeDocument/2006/relationships/drawing" Target="../drawings/drawing5.xml"/><Relationship Id="rId4" Type="http://schemas.openxmlformats.org/officeDocument/2006/relationships/pivotTable" Target="../pivotTables/pivotTable15.xml"/><Relationship Id="rId3" Type="http://schemas.openxmlformats.org/officeDocument/2006/relationships/pivotTable" Target="../pivotTables/pivotTable14.xml"/><Relationship Id="rId2" Type="http://schemas.openxmlformats.org/officeDocument/2006/relationships/pivotTable" Target="../pivotTables/pivotTable13.xml"/><Relationship Id="rId1" Type="http://schemas.openxmlformats.org/officeDocument/2006/relationships/pivotTable" Target="../pivotTables/pivotTable12.xml"/></Relationships>
</file>

<file path=xl/worksheets/_rels/sheet6.xml.rels><?xml version="1.0" encoding="UTF-8" standalone="yes"?>
<Relationships xmlns="http://schemas.openxmlformats.org/package/2006/relationships"><Relationship Id="rId5" Type="http://schemas.openxmlformats.org/officeDocument/2006/relationships/drawing" Target="../drawings/drawing6.xml"/><Relationship Id="rId4" Type="http://schemas.openxmlformats.org/officeDocument/2006/relationships/pivotTable" Target="../pivotTables/pivotTable19.xml"/><Relationship Id="rId3" Type="http://schemas.openxmlformats.org/officeDocument/2006/relationships/pivotTable" Target="../pivotTables/pivotTable18.xml"/><Relationship Id="rId2" Type="http://schemas.openxmlformats.org/officeDocument/2006/relationships/pivotTable" Target="../pivotTables/pivotTable17.xml"/><Relationship Id="rId1" Type="http://schemas.openxmlformats.org/officeDocument/2006/relationships/pivotTable" Target="../pivotTables/pivotTable1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689"/>
  <sheetViews>
    <sheetView tabSelected="1" zoomScale="80" zoomScaleNormal="80" workbookViewId="0">
      <selection activeCell="K33" sqref="K33"/>
    </sheetView>
  </sheetViews>
  <sheetFormatPr defaultColWidth="9" defaultRowHeight="14"/>
  <cols>
    <col min="1" max="5" width="8.72727272727273" style="22"/>
    <col min="6" max="6" width="12.8181818181818" style="22" customWidth="1"/>
    <col min="7" max="7" width="18.9090909090909" style="22" customWidth="1"/>
    <col min="8" max="8" width="22.1818181818182" style="22" customWidth="1"/>
    <col min="9" max="9" width="8.72727272727273" style="22"/>
    <col min="10" max="10" width="15.7272727272727" style="22" customWidth="1"/>
    <col min="11" max="11" width="24.3636363636364" style="22" customWidth="1"/>
    <col min="12" max="16384" width="8.72727272727273" style="22"/>
  </cols>
  <sheetData>
    <row r="1" ht="14.5" spans="1:1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</row>
    <row r="2" spans="1:12">
      <c r="A2" s="22" t="s">
        <v>6</v>
      </c>
      <c r="B2" s="22" t="s">
        <v>7</v>
      </c>
      <c r="C2" s="22" t="s">
        <v>8</v>
      </c>
      <c r="D2" s="22" t="s">
        <v>9</v>
      </c>
      <c r="E2" s="22" t="s">
        <v>10</v>
      </c>
    </row>
    <row r="3" spans="1:12">
      <c r="A3" s="22" t="s">
        <v>11</v>
      </c>
      <c r="B3" s="22" t="s">
        <v>12</v>
      </c>
      <c r="C3" s="22" t="s">
        <v>13</v>
      </c>
      <c r="D3" s="22" t="s">
        <v>9</v>
      </c>
      <c r="E3" s="22" t="s">
        <v>14</v>
      </c>
      <c r="F3" s="22">
        <v>22.608</v>
      </c>
      <c r="G3" t="s">
        <v>15</v>
      </c>
      <c r="H3" t="s">
        <v>16</v>
      </c>
      <c r="I3"/>
      <c r="J3" s="24" t="s">
        <v>17</v>
      </c>
      <c r="K3" s="24" t="s">
        <v>18</v>
      </c>
      <c r="L3" s="24" t="s">
        <v>19</v>
      </c>
    </row>
    <row r="4" spans="1:12">
      <c r="A4" s="22" t="s">
        <v>20</v>
      </c>
      <c r="B4" s="22" t="s">
        <v>21</v>
      </c>
      <c r="C4" s="22" t="s">
        <v>22</v>
      </c>
      <c r="D4" s="22" t="s">
        <v>9</v>
      </c>
      <c r="E4" s="22" t="s">
        <v>14</v>
      </c>
      <c r="F4" s="22">
        <v>64.084</v>
      </c>
      <c r="G4" s="6" t="s">
        <v>23</v>
      </c>
      <c r="H4" s="7">
        <v>2326892.788</v>
      </c>
      <c r="I4"/>
      <c r="J4" s="25" t="s">
        <v>23</v>
      </c>
      <c r="K4" s="26">
        <v>2326892.788</v>
      </c>
      <c r="L4" s="27">
        <f>K4/GETPIVOTDATA("总资产(百万)
",$G$3)</f>
        <v>0.680109145331861</v>
      </c>
    </row>
    <row r="5" spans="1:12">
      <c r="A5" s="22" t="s">
        <v>24</v>
      </c>
      <c r="B5" s="22" t="s">
        <v>25</v>
      </c>
      <c r="C5" s="22" t="s">
        <v>26</v>
      </c>
      <c r="D5" s="22" t="s">
        <v>9</v>
      </c>
      <c r="E5" s="22" t="s">
        <v>23</v>
      </c>
      <c r="F5" s="22">
        <v>21.154</v>
      </c>
      <c r="G5" s="6" t="s">
        <v>27</v>
      </c>
      <c r="H5" s="7">
        <v>486911.632</v>
      </c>
      <c r="I5"/>
      <c r="J5" s="25" t="s">
        <v>27</v>
      </c>
      <c r="K5" s="26">
        <v>486911.632</v>
      </c>
      <c r="L5" s="27">
        <f t="shared" ref="L5:L9" si="0">K5/GETPIVOTDATA("总资产(百万)
",$G$3)</f>
        <v>0.142315561593318</v>
      </c>
    </row>
    <row r="6" spans="1:12">
      <c r="A6" s="22" t="s">
        <v>28</v>
      </c>
      <c r="B6" s="22" t="s">
        <v>29</v>
      </c>
      <c r="C6" s="22" t="s">
        <v>30</v>
      </c>
      <c r="D6" s="22" t="s">
        <v>9</v>
      </c>
      <c r="E6" s="22" t="s">
        <v>23</v>
      </c>
      <c r="F6" s="22">
        <v>99.162</v>
      </c>
      <c r="G6" s="6" t="s">
        <v>31</v>
      </c>
      <c r="H6" s="7">
        <v>165881.354</v>
      </c>
      <c r="I6"/>
      <c r="J6" s="25" t="s">
        <v>31</v>
      </c>
      <c r="K6" s="26">
        <v>165881.354</v>
      </c>
      <c r="L6" s="27">
        <f t="shared" si="0"/>
        <v>0.0484841529774134</v>
      </c>
    </row>
    <row r="7" spans="1:12">
      <c r="A7" s="22" t="s">
        <v>32</v>
      </c>
      <c r="B7" s="22" t="s">
        <v>33</v>
      </c>
      <c r="C7" s="22" t="s">
        <v>34</v>
      </c>
      <c r="D7" s="22" t="s">
        <v>9</v>
      </c>
      <c r="E7" s="22" t="s">
        <v>23</v>
      </c>
      <c r="F7" s="22">
        <v>103.133</v>
      </c>
      <c r="G7" s="6" t="s">
        <v>35</v>
      </c>
      <c r="H7" s="7">
        <v>144924.311</v>
      </c>
      <c r="I7"/>
      <c r="J7" s="25" t="s">
        <v>35</v>
      </c>
      <c r="K7" s="26">
        <v>144924.311</v>
      </c>
      <c r="L7" s="27">
        <f t="shared" si="0"/>
        <v>0.0423587841263355</v>
      </c>
    </row>
    <row r="8" spans="1:12">
      <c r="A8" s="22" t="s">
        <v>36</v>
      </c>
      <c r="B8" s="22" t="s">
        <v>37</v>
      </c>
      <c r="C8" s="22" t="s">
        <v>38</v>
      </c>
      <c r="D8" s="22" t="s">
        <v>9</v>
      </c>
      <c r="E8" s="22" t="s">
        <v>39</v>
      </c>
      <c r="F8" s="22">
        <v>8712.926</v>
      </c>
      <c r="G8" s="6" t="s">
        <v>40</v>
      </c>
      <c r="H8" s="7">
        <v>98218.06</v>
      </c>
      <c r="I8"/>
      <c r="J8" s="25" t="s">
        <v>40</v>
      </c>
      <c r="K8" s="26">
        <v>98218.06</v>
      </c>
      <c r="L8" s="27">
        <f t="shared" si="0"/>
        <v>0.028707382302804</v>
      </c>
    </row>
    <row r="9" spans="1:12">
      <c r="A9" s="22" t="s">
        <v>41</v>
      </c>
      <c r="B9" s="22" t="s">
        <v>42</v>
      </c>
      <c r="C9" s="22" t="s">
        <v>43</v>
      </c>
      <c r="D9" s="22" t="s">
        <v>9</v>
      </c>
      <c r="E9" s="22" t="s">
        <v>44</v>
      </c>
      <c r="F9" s="22">
        <v>368.074</v>
      </c>
      <c r="G9" s="6" t="s">
        <v>39</v>
      </c>
      <c r="H9" s="7">
        <v>84225.124</v>
      </c>
      <c r="I9"/>
      <c r="J9" s="24" t="s">
        <v>45</v>
      </c>
      <c r="K9" s="24">
        <f>GETPIVOTDATA("总资产(百万)
",$G$3)-SUM(K4:K8)</f>
        <v>198523.86</v>
      </c>
      <c r="L9" s="27">
        <f t="shared" si="0"/>
        <v>0.0580249736682677</v>
      </c>
    </row>
    <row r="10" spans="1:12">
      <c r="A10" s="22" t="s">
        <v>46</v>
      </c>
      <c r="B10" s="22" t="s">
        <v>47</v>
      </c>
      <c r="C10" s="22" t="s">
        <v>48</v>
      </c>
      <c r="D10" s="22" t="s">
        <v>9</v>
      </c>
      <c r="E10" s="22" t="s">
        <v>49</v>
      </c>
      <c r="F10" s="22">
        <v>2.027</v>
      </c>
      <c r="G10" s="6" t="s">
        <v>50</v>
      </c>
      <c r="H10" s="7">
        <v>30756.988</v>
      </c>
      <c r="I10"/>
    </row>
    <row r="11" spans="1:12">
      <c r="A11" s="22" t="s">
        <v>51</v>
      </c>
      <c r="B11" s="22" t="s">
        <v>52</v>
      </c>
      <c r="C11" s="22" t="s">
        <v>53</v>
      </c>
      <c r="D11" s="22" t="s">
        <v>9</v>
      </c>
      <c r="E11" s="22" t="s">
        <v>27</v>
      </c>
      <c r="F11" s="22">
        <v>2625.077</v>
      </c>
      <c r="G11" s="6" t="s">
        <v>14</v>
      </c>
      <c r="H11" s="7">
        <v>28744.952</v>
      </c>
      <c r="I11"/>
    </row>
    <row r="12" spans="1:12">
      <c r="A12" s="22" t="s">
        <v>54</v>
      </c>
      <c r="B12" s="22" t="s">
        <v>55</v>
      </c>
      <c r="C12" s="22" t="s">
        <v>56</v>
      </c>
      <c r="D12" s="22" t="s">
        <v>9</v>
      </c>
      <c r="E12" s="22" t="s">
        <v>23</v>
      </c>
      <c r="F12" s="22">
        <v>4975.107</v>
      </c>
      <c r="G12" s="6" t="s">
        <v>57</v>
      </c>
      <c r="H12" s="7">
        <v>10383.337</v>
      </c>
      <c r="I12"/>
    </row>
    <row r="13" spans="1:12">
      <c r="A13" s="22" t="s">
        <v>58</v>
      </c>
      <c r="B13" s="22" t="s">
        <v>59</v>
      </c>
      <c r="C13" s="22" t="s">
        <v>60</v>
      </c>
      <c r="D13" s="22" t="s">
        <v>9</v>
      </c>
      <c r="E13" s="22" t="s">
        <v>61</v>
      </c>
      <c r="F13" s="22">
        <v>6.718</v>
      </c>
      <c r="G13" s="6" t="s">
        <v>62</v>
      </c>
      <c r="H13" s="7">
        <v>9158.523</v>
      </c>
      <c r="I13"/>
    </row>
    <row r="14" spans="1:12">
      <c r="A14" s="22" t="s">
        <v>63</v>
      </c>
      <c r="B14" s="22" t="s">
        <v>64</v>
      </c>
      <c r="C14" s="22" t="s">
        <v>65</v>
      </c>
      <c r="D14" s="22" t="s">
        <v>9</v>
      </c>
      <c r="E14" s="22" t="s">
        <v>23</v>
      </c>
      <c r="F14" s="22">
        <v>7.143</v>
      </c>
      <c r="G14" s="6" t="s">
        <v>66</v>
      </c>
      <c r="H14" s="7">
        <v>8951.142</v>
      </c>
      <c r="I14"/>
    </row>
    <row r="15" spans="1:12">
      <c r="A15" s="22" t="s">
        <v>67</v>
      </c>
      <c r="B15" s="22" t="s">
        <v>68</v>
      </c>
      <c r="C15" s="22" t="s">
        <v>69</v>
      </c>
      <c r="D15" s="22" t="s">
        <v>9</v>
      </c>
      <c r="E15" s="22" t="s">
        <v>39</v>
      </c>
      <c r="F15" s="22">
        <v>1369.719</v>
      </c>
      <c r="G15" s="6" t="s">
        <v>70</v>
      </c>
      <c r="H15" s="7">
        <v>6875.419</v>
      </c>
      <c r="I15"/>
    </row>
    <row r="16" spans="1:12">
      <c r="A16" s="22" t="s">
        <v>71</v>
      </c>
      <c r="B16" s="22" t="s">
        <v>72</v>
      </c>
      <c r="C16" s="22" t="s">
        <v>73</v>
      </c>
      <c r="D16" s="22" t="s">
        <v>9</v>
      </c>
      <c r="E16" s="22" t="s">
        <v>23</v>
      </c>
      <c r="F16" s="22">
        <v>5121.858</v>
      </c>
      <c r="G16" s="6" t="s">
        <v>44</v>
      </c>
      <c r="H16" s="7">
        <v>5309.417</v>
      </c>
      <c r="I16"/>
    </row>
    <row r="17" spans="1:9">
      <c r="A17" s="22" t="s">
        <v>74</v>
      </c>
      <c r="B17" s="22" t="s">
        <v>75</v>
      </c>
      <c r="C17" s="22" t="s">
        <v>76</v>
      </c>
      <c r="D17" s="22" t="s">
        <v>9</v>
      </c>
      <c r="E17" s="22" t="s">
        <v>77</v>
      </c>
      <c r="F17" s="22">
        <v>47.649</v>
      </c>
      <c r="G17" s="6" t="s">
        <v>78</v>
      </c>
      <c r="H17" s="7">
        <v>4436.168</v>
      </c>
      <c r="I17"/>
    </row>
    <row r="18" spans="1:9">
      <c r="A18" s="22" t="s">
        <v>79</v>
      </c>
      <c r="B18" s="22" t="s">
        <v>80</v>
      </c>
      <c r="C18" s="22" t="s">
        <v>81</v>
      </c>
      <c r="D18" s="22" t="s">
        <v>9</v>
      </c>
      <c r="E18" s="22" t="s">
        <v>23</v>
      </c>
      <c r="F18" s="22">
        <v>10.556</v>
      </c>
      <c r="G18" s="6" t="s">
        <v>82</v>
      </c>
      <c r="H18" s="7">
        <v>2522.07</v>
      </c>
      <c r="I18"/>
    </row>
    <row r="19" spans="1:9">
      <c r="A19" s="22" t="s">
        <v>83</v>
      </c>
      <c r="B19" s="22" t="s">
        <v>84</v>
      </c>
      <c r="C19" s="22" t="s">
        <v>85</v>
      </c>
      <c r="D19" s="22" t="s">
        <v>9</v>
      </c>
      <c r="E19" s="22" t="s">
        <v>23</v>
      </c>
      <c r="F19" s="22">
        <v>377.522</v>
      </c>
      <c r="G19" s="6" t="s">
        <v>61</v>
      </c>
      <c r="H19" s="7">
        <v>2161.687</v>
      </c>
      <c r="I19"/>
    </row>
    <row r="20" spans="1:9">
      <c r="A20" s="22" t="s">
        <v>86</v>
      </c>
      <c r="B20" s="22" t="s">
        <v>87</v>
      </c>
      <c r="C20" s="22" t="s">
        <v>88</v>
      </c>
      <c r="D20" s="22" t="s">
        <v>9</v>
      </c>
      <c r="E20" s="22" t="s">
        <v>35</v>
      </c>
      <c r="F20" s="22">
        <v>83.637</v>
      </c>
      <c r="G20" s="6" t="s">
        <v>89</v>
      </c>
      <c r="H20" s="7">
        <v>1444.374</v>
      </c>
      <c r="I20"/>
    </row>
    <row r="21" spans="1:9">
      <c r="A21" s="22" t="s">
        <v>90</v>
      </c>
      <c r="B21" s="22" t="s">
        <v>91</v>
      </c>
      <c r="C21" s="22" t="s">
        <v>92</v>
      </c>
      <c r="D21" s="22" t="s">
        <v>9</v>
      </c>
      <c r="E21" s="22" t="s">
        <v>23</v>
      </c>
      <c r="F21" s="22">
        <v>339.8</v>
      </c>
      <c r="G21" s="6" t="s">
        <v>93</v>
      </c>
      <c r="H21" s="7">
        <v>690.43</v>
      </c>
    </row>
    <row r="22" spans="1:9">
      <c r="A22" s="22" t="s">
        <v>94</v>
      </c>
      <c r="B22" s="22" t="s">
        <v>95</v>
      </c>
      <c r="C22" s="22" t="s">
        <v>96</v>
      </c>
      <c r="D22" s="22" t="s">
        <v>9</v>
      </c>
      <c r="E22" s="22" t="s">
        <v>23</v>
      </c>
      <c r="F22" s="22">
        <v>2167.921</v>
      </c>
      <c r="G22" s="6" t="s">
        <v>97</v>
      </c>
      <c r="H22" s="7">
        <v>577.295</v>
      </c>
    </row>
    <row r="23" spans="1:9">
      <c r="A23" s="22" t="s">
        <v>98</v>
      </c>
      <c r="B23" s="22" t="s">
        <v>99</v>
      </c>
      <c r="C23" s="22" t="s">
        <v>100</v>
      </c>
      <c r="D23" s="22" t="s">
        <v>9</v>
      </c>
      <c r="E23" s="22" t="s">
        <v>27</v>
      </c>
      <c r="F23" s="22">
        <v>1185.663</v>
      </c>
      <c r="G23" s="6" t="s">
        <v>101</v>
      </c>
      <c r="H23" s="7">
        <v>558.688</v>
      </c>
    </row>
    <row r="24" spans="1:9">
      <c r="A24" s="22" t="s">
        <v>102</v>
      </c>
      <c r="B24" s="22" t="s">
        <v>103</v>
      </c>
      <c r="C24" s="22" t="s">
        <v>104</v>
      </c>
      <c r="D24" s="22" t="s">
        <v>9</v>
      </c>
      <c r="E24" s="22" t="s">
        <v>62</v>
      </c>
      <c r="F24" s="22">
        <v>73.604</v>
      </c>
      <c r="G24" s="6" t="s">
        <v>105</v>
      </c>
      <c r="H24" s="7">
        <v>455.316</v>
      </c>
    </row>
    <row r="25" spans="1:9">
      <c r="A25" s="22" t="s">
        <v>106</v>
      </c>
      <c r="B25" s="22" t="s">
        <v>107</v>
      </c>
      <c r="C25" s="22" t="s">
        <v>108</v>
      </c>
      <c r="D25" s="22" t="s">
        <v>9</v>
      </c>
      <c r="E25" s="22" t="s">
        <v>31</v>
      </c>
      <c r="F25" s="22">
        <v>81.116</v>
      </c>
      <c r="G25" s="6" t="s">
        <v>109</v>
      </c>
      <c r="H25" s="7">
        <v>360.687</v>
      </c>
    </row>
    <row r="26" spans="1:9">
      <c r="A26" s="22" t="s">
        <v>110</v>
      </c>
      <c r="B26" s="22" t="s">
        <v>111</v>
      </c>
      <c r="C26" s="22" t="s">
        <v>112</v>
      </c>
      <c r="D26" s="22" t="s">
        <v>9</v>
      </c>
      <c r="E26" s="22" t="s">
        <v>23</v>
      </c>
      <c r="F26" s="22">
        <v>159.505</v>
      </c>
      <c r="G26" s="6" t="s">
        <v>113</v>
      </c>
      <c r="H26" s="7">
        <v>358.647</v>
      </c>
    </row>
    <row r="27" spans="1:9">
      <c r="A27" s="22" t="s">
        <v>114</v>
      </c>
      <c r="B27" s="22" t="s">
        <v>115</v>
      </c>
      <c r="C27" s="22" t="s">
        <v>116</v>
      </c>
      <c r="D27" s="22" t="s">
        <v>9</v>
      </c>
      <c r="E27" s="22" t="s">
        <v>23</v>
      </c>
      <c r="F27" s="22">
        <v>93.809</v>
      </c>
      <c r="G27" s="6" t="s">
        <v>117</v>
      </c>
      <c r="H27" s="7">
        <v>209.253</v>
      </c>
    </row>
    <row r="28" spans="1:9">
      <c r="A28" s="22" t="s">
        <v>118</v>
      </c>
      <c r="B28" s="22" t="s">
        <v>119</v>
      </c>
      <c r="C28" s="22" t="s">
        <v>120</v>
      </c>
      <c r="D28" s="22" t="s">
        <v>9</v>
      </c>
      <c r="E28" s="22" t="s">
        <v>93</v>
      </c>
      <c r="F28" s="22">
        <v>25.643</v>
      </c>
      <c r="G28" s="6" t="s">
        <v>121</v>
      </c>
      <c r="H28" s="7">
        <v>143.224</v>
      </c>
    </row>
    <row r="29" spans="1:9">
      <c r="A29" s="22" t="s">
        <v>122</v>
      </c>
      <c r="B29" s="22" t="s">
        <v>123</v>
      </c>
      <c r="C29" s="22" t="s">
        <v>124</v>
      </c>
      <c r="D29" s="22" t="s">
        <v>9</v>
      </c>
      <c r="E29" s="22" t="s">
        <v>27</v>
      </c>
      <c r="F29" s="22">
        <v>128.71</v>
      </c>
      <c r="G29" s="6" t="s">
        <v>125</v>
      </c>
      <c r="H29" s="7">
        <v>100.607</v>
      </c>
    </row>
    <row r="30" spans="1:9">
      <c r="A30" s="22" t="s">
        <v>126</v>
      </c>
      <c r="B30" s="22" t="s">
        <v>127</v>
      </c>
      <c r="C30" s="22" t="s">
        <v>128</v>
      </c>
      <c r="D30" s="22" t="s">
        <v>9</v>
      </c>
      <c r="E30" s="22" t="s">
        <v>23</v>
      </c>
      <c r="F30" s="22">
        <v>1051.547</v>
      </c>
      <c r="G30" s="6" t="s">
        <v>77</v>
      </c>
      <c r="H30" s="7">
        <v>47.649</v>
      </c>
    </row>
    <row r="31" spans="1:9">
      <c r="A31" s="22" t="s">
        <v>129</v>
      </c>
      <c r="B31" s="22" t="s">
        <v>130</v>
      </c>
      <c r="C31" s="22" t="s">
        <v>131</v>
      </c>
      <c r="D31" s="22" t="s">
        <v>9</v>
      </c>
      <c r="E31" s="22" t="s">
        <v>23</v>
      </c>
      <c r="F31" s="22">
        <v>339.055</v>
      </c>
      <c r="G31" s="6" t="s">
        <v>132</v>
      </c>
      <c r="H31" s="7">
        <v>19.588</v>
      </c>
    </row>
    <row r="32" spans="1:9">
      <c r="A32" s="22" t="s">
        <v>133</v>
      </c>
      <c r="B32" s="22" t="s">
        <v>134</v>
      </c>
      <c r="C32" s="22" t="s">
        <v>135</v>
      </c>
      <c r="D32" s="22" t="s">
        <v>9</v>
      </c>
      <c r="E32" s="22" t="s">
        <v>23</v>
      </c>
      <c r="F32" s="22">
        <v>2265.689</v>
      </c>
      <c r="G32" s="6" t="s">
        <v>136</v>
      </c>
      <c r="H32" s="7">
        <v>16.63</v>
      </c>
    </row>
    <row r="33" spans="1:8">
      <c r="A33" s="22" t="s">
        <v>137</v>
      </c>
      <c r="B33" s="22" t="s">
        <v>138</v>
      </c>
      <c r="C33" s="22" t="s">
        <v>139</v>
      </c>
      <c r="D33" s="22" t="s">
        <v>9</v>
      </c>
      <c r="E33" s="22" t="s">
        <v>136</v>
      </c>
      <c r="F33" s="22">
        <v>16.63</v>
      </c>
      <c r="G33" s="6" t="s">
        <v>49</v>
      </c>
      <c r="H33" s="7">
        <v>9.078</v>
      </c>
    </row>
    <row r="34" spans="1:8">
      <c r="A34" s="22" t="s">
        <v>140</v>
      </c>
      <c r="B34" s="22" t="s">
        <v>141</v>
      </c>
      <c r="C34" s="22" t="s">
        <v>142</v>
      </c>
      <c r="D34" s="22" t="s">
        <v>9</v>
      </c>
      <c r="E34" s="22" t="s">
        <v>23</v>
      </c>
      <c r="F34" s="22">
        <v>129.403</v>
      </c>
      <c r="G34" s="6" t="s">
        <v>143</v>
      </c>
      <c r="H34" s="7">
        <v>7.567</v>
      </c>
    </row>
    <row r="35" spans="1:8">
      <c r="A35" s="22" t="s">
        <v>144</v>
      </c>
      <c r="B35" s="22" t="s">
        <v>145</v>
      </c>
      <c r="C35" s="22" t="s">
        <v>146</v>
      </c>
      <c r="D35" s="22" t="s">
        <v>9</v>
      </c>
      <c r="E35" s="22" t="s">
        <v>23</v>
      </c>
      <c r="F35" s="22">
        <v>431.345</v>
      </c>
      <c r="G35" s="6" t="s">
        <v>147</v>
      </c>
      <c r="H35" s="7"/>
    </row>
    <row r="36" spans="1:8">
      <c r="A36" s="22" t="s">
        <v>148</v>
      </c>
      <c r="B36" s="22" t="s">
        <v>149</v>
      </c>
      <c r="C36" s="22" t="s">
        <v>150</v>
      </c>
      <c r="D36" s="22" t="s">
        <v>9</v>
      </c>
      <c r="E36" s="22" t="s">
        <v>27</v>
      </c>
      <c r="F36" s="22">
        <v>182.621</v>
      </c>
      <c r="G36" s="6" t="s">
        <v>10</v>
      </c>
      <c r="H36" s="7"/>
    </row>
    <row r="37" spans="1:8">
      <c r="A37" s="22" t="s">
        <v>151</v>
      </c>
      <c r="B37" s="22" t="s">
        <v>152</v>
      </c>
      <c r="C37" s="22" t="s">
        <v>153</v>
      </c>
      <c r="D37" s="22" t="s">
        <v>9</v>
      </c>
      <c r="E37" s="22" t="s">
        <v>23</v>
      </c>
      <c r="F37" s="22">
        <v>4720.721</v>
      </c>
      <c r="G37" s="6" t="s">
        <v>154</v>
      </c>
      <c r="H37" s="7"/>
    </row>
    <row r="38" spans="1:8">
      <c r="A38" s="22" t="s">
        <v>155</v>
      </c>
      <c r="B38" s="22" t="s">
        <v>156</v>
      </c>
      <c r="C38" s="22" t="s">
        <v>157</v>
      </c>
      <c r="D38" s="22" t="s">
        <v>9</v>
      </c>
      <c r="E38" s="22" t="s">
        <v>23</v>
      </c>
      <c r="F38" s="22">
        <v>716.149</v>
      </c>
      <c r="G38" s="6" t="s">
        <v>158</v>
      </c>
      <c r="H38" s="7"/>
    </row>
    <row r="39" spans="1:8">
      <c r="A39" s="22" t="s">
        <v>159</v>
      </c>
      <c r="B39" s="22" t="s">
        <v>160</v>
      </c>
      <c r="C39" s="22" t="s">
        <v>161</v>
      </c>
      <c r="D39" s="22" t="s">
        <v>9</v>
      </c>
      <c r="E39" s="22" t="s">
        <v>93</v>
      </c>
      <c r="F39" s="22">
        <v>27.192</v>
      </c>
      <c r="G39" s="6" t="s">
        <v>162</v>
      </c>
      <c r="H39" s="7">
        <v>3421352.005</v>
      </c>
    </row>
    <row r="40" spans="1:8">
      <c r="A40" s="22" t="s">
        <v>163</v>
      </c>
      <c r="B40" s="22" t="s">
        <v>164</v>
      </c>
      <c r="C40" s="22" t="s">
        <v>165</v>
      </c>
      <c r="D40" s="22" t="s">
        <v>9</v>
      </c>
      <c r="E40" s="22" t="s">
        <v>23</v>
      </c>
      <c r="F40" s="22">
        <v>281.676</v>
      </c>
    </row>
    <row r="41" spans="1:8">
      <c r="A41" s="22" t="s">
        <v>166</v>
      </c>
      <c r="B41" s="22" t="s">
        <v>167</v>
      </c>
      <c r="C41" s="22" t="s">
        <v>168</v>
      </c>
      <c r="D41" s="22" t="s">
        <v>9</v>
      </c>
      <c r="E41" s="22" t="s">
        <v>23</v>
      </c>
      <c r="F41" s="22">
        <v>781.58</v>
      </c>
    </row>
    <row r="42" spans="1:8">
      <c r="A42" s="22" t="s">
        <v>169</v>
      </c>
      <c r="B42" s="22" t="s">
        <v>170</v>
      </c>
      <c r="C42" s="22" t="s">
        <v>171</v>
      </c>
      <c r="D42" s="22" t="s">
        <v>9</v>
      </c>
      <c r="E42" s="22" t="s">
        <v>27</v>
      </c>
      <c r="F42" s="22">
        <v>179.448</v>
      </c>
    </row>
    <row r="43" spans="1:8">
      <c r="A43" s="22" t="s">
        <v>172</v>
      </c>
      <c r="B43" s="22" t="s">
        <v>173</v>
      </c>
      <c r="C43" s="22" t="s">
        <v>174</v>
      </c>
      <c r="D43" s="22" t="s">
        <v>9</v>
      </c>
      <c r="E43" s="22" t="s">
        <v>31</v>
      </c>
      <c r="F43" s="22">
        <v>35.721</v>
      </c>
    </row>
    <row r="44" spans="1:8">
      <c r="A44" s="22" t="s">
        <v>175</v>
      </c>
      <c r="B44" s="22" t="s">
        <v>176</v>
      </c>
      <c r="C44" s="22" t="s">
        <v>177</v>
      </c>
      <c r="D44" s="22" t="s">
        <v>9</v>
      </c>
      <c r="E44" s="22" t="s">
        <v>23</v>
      </c>
      <c r="F44" s="22">
        <v>39.852</v>
      </c>
    </row>
    <row r="45" spans="1:8">
      <c r="A45" s="22" t="s">
        <v>178</v>
      </c>
      <c r="B45" s="22" t="s">
        <v>179</v>
      </c>
      <c r="C45" s="22" t="s">
        <v>180</v>
      </c>
      <c r="D45" s="22" t="s">
        <v>9</v>
      </c>
      <c r="E45" s="22" t="s">
        <v>35</v>
      </c>
      <c r="F45" s="22">
        <v>20.277</v>
      </c>
    </row>
    <row r="46" spans="1:8">
      <c r="A46" s="22" t="s">
        <v>181</v>
      </c>
      <c r="B46" s="22" t="s">
        <v>182</v>
      </c>
      <c r="C46" s="22" t="s">
        <v>183</v>
      </c>
      <c r="D46" s="22" t="s">
        <v>9</v>
      </c>
      <c r="E46" s="22" t="s">
        <v>93</v>
      </c>
      <c r="F46" s="22">
        <v>185.577</v>
      </c>
    </row>
    <row r="47" spans="1:8">
      <c r="A47" s="22" t="s">
        <v>184</v>
      </c>
      <c r="B47" s="22" t="s">
        <v>185</v>
      </c>
      <c r="C47" s="22" t="s">
        <v>186</v>
      </c>
      <c r="D47" s="22" t="s">
        <v>9</v>
      </c>
      <c r="E47" s="22" t="s">
        <v>23</v>
      </c>
      <c r="F47" s="22">
        <v>6.141</v>
      </c>
    </row>
    <row r="48" spans="1:8">
      <c r="A48" s="22" t="s">
        <v>187</v>
      </c>
      <c r="B48" s="22" t="s">
        <v>167</v>
      </c>
      <c r="C48" s="22" t="s">
        <v>188</v>
      </c>
      <c r="D48" s="22" t="s">
        <v>9</v>
      </c>
      <c r="E48" s="22" t="s">
        <v>27</v>
      </c>
      <c r="F48" s="22">
        <v>5951.554</v>
      </c>
    </row>
    <row r="49" spans="1:6">
      <c r="A49" s="22" t="s">
        <v>189</v>
      </c>
      <c r="B49" s="22" t="s">
        <v>190</v>
      </c>
      <c r="C49" s="22" t="s">
        <v>191</v>
      </c>
      <c r="D49" s="22" t="s">
        <v>9</v>
      </c>
      <c r="E49" s="22" t="s">
        <v>23</v>
      </c>
      <c r="F49" s="22">
        <v>16.945</v>
      </c>
    </row>
    <row r="50" spans="1:6">
      <c r="A50" s="22" t="s">
        <v>192</v>
      </c>
      <c r="B50" s="22" t="s">
        <v>193</v>
      </c>
      <c r="C50" s="22" t="s">
        <v>194</v>
      </c>
      <c r="D50" s="22" t="s">
        <v>9</v>
      </c>
      <c r="E50" s="22" t="s">
        <v>27</v>
      </c>
      <c r="F50" s="22">
        <v>256.905</v>
      </c>
    </row>
    <row r="51" spans="1:6">
      <c r="A51" s="22" t="s">
        <v>195</v>
      </c>
      <c r="B51" s="22" t="s">
        <v>196</v>
      </c>
      <c r="C51" s="22" t="s">
        <v>197</v>
      </c>
      <c r="D51" s="22" t="s">
        <v>9</v>
      </c>
      <c r="E51" s="22" t="s">
        <v>23</v>
      </c>
      <c r="F51" s="22">
        <v>14225.64</v>
      </c>
    </row>
    <row r="52" spans="1:6">
      <c r="A52" s="22" t="s">
        <v>198</v>
      </c>
      <c r="B52" s="22" t="s">
        <v>199</v>
      </c>
      <c r="C52" s="22" t="s">
        <v>200</v>
      </c>
      <c r="D52" s="22" t="s">
        <v>9</v>
      </c>
      <c r="E52" s="22" t="s">
        <v>27</v>
      </c>
      <c r="F52" s="22">
        <v>473.881</v>
      </c>
    </row>
    <row r="53" spans="1:6">
      <c r="A53" s="22" t="s">
        <v>201</v>
      </c>
      <c r="B53" s="22" t="s">
        <v>202</v>
      </c>
      <c r="C53" s="22" t="s">
        <v>203</v>
      </c>
      <c r="D53" s="22" t="s">
        <v>9</v>
      </c>
      <c r="E53" s="22" t="s">
        <v>93</v>
      </c>
      <c r="F53" s="22">
        <v>68.961</v>
      </c>
    </row>
    <row r="54" spans="1:6">
      <c r="A54" s="22" t="s">
        <v>204</v>
      </c>
      <c r="B54" s="22" t="s">
        <v>205</v>
      </c>
      <c r="C54" s="22" t="s">
        <v>206</v>
      </c>
      <c r="D54" s="22" t="s">
        <v>9</v>
      </c>
      <c r="E54" s="22" t="s">
        <v>158</v>
      </c>
    </row>
    <row r="55" spans="1:6">
      <c r="A55" s="22" t="s">
        <v>207</v>
      </c>
      <c r="B55" s="22" t="s">
        <v>208</v>
      </c>
      <c r="C55" s="22" t="s">
        <v>209</v>
      </c>
      <c r="D55" s="22" t="s">
        <v>9</v>
      </c>
      <c r="E55" s="22" t="s">
        <v>27</v>
      </c>
      <c r="F55" s="22">
        <v>696.724</v>
      </c>
    </row>
    <row r="56" spans="1:6">
      <c r="A56" s="22" t="s">
        <v>210</v>
      </c>
      <c r="B56" s="22" t="s">
        <v>211</v>
      </c>
      <c r="C56" s="22" t="s">
        <v>212</v>
      </c>
      <c r="D56" s="22" t="s">
        <v>9</v>
      </c>
      <c r="E56" s="22" t="s">
        <v>23</v>
      </c>
      <c r="F56" s="22">
        <v>2306.259</v>
      </c>
    </row>
    <row r="57" spans="1:6">
      <c r="A57" s="22" t="s">
        <v>213</v>
      </c>
      <c r="B57" s="22" t="s">
        <v>214</v>
      </c>
      <c r="C57" s="22" t="s">
        <v>215</v>
      </c>
      <c r="D57" s="22" t="s">
        <v>9</v>
      </c>
      <c r="E57" s="22" t="s">
        <v>23</v>
      </c>
      <c r="F57" s="22">
        <v>768.118</v>
      </c>
    </row>
    <row r="58" spans="1:6">
      <c r="A58" s="22" t="s">
        <v>216</v>
      </c>
      <c r="B58" s="22" t="s">
        <v>217</v>
      </c>
      <c r="C58" s="22" t="s">
        <v>218</v>
      </c>
      <c r="D58" s="22" t="s">
        <v>9</v>
      </c>
      <c r="E58" s="22" t="s">
        <v>61</v>
      </c>
      <c r="F58" s="22">
        <v>2.149</v>
      </c>
    </row>
    <row r="59" spans="1:6">
      <c r="A59" s="22" t="s">
        <v>219</v>
      </c>
      <c r="B59" s="22" t="s">
        <v>220</v>
      </c>
      <c r="C59" s="22" t="s">
        <v>221</v>
      </c>
      <c r="D59" s="22" t="s">
        <v>9</v>
      </c>
      <c r="E59" s="22" t="s">
        <v>23</v>
      </c>
      <c r="F59" s="22">
        <v>18.232</v>
      </c>
    </row>
    <row r="60" spans="1:6">
      <c r="A60" s="22" t="s">
        <v>222</v>
      </c>
      <c r="B60" s="22" t="s">
        <v>223</v>
      </c>
      <c r="C60" s="22" t="s">
        <v>224</v>
      </c>
      <c r="D60" s="22" t="s">
        <v>9</v>
      </c>
      <c r="E60" s="22" t="s">
        <v>31</v>
      </c>
      <c r="F60" s="22">
        <v>22.717</v>
      </c>
    </row>
    <row r="61" spans="1:6">
      <c r="A61" s="22" t="s">
        <v>225</v>
      </c>
      <c r="B61" s="22" t="s">
        <v>226</v>
      </c>
      <c r="C61" s="22" t="s">
        <v>227</v>
      </c>
      <c r="D61" s="22" t="s">
        <v>9</v>
      </c>
      <c r="E61" s="22" t="s">
        <v>40</v>
      </c>
      <c r="F61" s="22">
        <v>70.986</v>
      </c>
    </row>
    <row r="62" spans="1:6">
      <c r="A62" s="22" t="s">
        <v>228</v>
      </c>
      <c r="B62" s="22" t="s">
        <v>229</v>
      </c>
      <c r="C62" s="22" t="s">
        <v>230</v>
      </c>
      <c r="D62" s="22" t="s">
        <v>9</v>
      </c>
      <c r="E62" s="22" t="s">
        <v>23</v>
      </c>
      <c r="F62" s="22">
        <v>22.502</v>
      </c>
    </row>
    <row r="63" spans="1:6">
      <c r="A63" s="22" t="s">
        <v>231</v>
      </c>
      <c r="B63" s="22" t="s">
        <v>232</v>
      </c>
      <c r="C63" s="22" t="s">
        <v>233</v>
      </c>
      <c r="D63" s="22" t="s">
        <v>9</v>
      </c>
      <c r="E63" s="22" t="s">
        <v>27</v>
      </c>
      <c r="F63" s="22">
        <v>507.798</v>
      </c>
    </row>
    <row r="64" spans="1:6">
      <c r="A64" s="22" t="s">
        <v>234</v>
      </c>
      <c r="B64" s="22" t="s">
        <v>235</v>
      </c>
      <c r="C64" s="22" t="s">
        <v>236</v>
      </c>
      <c r="D64" s="22" t="s">
        <v>9</v>
      </c>
      <c r="E64" s="22" t="s">
        <v>23</v>
      </c>
      <c r="F64" s="22">
        <v>1574.592</v>
      </c>
    </row>
    <row r="65" spans="1:6">
      <c r="A65" s="22" t="s">
        <v>237</v>
      </c>
      <c r="B65" s="22" t="s">
        <v>238</v>
      </c>
      <c r="C65" s="22" t="s">
        <v>239</v>
      </c>
      <c r="D65" s="22" t="s">
        <v>9</v>
      </c>
      <c r="E65" s="22" t="s">
        <v>93</v>
      </c>
      <c r="F65" s="22">
        <v>137.557</v>
      </c>
    </row>
    <row r="66" spans="1:6">
      <c r="A66" s="22" t="s">
        <v>240</v>
      </c>
      <c r="B66" s="22" t="s">
        <v>241</v>
      </c>
      <c r="C66" s="22" t="s">
        <v>242</v>
      </c>
      <c r="D66" s="22" t="s">
        <v>9</v>
      </c>
      <c r="E66" s="22" t="s">
        <v>57</v>
      </c>
      <c r="F66" s="22">
        <v>9.911</v>
      </c>
    </row>
    <row r="67" spans="1:6">
      <c r="A67" s="22" t="s">
        <v>243</v>
      </c>
      <c r="B67" s="22" t="s">
        <v>244</v>
      </c>
      <c r="C67" s="22" t="s">
        <v>245</v>
      </c>
      <c r="D67" s="22" t="s">
        <v>9</v>
      </c>
      <c r="E67" s="22" t="s">
        <v>23</v>
      </c>
      <c r="F67" s="22">
        <v>749.417</v>
      </c>
    </row>
    <row r="68" spans="1:6">
      <c r="A68" s="22" t="s">
        <v>246</v>
      </c>
      <c r="B68" s="22" t="s">
        <v>247</v>
      </c>
      <c r="C68" s="22" t="s">
        <v>248</v>
      </c>
      <c r="D68" s="22" t="s">
        <v>9</v>
      </c>
      <c r="E68" s="22" t="s">
        <v>101</v>
      </c>
    </row>
    <row r="69" spans="1:6">
      <c r="A69" s="22" t="s">
        <v>249</v>
      </c>
      <c r="B69" s="22" t="s">
        <v>250</v>
      </c>
      <c r="C69" s="22" t="s">
        <v>251</v>
      </c>
      <c r="D69" s="22" t="s">
        <v>9</v>
      </c>
      <c r="E69" s="22" t="s">
        <v>27</v>
      </c>
      <c r="F69" s="22">
        <v>64.26</v>
      </c>
    </row>
    <row r="70" spans="1:6">
      <c r="A70" s="22" t="s">
        <v>252</v>
      </c>
      <c r="B70" s="22" t="s">
        <v>253</v>
      </c>
      <c r="C70" s="22" t="s">
        <v>254</v>
      </c>
      <c r="D70" s="22" t="s">
        <v>9</v>
      </c>
      <c r="E70" s="22" t="s">
        <v>23</v>
      </c>
      <c r="F70" s="22">
        <v>44.56</v>
      </c>
    </row>
    <row r="71" spans="1:6">
      <c r="A71" s="22" t="s">
        <v>255</v>
      </c>
      <c r="B71" s="22" t="s">
        <v>256</v>
      </c>
      <c r="C71" s="22" t="s">
        <v>257</v>
      </c>
      <c r="D71" s="22" t="s">
        <v>9</v>
      </c>
      <c r="E71" s="22" t="s">
        <v>23</v>
      </c>
      <c r="F71" s="22">
        <v>2172.295</v>
      </c>
    </row>
    <row r="72" spans="1:6">
      <c r="A72" s="22" t="s">
        <v>258</v>
      </c>
      <c r="B72" s="22" t="s">
        <v>259</v>
      </c>
      <c r="C72" s="22" t="s">
        <v>260</v>
      </c>
      <c r="D72" s="22" t="s">
        <v>9</v>
      </c>
      <c r="E72" s="22" t="s">
        <v>35</v>
      </c>
      <c r="F72" s="22">
        <v>18.393</v>
      </c>
    </row>
    <row r="73" spans="1:6">
      <c r="A73" s="22" t="s">
        <v>261</v>
      </c>
      <c r="B73" s="22" t="s">
        <v>262</v>
      </c>
      <c r="C73" s="22" t="s">
        <v>263</v>
      </c>
      <c r="D73" s="22" t="s">
        <v>9</v>
      </c>
      <c r="E73" s="22" t="s">
        <v>27</v>
      </c>
      <c r="F73" s="22">
        <v>825.082</v>
      </c>
    </row>
    <row r="74" spans="1:6">
      <c r="A74" s="22" t="s">
        <v>264</v>
      </c>
      <c r="B74" s="22" t="s">
        <v>265</v>
      </c>
      <c r="C74" s="22" t="s">
        <v>266</v>
      </c>
      <c r="D74" s="22" t="s">
        <v>9</v>
      </c>
      <c r="E74" s="22" t="s">
        <v>82</v>
      </c>
      <c r="F74" s="22">
        <v>171.807</v>
      </c>
    </row>
    <row r="75" spans="1:6">
      <c r="A75" s="22" t="s">
        <v>267</v>
      </c>
      <c r="B75" s="22" t="s">
        <v>268</v>
      </c>
      <c r="C75" s="22" t="s">
        <v>269</v>
      </c>
      <c r="D75" s="22" t="s">
        <v>9</v>
      </c>
      <c r="E75" s="22" t="s">
        <v>23</v>
      </c>
      <c r="F75" s="22">
        <v>299.363</v>
      </c>
    </row>
    <row r="76" spans="1:6">
      <c r="A76" s="22" t="s">
        <v>270</v>
      </c>
      <c r="B76" s="22" t="s">
        <v>271</v>
      </c>
      <c r="C76" s="22" t="s">
        <v>272</v>
      </c>
      <c r="D76" s="22" t="s">
        <v>9</v>
      </c>
      <c r="E76" s="22" t="s">
        <v>23</v>
      </c>
      <c r="F76" s="22">
        <v>4019.292</v>
      </c>
    </row>
    <row r="77" spans="1:6">
      <c r="A77" s="22" t="s">
        <v>273</v>
      </c>
      <c r="B77" s="22" t="s">
        <v>274</v>
      </c>
      <c r="C77" s="22" t="s">
        <v>275</v>
      </c>
      <c r="D77" s="22" t="s">
        <v>9</v>
      </c>
      <c r="E77" s="22" t="s">
        <v>27</v>
      </c>
      <c r="F77" s="22">
        <v>5.814</v>
      </c>
    </row>
    <row r="78" spans="1:6">
      <c r="A78" s="22" t="s">
        <v>276</v>
      </c>
      <c r="B78" s="22" t="s">
        <v>277</v>
      </c>
      <c r="C78" s="22" t="s">
        <v>278</v>
      </c>
      <c r="D78" s="22" t="s">
        <v>9</v>
      </c>
      <c r="E78" s="22" t="s">
        <v>14</v>
      </c>
      <c r="F78" s="22">
        <v>11.703</v>
      </c>
    </row>
    <row r="79" spans="1:6">
      <c r="A79" s="22" t="s">
        <v>279</v>
      </c>
      <c r="B79" s="22" t="s">
        <v>280</v>
      </c>
      <c r="C79" s="22" t="s">
        <v>281</v>
      </c>
      <c r="D79" s="22" t="s">
        <v>9</v>
      </c>
      <c r="E79" s="22" t="s">
        <v>31</v>
      </c>
      <c r="F79" s="22">
        <v>20.886</v>
      </c>
    </row>
    <row r="80" spans="1:6">
      <c r="A80" s="22" t="s">
        <v>282</v>
      </c>
      <c r="B80" s="22" t="s">
        <v>283</v>
      </c>
      <c r="C80" s="22" t="s">
        <v>284</v>
      </c>
      <c r="D80" s="22" t="s">
        <v>9</v>
      </c>
      <c r="E80" s="22" t="s">
        <v>61</v>
      </c>
      <c r="F80" s="22">
        <v>250.786</v>
      </c>
    </row>
    <row r="81" spans="1:6">
      <c r="A81" s="22" t="s">
        <v>285</v>
      </c>
      <c r="B81" s="22" t="s">
        <v>286</v>
      </c>
      <c r="C81" s="22" t="s">
        <v>287</v>
      </c>
      <c r="D81" s="22" t="s">
        <v>9</v>
      </c>
      <c r="E81" s="22" t="s">
        <v>27</v>
      </c>
      <c r="F81" s="22">
        <v>1925.486</v>
      </c>
    </row>
    <row r="82" spans="1:6">
      <c r="A82" s="22" t="s">
        <v>288</v>
      </c>
      <c r="B82" s="22" t="s">
        <v>289</v>
      </c>
      <c r="C82" s="22" t="s">
        <v>290</v>
      </c>
      <c r="D82" s="22" t="s">
        <v>9</v>
      </c>
      <c r="E82" s="22" t="s">
        <v>23</v>
      </c>
      <c r="F82" s="22">
        <v>15.05</v>
      </c>
    </row>
    <row r="83" spans="1:6">
      <c r="A83" s="22" t="s">
        <v>291</v>
      </c>
      <c r="B83" s="22" t="s">
        <v>292</v>
      </c>
      <c r="C83" s="22" t="s">
        <v>293</v>
      </c>
      <c r="D83" s="22" t="s">
        <v>9</v>
      </c>
      <c r="E83" s="22" t="s">
        <v>62</v>
      </c>
      <c r="F83" s="22">
        <v>29.15</v>
      </c>
    </row>
    <row r="84" spans="1:6">
      <c r="A84" s="22" t="s">
        <v>294</v>
      </c>
      <c r="B84" s="22" t="s">
        <v>295</v>
      </c>
      <c r="C84" s="22" t="s">
        <v>296</v>
      </c>
      <c r="D84" s="22" t="s">
        <v>9</v>
      </c>
      <c r="E84" s="22" t="s">
        <v>50</v>
      </c>
      <c r="F84" s="22">
        <v>0.776</v>
      </c>
    </row>
    <row r="85" spans="1:6">
      <c r="A85" s="22" t="s">
        <v>297</v>
      </c>
      <c r="B85" s="22" t="s">
        <v>298</v>
      </c>
      <c r="C85" s="22" t="s">
        <v>299</v>
      </c>
      <c r="D85" s="22" t="s">
        <v>9</v>
      </c>
      <c r="E85" s="22" t="s">
        <v>61</v>
      </c>
      <c r="F85" s="22">
        <v>624.52</v>
      </c>
    </row>
    <row r="86" spans="1:6">
      <c r="A86" s="22" t="s">
        <v>300</v>
      </c>
      <c r="B86" s="22" t="s">
        <v>301</v>
      </c>
      <c r="C86" s="22" t="s">
        <v>302</v>
      </c>
      <c r="D86" s="22" t="s">
        <v>9</v>
      </c>
      <c r="E86" s="22" t="s">
        <v>93</v>
      </c>
      <c r="F86" s="22">
        <v>57.088</v>
      </c>
    </row>
    <row r="87" spans="1:6">
      <c r="A87" s="22" t="s">
        <v>303</v>
      </c>
      <c r="B87" s="22" t="s">
        <v>304</v>
      </c>
      <c r="C87" s="22" t="s">
        <v>305</v>
      </c>
      <c r="D87" s="22" t="s">
        <v>9</v>
      </c>
      <c r="E87" s="22" t="s">
        <v>27</v>
      </c>
      <c r="F87" s="22">
        <v>27.283</v>
      </c>
    </row>
    <row r="88" spans="1:6">
      <c r="A88" s="22" t="s">
        <v>306</v>
      </c>
      <c r="B88" s="22" t="s">
        <v>307</v>
      </c>
      <c r="C88" s="22" t="s">
        <v>308</v>
      </c>
      <c r="D88" s="22" t="s">
        <v>9</v>
      </c>
      <c r="E88" s="22" t="s">
        <v>23</v>
      </c>
      <c r="F88" s="22">
        <v>51.377</v>
      </c>
    </row>
    <row r="89" spans="1:6">
      <c r="A89" s="22" t="s">
        <v>309</v>
      </c>
      <c r="B89" s="22" t="s">
        <v>310</v>
      </c>
      <c r="C89" s="22" t="s">
        <v>311</v>
      </c>
      <c r="D89" s="22" t="s">
        <v>9</v>
      </c>
      <c r="E89" s="22" t="s">
        <v>35</v>
      </c>
      <c r="F89" s="22">
        <v>0.942</v>
      </c>
    </row>
    <row r="90" spans="1:6">
      <c r="A90" s="22" t="s">
        <v>312</v>
      </c>
      <c r="B90" s="22" t="s">
        <v>313</v>
      </c>
      <c r="C90" s="22" t="s">
        <v>314</v>
      </c>
      <c r="D90" s="22" t="s">
        <v>9</v>
      </c>
      <c r="E90" s="22" t="s">
        <v>27</v>
      </c>
      <c r="F90" s="22">
        <v>196.065</v>
      </c>
    </row>
    <row r="91" spans="1:6">
      <c r="A91" s="22" t="s">
        <v>315</v>
      </c>
      <c r="B91" s="22" t="s">
        <v>316</v>
      </c>
      <c r="C91" s="22" t="s">
        <v>317</v>
      </c>
      <c r="D91" s="22" t="s">
        <v>9</v>
      </c>
      <c r="E91" s="22" t="s">
        <v>23</v>
      </c>
      <c r="F91" s="22">
        <v>92.037</v>
      </c>
    </row>
    <row r="92" spans="1:6">
      <c r="A92" s="22" t="s">
        <v>318</v>
      </c>
      <c r="B92" s="22" t="s">
        <v>319</v>
      </c>
      <c r="C92" s="22" t="s">
        <v>320</v>
      </c>
      <c r="D92" s="22" t="s">
        <v>9</v>
      </c>
      <c r="E92" s="22" t="s">
        <v>23</v>
      </c>
      <c r="F92" s="22">
        <v>115.756</v>
      </c>
    </row>
    <row r="93" spans="1:6">
      <c r="A93" s="22" t="s">
        <v>321</v>
      </c>
      <c r="B93" s="22" t="s">
        <v>322</v>
      </c>
      <c r="C93" s="22" t="s">
        <v>323</v>
      </c>
      <c r="D93" s="22" t="s">
        <v>9</v>
      </c>
      <c r="E93" s="22" t="s">
        <v>23</v>
      </c>
      <c r="F93" s="22">
        <v>117.244</v>
      </c>
    </row>
    <row r="94" spans="1:6">
      <c r="A94" s="22" t="s">
        <v>324</v>
      </c>
      <c r="B94" s="22" t="s">
        <v>325</v>
      </c>
      <c r="C94" s="22" t="s">
        <v>326</v>
      </c>
      <c r="D94" s="22" t="s">
        <v>9</v>
      </c>
      <c r="E94" s="22" t="s">
        <v>23</v>
      </c>
      <c r="F94" s="22">
        <v>423.301</v>
      </c>
    </row>
    <row r="95" spans="1:6">
      <c r="A95" s="22" t="s">
        <v>327</v>
      </c>
      <c r="B95" s="22" t="s">
        <v>328</v>
      </c>
      <c r="C95" s="22" t="s">
        <v>329</v>
      </c>
      <c r="D95" s="22" t="s">
        <v>9</v>
      </c>
      <c r="E95" s="22" t="s">
        <v>23</v>
      </c>
      <c r="F95" s="22">
        <v>117.68</v>
      </c>
    </row>
    <row r="96" spans="1:6">
      <c r="A96" s="22" t="s">
        <v>330</v>
      </c>
      <c r="B96" s="22" t="s">
        <v>331</v>
      </c>
      <c r="C96" s="22" t="s">
        <v>332</v>
      </c>
      <c r="D96" s="22" t="s">
        <v>9</v>
      </c>
      <c r="E96" s="22" t="s">
        <v>23</v>
      </c>
      <c r="F96" s="22">
        <v>17.423</v>
      </c>
    </row>
    <row r="97" spans="1:6">
      <c r="A97" s="22" t="s">
        <v>333</v>
      </c>
      <c r="B97" s="22" t="s">
        <v>334</v>
      </c>
      <c r="C97" s="22" t="s">
        <v>335</v>
      </c>
      <c r="D97" s="22" t="s">
        <v>9</v>
      </c>
      <c r="E97" s="22" t="s">
        <v>82</v>
      </c>
    </row>
    <row r="98" spans="1:6">
      <c r="A98" s="22" t="s">
        <v>336</v>
      </c>
      <c r="B98" s="22" t="s">
        <v>337</v>
      </c>
      <c r="C98" s="22" t="s">
        <v>338</v>
      </c>
      <c r="D98" s="22" t="s">
        <v>9</v>
      </c>
      <c r="E98" s="22" t="s">
        <v>62</v>
      </c>
      <c r="F98" s="22">
        <v>6.926</v>
      </c>
    </row>
    <row r="99" spans="1:6">
      <c r="A99" s="22" t="s">
        <v>339</v>
      </c>
      <c r="B99" s="22" t="s">
        <v>340</v>
      </c>
      <c r="C99" s="22" t="s">
        <v>341</v>
      </c>
      <c r="D99" s="22" t="s">
        <v>9</v>
      </c>
      <c r="E99" s="22" t="s">
        <v>31</v>
      </c>
      <c r="F99" s="22">
        <v>196.97</v>
      </c>
    </row>
    <row r="100" spans="1:6">
      <c r="A100" s="22" t="s">
        <v>342</v>
      </c>
      <c r="B100" s="22" t="s">
        <v>343</v>
      </c>
      <c r="C100" s="22" t="s">
        <v>344</v>
      </c>
      <c r="D100" s="22" t="s">
        <v>9</v>
      </c>
      <c r="E100" s="22" t="s">
        <v>70</v>
      </c>
      <c r="F100" s="22">
        <v>801.592</v>
      </c>
    </row>
    <row r="101" spans="1:6">
      <c r="A101" s="22" t="s">
        <v>345</v>
      </c>
      <c r="B101" s="22" t="s">
        <v>346</v>
      </c>
      <c r="C101" s="22" t="s">
        <v>347</v>
      </c>
      <c r="D101" s="22" t="s">
        <v>9</v>
      </c>
      <c r="E101" s="22" t="s">
        <v>35</v>
      </c>
      <c r="F101" s="22">
        <v>343.49</v>
      </c>
    </row>
    <row r="102" spans="1:6">
      <c r="A102" s="22" t="s">
        <v>348</v>
      </c>
      <c r="B102" s="22" t="s">
        <v>349</v>
      </c>
      <c r="C102" s="22" t="s">
        <v>350</v>
      </c>
      <c r="D102" s="22" t="s">
        <v>9</v>
      </c>
      <c r="E102" s="22" t="s">
        <v>23</v>
      </c>
      <c r="F102" s="22">
        <v>65.399</v>
      </c>
    </row>
    <row r="103" spans="1:6">
      <c r="A103" s="22" t="s">
        <v>351</v>
      </c>
      <c r="B103" s="22" t="s">
        <v>352</v>
      </c>
      <c r="C103" s="22" t="s">
        <v>353</v>
      </c>
      <c r="D103" s="22" t="s">
        <v>9</v>
      </c>
      <c r="E103" s="22" t="s">
        <v>23</v>
      </c>
      <c r="F103" s="22">
        <v>34.437</v>
      </c>
    </row>
    <row r="104" spans="1:6">
      <c r="A104" s="22" t="s">
        <v>354</v>
      </c>
      <c r="B104" s="22" t="s">
        <v>355</v>
      </c>
      <c r="C104" s="22" t="s">
        <v>356</v>
      </c>
      <c r="D104" s="22" t="s">
        <v>9</v>
      </c>
      <c r="E104" s="22" t="s">
        <v>23</v>
      </c>
      <c r="F104" s="22">
        <v>10.129</v>
      </c>
    </row>
    <row r="105" spans="1:6">
      <c r="A105" s="22" t="s">
        <v>357</v>
      </c>
      <c r="B105" s="22" t="s">
        <v>358</v>
      </c>
      <c r="C105" s="22" t="s">
        <v>359</v>
      </c>
      <c r="D105" s="22" t="s">
        <v>9</v>
      </c>
      <c r="E105" s="22" t="s">
        <v>27</v>
      </c>
      <c r="F105" s="22">
        <v>79.959</v>
      </c>
    </row>
    <row r="106" spans="1:6">
      <c r="A106" s="22" t="s">
        <v>360</v>
      </c>
      <c r="B106" s="22" t="s">
        <v>361</v>
      </c>
      <c r="C106" s="22" t="s">
        <v>362</v>
      </c>
      <c r="D106" s="22" t="s">
        <v>9</v>
      </c>
      <c r="E106" s="22" t="s">
        <v>31</v>
      </c>
      <c r="F106" s="22">
        <v>1346.141</v>
      </c>
    </row>
    <row r="107" spans="1:6">
      <c r="A107" s="22" t="s">
        <v>363</v>
      </c>
      <c r="B107" s="22" t="s">
        <v>364</v>
      </c>
      <c r="C107" s="22" t="s">
        <v>365</v>
      </c>
      <c r="D107" s="22" t="s">
        <v>9</v>
      </c>
      <c r="E107" s="22" t="s">
        <v>23</v>
      </c>
      <c r="F107" s="22">
        <v>441.326</v>
      </c>
    </row>
    <row r="108" spans="1:6">
      <c r="A108" s="22" t="s">
        <v>366</v>
      </c>
      <c r="B108" s="22" t="s">
        <v>367</v>
      </c>
      <c r="C108" s="22" t="s">
        <v>368</v>
      </c>
      <c r="D108" s="22" t="s">
        <v>9</v>
      </c>
      <c r="E108" s="22" t="s">
        <v>23</v>
      </c>
      <c r="F108" s="22">
        <v>41.973</v>
      </c>
    </row>
    <row r="109" spans="1:6">
      <c r="A109" s="22" t="s">
        <v>369</v>
      </c>
      <c r="B109" s="22" t="s">
        <v>370</v>
      </c>
      <c r="C109" s="22" t="s">
        <v>371</v>
      </c>
      <c r="D109" s="22" t="s">
        <v>9</v>
      </c>
      <c r="E109" s="22" t="s">
        <v>50</v>
      </c>
      <c r="F109" s="22">
        <v>0.233</v>
      </c>
    </row>
    <row r="110" spans="1:6">
      <c r="A110" s="22" t="s">
        <v>372</v>
      </c>
      <c r="B110" s="22" t="s">
        <v>373</v>
      </c>
      <c r="C110" s="22" t="s">
        <v>374</v>
      </c>
      <c r="D110" s="22" t="s">
        <v>9</v>
      </c>
      <c r="E110" s="22" t="s">
        <v>27</v>
      </c>
      <c r="F110" s="22">
        <v>11.394</v>
      </c>
    </row>
    <row r="111" spans="1:6">
      <c r="A111" s="22" t="s">
        <v>375</v>
      </c>
      <c r="B111" s="22" t="s">
        <v>241</v>
      </c>
      <c r="C111" s="22" t="s">
        <v>376</v>
      </c>
      <c r="D111" s="22" t="s">
        <v>9</v>
      </c>
      <c r="E111" s="22" t="s">
        <v>57</v>
      </c>
      <c r="F111" s="22">
        <v>14.019</v>
      </c>
    </row>
    <row r="112" spans="1:6">
      <c r="A112" s="22" t="s">
        <v>377</v>
      </c>
      <c r="B112" s="22" t="s">
        <v>378</v>
      </c>
      <c r="C112" s="22" t="s">
        <v>379</v>
      </c>
      <c r="D112" s="22" t="s">
        <v>9</v>
      </c>
      <c r="E112" s="22" t="s">
        <v>82</v>
      </c>
      <c r="F112" s="22">
        <v>149.078</v>
      </c>
    </row>
    <row r="113" spans="1:6">
      <c r="A113" s="22" t="s">
        <v>380</v>
      </c>
      <c r="B113" s="22" t="s">
        <v>381</v>
      </c>
      <c r="C113" s="22" t="s">
        <v>382</v>
      </c>
      <c r="D113" s="22" t="s">
        <v>9</v>
      </c>
      <c r="E113" s="22" t="s">
        <v>50</v>
      </c>
      <c r="F113" s="22">
        <v>0.382</v>
      </c>
    </row>
    <row r="114" spans="1:6">
      <c r="A114" s="22" t="s">
        <v>383</v>
      </c>
      <c r="B114" s="22" t="s">
        <v>384</v>
      </c>
      <c r="C114" s="22" t="s">
        <v>385</v>
      </c>
      <c r="D114" s="22" t="s">
        <v>9</v>
      </c>
      <c r="E114" s="22" t="s">
        <v>61</v>
      </c>
      <c r="F114" s="22">
        <v>534.384</v>
      </c>
    </row>
    <row r="115" spans="1:6">
      <c r="A115" s="22" t="s">
        <v>386</v>
      </c>
      <c r="B115" s="22" t="s">
        <v>387</v>
      </c>
      <c r="C115" s="22" t="s">
        <v>388</v>
      </c>
      <c r="D115" s="22" t="s">
        <v>9</v>
      </c>
      <c r="E115" s="22" t="s">
        <v>23</v>
      </c>
      <c r="F115" s="22">
        <v>133.339</v>
      </c>
    </row>
    <row r="116" spans="1:6">
      <c r="A116" s="22" t="s">
        <v>389</v>
      </c>
      <c r="B116" s="22" t="s">
        <v>390</v>
      </c>
      <c r="C116" s="22" t="s">
        <v>391</v>
      </c>
      <c r="D116" s="22" t="s">
        <v>9</v>
      </c>
      <c r="E116" s="22" t="s">
        <v>23</v>
      </c>
      <c r="F116" s="22">
        <v>146.229</v>
      </c>
    </row>
    <row r="117" spans="1:6">
      <c r="A117" s="22" t="s">
        <v>392</v>
      </c>
      <c r="B117" s="22" t="s">
        <v>393</v>
      </c>
      <c r="C117" s="22" t="s">
        <v>394</v>
      </c>
      <c r="D117" s="22" t="s">
        <v>9</v>
      </c>
      <c r="E117" s="22" t="s">
        <v>23</v>
      </c>
      <c r="F117" s="22">
        <v>94.002</v>
      </c>
    </row>
    <row r="118" spans="1:6">
      <c r="A118" s="22" t="s">
        <v>395</v>
      </c>
      <c r="B118" s="22" t="s">
        <v>396</v>
      </c>
      <c r="C118" s="22" t="s">
        <v>397</v>
      </c>
      <c r="D118" s="22" t="s">
        <v>9</v>
      </c>
      <c r="E118" s="22" t="s">
        <v>31</v>
      </c>
      <c r="F118" s="22">
        <v>468.002</v>
      </c>
    </row>
    <row r="119" spans="1:6">
      <c r="A119" s="22" t="s">
        <v>398</v>
      </c>
      <c r="B119" s="22" t="s">
        <v>399</v>
      </c>
      <c r="C119" s="22" t="s">
        <v>400</v>
      </c>
      <c r="D119" s="22" t="s">
        <v>9</v>
      </c>
      <c r="E119" s="22" t="s">
        <v>14</v>
      </c>
      <c r="F119" s="22">
        <v>9.508</v>
      </c>
    </row>
    <row r="120" spans="1:6">
      <c r="A120" s="22" t="s">
        <v>401</v>
      </c>
      <c r="B120" s="22" t="s">
        <v>402</v>
      </c>
      <c r="C120" s="22" t="s">
        <v>403</v>
      </c>
      <c r="D120" s="22" t="s">
        <v>9</v>
      </c>
      <c r="E120" s="22" t="s">
        <v>27</v>
      </c>
      <c r="F120" s="22">
        <v>376.162</v>
      </c>
    </row>
    <row r="121" spans="1:6">
      <c r="A121" s="22" t="s">
        <v>404</v>
      </c>
      <c r="B121" s="22" t="s">
        <v>405</v>
      </c>
      <c r="C121" s="22" t="s">
        <v>406</v>
      </c>
      <c r="D121" s="22" t="s">
        <v>9</v>
      </c>
      <c r="E121" s="22" t="s">
        <v>57</v>
      </c>
      <c r="F121" s="22">
        <v>23.126</v>
      </c>
    </row>
    <row r="122" spans="1:6">
      <c r="A122" s="22" t="s">
        <v>407</v>
      </c>
      <c r="B122" s="22" t="s">
        <v>408</v>
      </c>
      <c r="C122" s="22" t="s">
        <v>409</v>
      </c>
      <c r="D122" s="22" t="s">
        <v>9</v>
      </c>
      <c r="E122" s="22" t="s">
        <v>27</v>
      </c>
      <c r="F122" s="22">
        <v>4.666</v>
      </c>
    </row>
    <row r="123" spans="1:6">
      <c r="A123" s="22" t="s">
        <v>410</v>
      </c>
      <c r="B123" s="22" t="s">
        <v>411</v>
      </c>
      <c r="C123" s="22" t="s">
        <v>412</v>
      </c>
      <c r="D123" s="22" t="s">
        <v>9</v>
      </c>
      <c r="E123" s="22" t="s">
        <v>27</v>
      </c>
      <c r="F123" s="22">
        <v>2810.691</v>
      </c>
    </row>
    <row r="124" spans="1:6">
      <c r="A124" s="22" t="s">
        <v>413</v>
      </c>
      <c r="B124" s="22" t="s">
        <v>414</v>
      </c>
      <c r="C124" s="22" t="s">
        <v>415</v>
      </c>
      <c r="D124" s="22" t="s">
        <v>9</v>
      </c>
      <c r="E124" s="22" t="s">
        <v>23</v>
      </c>
      <c r="F124" s="22">
        <v>10.849</v>
      </c>
    </row>
    <row r="125" spans="1:6">
      <c r="A125" s="22" t="s">
        <v>416</v>
      </c>
      <c r="B125" s="22" t="s">
        <v>417</v>
      </c>
      <c r="C125" s="22" t="s">
        <v>418</v>
      </c>
      <c r="D125" s="22" t="s">
        <v>9</v>
      </c>
      <c r="E125" s="22" t="s">
        <v>31</v>
      </c>
      <c r="F125" s="22">
        <v>544.272</v>
      </c>
    </row>
    <row r="126" spans="1:6">
      <c r="A126" s="22" t="s">
        <v>419</v>
      </c>
      <c r="B126" s="22" t="s">
        <v>420</v>
      </c>
      <c r="C126" s="22" t="s">
        <v>421</v>
      </c>
      <c r="D126" s="22" t="s">
        <v>9</v>
      </c>
      <c r="E126" s="22" t="s">
        <v>23</v>
      </c>
      <c r="F126" s="22">
        <v>73.172</v>
      </c>
    </row>
    <row r="127" spans="1:6">
      <c r="A127" s="22" t="s">
        <v>422</v>
      </c>
      <c r="B127" s="22" t="s">
        <v>423</v>
      </c>
      <c r="C127" s="22" t="s">
        <v>424</v>
      </c>
      <c r="D127" s="22" t="s">
        <v>9</v>
      </c>
      <c r="E127" s="22" t="s">
        <v>82</v>
      </c>
    </row>
    <row r="128" spans="1:6">
      <c r="A128" s="22" t="s">
        <v>425</v>
      </c>
      <c r="B128" s="22" t="s">
        <v>426</v>
      </c>
      <c r="C128" s="22" t="s">
        <v>427</v>
      </c>
      <c r="D128" s="22" t="s">
        <v>9</v>
      </c>
      <c r="E128" s="22" t="s">
        <v>50</v>
      </c>
      <c r="F128" s="22">
        <v>24.264</v>
      </c>
    </row>
    <row r="129" spans="1:6">
      <c r="A129" s="22" t="s">
        <v>428</v>
      </c>
      <c r="B129" s="22" t="s">
        <v>429</v>
      </c>
      <c r="C129" s="22" t="s">
        <v>430</v>
      </c>
      <c r="D129" s="22" t="s">
        <v>9</v>
      </c>
      <c r="E129" s="22" t="s">
        <v>35</v>
      </c>
      <c r="F129" s="22">
        <v>246.087</v>
      </c>
    </row>
    <row r="130" spans="1:6">
      <c r="A130" s="22" t="s">
        <v>431</v>
      </c>
      <c r="B130" s="22" t="s">
        <v>432</v>
      </c>
      <c r="C130" s="22" t="s">
        <v>433</v>
      </c>
      <c r="D130" s="22" t="s">
        <v>9</v>
      </c>
      <c r="E130" s="22" t="s">
        <v>23</v>
      </c>
      <c r="F130" s="22">
        <v>10.078</v>
      </c>
    </row>
    <row r="131" spans="1:6">
      <c r="A131" s="22" t="s">
        <v>434</v>
      </c>
      <c r="B131" s="22" t="s">
        <v>435</v>
      </c>
      <c r="C131" s="22" t="s">
        <v>436</v>
      </c>
      <c r="D131" s="22" t="s">
        <v>9</v>
      </c>
      <c r="E131" s="22" t="s">
        <v>27</v>
      </c>
      <c r="F131" s="22">
        <v>42.221</v>
      </c>
    </row>
    <row r="132" spans="1:6">
      <c r="A132" s="22" t="s">
        <v>437</v>
      </c>
      <c r="B132" s="22" t="s">
        <v>438</v>
      </c>
      <c r="C132" s="22" t="s">
        <v>439</v>
      </c>
      <c r="D132" s="22" t="s">
        <v>9</v>
      </c>
      <c r="E132" s="22" t="s">
        <v>27</v>
      </c>
      <c r="F132" s="22">
        <v>26.085</v>
      </c>
    </row>
    <row r="133" spans="1:6">
      <c r="A133" s="22" t="s">
        <v>440</v>
      </c>
      <c r="B133" s="22" t="s">
        <v>441</v>
      </c>
      <c r="C133" s="22" t="s">
        <v>442</v>
      </c>
      <c r="D133" s="22" t="s">
        <v>9</v>
      </c>
      <c r="E133" s="22" t="s">
        <v>31</v>
      </c>
      <c r="F133" s="22">
        <v>96.638</v>
      </c>
    </row>
    <row r="134" spans="1:6">
      <c r="A134" s="22" t="s">
        <v>443</v>
      </c>
      <c r="B134" s="22" t="s">
        <v>444</v>
      </c>
      <c r="C134" s="22" t="s">
        <v>445</v>
      </c>
      <c r="D134" s="22" t="s">
        <v>9</v>
      </c>
      <c r="E134" s="22" t="s">
        <v>23</v>
      </c>
      <c r="F134" s="22">
        <v>12.139</v>
      </c>
    </row>
    <row r="135" spans="1:6">
      <c r="A135" s="22" t="s">
        <v>446</v>
      </c>
      <c r="B135" s="22" t="s">
        <v>447</v>
      </c>
      <c r="C135" s="22" t="s">
        <v>448</v>
      </c>
      <c r="D135" s="22" t="s">
        <v>9</v>
      </c>
      <c r="E135" s="22" t="s">
        <v>57</v>
      </c>
      <c r="F135" s="22">
        <v>17.199</v>
      </c>
    </row>
    <row r="136" spans="1:6">
      <c r="A136" s="22" t="s">
        <v>449</v>
      </c>
      <c r="B136" s="22" t="s">
        <v>450</v>
      </c>
      <c r="C136" s="22" t="s">
        <v>451</v>
      </c>
      <c r="D136" s="22" t="s">
        <v>9</v>
      </c>
      <c r="E136" s="22" t="s">
        <v>31</v>
      </c>
      <c r="F136" s="22">
        <v>408.167</v>
      </c>
    </row>
    <row r="137" spans="1:6">
      <c r="A137" s="22" t="s">
        <v>452</v>
      </c>
      <c r="B137" s="22" t="s">
        <v>453</v>
      </c>
      <c r="C137" s="22" t="s">
        <v>454</v>
      </c>
      <c r="D137" s="22" t="s">
        <v>9</v>
      </c>
      <c r="E137" s="22" t="s">
        <v>57</v>
      </c>
      <c r="F137" s="22">
        <v>80.391</v>
      </c>
    </row>
    <row r="138" spans="1:6">
      <c r="A138" s="22" t="s">
        <v>455</v>
      </c>
      <c r="B138" s="22" t="s">
        <v>456</v>
      </c>
      <c r="C138" s="22" t="s">
        <v>457</v>
      </c>
      <c r="D138" s="22" t="s">
        <v>9</v>
      </c>
      <c r="E138" s="22" t="s">
        <v>27</v>
      </c>
      <c r="F138" s="22">
        <v>22.602</v>
      </c>
    </row>
    <row r="139" spans="1:6">
      <c r="A139" s="22" t="s">
        <v>458</v>
      </c>
      <c r="B139" s="22" t="s">
        <v>459</v>
      </c>
      <c r="C139" s="22" t="s">
        <v>460</v>
      </c>
      <c r="D139" s="22" t="s">
        <v>9</v>
      </c>
      <c r="E139" s="22" t="s">
        <v>57</v>
      </c>
      <c r="F139" s="22">
        <v>49.621</v>
      </c>
    </row>
    <row r="140" spans="1:6">
      <c r="A140" s="22" t="s">
        <v>461</v>
      </c>
      <c r="B140" s="22" t="s">
        <v>462</v>
      </c>
      <c r="C140" s="22" t="s">
        <v>463</v>
      </c>
      <c r="D140" s="22" t="s">
        <v>9</v>
      </c>
      <c r="E140" s="22" t="s">
        <v>57</v>
      </c>
      <c r="F140" s="22">
        <v>25.167</v>
      </c>
    </row>
    <row r="141" spans="1:6">
      <c r="A141" s="22" t="s">
        <v>464</v>
      </c>
      <c r="B141" s="22" t="s">
        <v>465</v>
      </c>
      <c r="C141" s="22" t="s">
        <v>466</v>
      </c>
      <c r="D141" s="22" t="s">
        <v>9</v>
      </c>
      <c r="E141" s="22" t="s">
        <v>14</v>
      </c>
      <c r="F141" s="22">
        <v>4.885</v>
      </c>
    </row>
    <row r="142" spans="1:6">
      <c r="A142" s="22" t="s">
        <v>467</v>
      </c>
      <c r="B142" s="22" t="s">
        <v>468</v>
      </c>
      <c r="C142" s="22" t="s">
        <v>469</v>
      </c>
      <c r="D142" s="22" t="s">
        <v>9</v>
      </c>
      <c r="E142" s="22" t="s">
        <v>27</v>
      </c>
      <c r="F142" s="22">
        <v>59.917</v>
      </c>
    </row>
    <row r="143" spans="1:6">
      <c r="A143" s="22" t="s">
        <v>470</v>
      </c>
      <c r="B143" s="22" t="s">
        <v>471</v>
      </c>
      <c r="C143" s="22" t="s">
        <v>472</v>
      </c>
      <c r="D143" s="22" t="s">
        <v>9</v>
      </c>
      <c r="E143" s="22" t="s">
        <v>23</v>
      </c>
      <c r="F143" s="22">
        <v>37.389</v>
      </c>
    </row>
    <row r="144" spans="1:6">
      <c r="A144" s="22" t="s">
        <v>473</v>
      </c>
      <c r="B144" s="22" t="s">
        <v>474</v>
      </c>
      <c r="C144" s="22" t="s">
        <v>475</v>
      </c>
      <c r="D144" s="22" t="s">
        <v>9</v>
      </c>
      <c r="E144" s="22" t="s">
        <v>23</v>
      </c>
      <c r="F144" s="22">
        <v>23.031</v>
      </c>
    </row>
    <row r="145" spans="1:6">
      <c r="A145" s="22" t="s">
        <v>476</v>
      </c>
      <c r="B145" s="22" t="s">
        <v>477</v>
      </c>
      <c r="C145" s="22" t="s">
        <v>478</v>
      </c>
      <c r="D145" s="22" t="s">
        <v>9</v>
      </c>
      <c r="E145" s="22" t="s">
        <v>57</v>
      </c>
      <c r="F145" s="22">
        <v>47.451</v>
      </c>
    </row>
    <row r="146" spans="1:6">
      <c r="A146" s="22" t="s">
        <v>479</v>
      </c>
      <c r="B146" s="22" t="s">
        <v>480</v>
      </c>
      <c r="C146" s="22" t="s">
        <v>481</v>
      </c>
      <c r="D146" s="22" t="s">
        <v>9</v>
      </c>
      <c r="E146" s="22" t="s">
        <v>57</v>
      </c>
      <c r="F146" s="22">
        <v>69.055</v>
      </c>
    </row>
    <row r="147" spans="1:6">
      <c r="A147" s="22" t="s">
        <v>482</v>
      </c>
      <c r="B147" s="22" t="s">
        <v>483</v>
      </c>
      <c r="C147" s="22" t="s">
        <v>484</v>
      </c>
      <c r="D147" s="22" t="s">
        <v>9</v>
      </c>
      <c r="E147" s="22" t="s">
        <v>35</v>
      </c>
      <c r="F147" s="22">
        <v>851.556</v>
      </c>
    </row>
    <row r="148" spans="1:6">
      <c r="A148" s="22" t="s">
        <v>485</v>
      </c>
      <c r="B148" s="22" t="s">
        <v>405</v>
      </c>
      <c r="C148" s="22" t="s">
        <v>486</v>
      </c>
      <c r="D148" s="22" t="s">
        <v>9</v>
      </c>
      <c r="E148" s="22" t="s">
        <v>57</v>
      </c>
      <c r="F148" s="22">
        <v>28.762</v>
      </c>
    </row>
    <row r="149" spans="1:6">
      <c r="A149" s="22" t="s">
        <v>487</v>
      </c>
      <c r="B149" s="22" t="s">
        <v>488</v>
      </c>
      <c r="C149" s="22" t="s">
        <v>489</v>
      </c>
      <c r="D149" s="22" t="s">
        <v>9</v>
      </c>
      <c r="E149" s="22" t="s">
        <v>31</v>
      </c>
      <c r="F149" s="22">
        <v>301.369</v>
      </c>
    </row>
    <row r="150" spans="1:6">
      <c r="A150" s="22" t="s">
        <v>490</v>
      </c>
      <c r="B150" s="22" t="s">
        <v>491</v>
      </c>
      <c r="C150" s="22" t="s">
        <v>492</v>
      </c>
      <c r="D150" s="22" t="s">
        <v>9</v>
      </c>
      <c r="E150" s="22" t="s">
        <v>50</v>
      </c>
      <c r="F150" s="22">
        <v>218.137</v>
      </c>
    </row>
    <row r="151" spans="1:6">
      <c r="A151" s="22" t="s">
        <v>493</v>
      </c>
      <c r="B151" s="22" t="s">
        <v>494</v>
      </c>
      <c r="C151" s="22" t="s">
        <v>495</v>
      </c>
      <c r="D151" s="22" t="s">
        <v>9</v>
      </c>
      <c r="E151" s="22" t="s">
        <v>82</v>
      </c>
      <c r="F151" s="22">
        <v>8.761</v>
      </c>
    </row>
    <row r="152" spans="1:6">
      <c r="A152" s="22" t="s">
        <v>496</v>
      </c>
      <c r="B152" s="22" t="s">
        <v>497</v>
      </c>
      <c r="C152" s="22" t="s">
        <v>498</v>
      </c>
      <c r="D152" s="22" t="s">
        <v>9</v>
      </c>
      <c r="E152" s="22" t="s">
        <v>82</v>
      </c>
      <c r="F152" s="22">
        <v>22.761</v>
      </c>
    </row>
    <row r="153" spans="1:6">
      <c r="A153" s="22" t="s">
        <v>499</v>
      </c>
      <c r="B153" s="22" t="s">
        <v>500</v>
      </c>
      <c r="C153" s="22" t="s">
        <v>501</v>
      </c>
      <c r="D153" s="22" t="s">
        <v>9</v>
      </c>
      <c r="E153" s="22" t="s">
        <v>23</v>
      </c>
      <c r="F153" s="22">
        <v>69.098</v>
      </c>
    </row>
    <row r="154" spans="1:6">
      <c r="A154" s="22" t="s">
        <v>502</v>
      </c>
      <c r="B154" s="22" t="s">
        <v>503</v>
      </c>
      <c r="C154" s="22" t="s">
        <v>504</v>
      </c>
      <c r="D154" s="22" t="s">
        <v>9</v>
      </c>
      <c r="E154" s="22" t="s">
        <v>57</v>
      </c>
      <c r="F154" s="22">
        <v>13.085</v>
      </c>
    </row>
    <row r="155" spans="1:6">
      <c r="A155" s="22" t="s">
        <v>505</v>
      </c>
      <c r="B155" s="22" t="s">
        <v>506</v>
      </c>
      <c r="C155" s="22" t="s">
        <v>507</v>
      </c>
      <c r="D155" s="22" t="s">
        <v>9</v>
      </c>
      <c r="E155" s="22" t="s">
        <v>23</v>
      </c>
      <c r="F155" s="22">
        <v>33.635</v>
      </c>
    </row>
    <row r="156" spans="1:6">
      <c r="A156" s="22" t="s">
        <v>508</v>
      </c>
      <c r="B156" s="22" t="s">
        <v>509</v>
      </c>
      <c r="C156" s="22" t="s">
        <v>510</v>
      </c>
      <c r="D156" s="22" t="s">
        <v>9</v>
      </c>
      <c r="E156" s="22" t="s">
        <v>31</v>
      </c>
      <c r="F156" s="22">
        <v>41.925</v>
      </c>
    </row>
    <row r="157" spans="1:6">
      <c r="A157" s="22" t="s">
        <v>511</v>
      </c>
      <c r="B157" s="22" t="s">
        <v>512</v>
      </c>
      <c r="C157" s="22" t="s">
        <v>513</v>
      </c>
      <c r="D157" s="22" t="s">
        <v>9</v>
      </c>
      <c r="E157" s="22" t="s">
        <v>23</v>
      </c>
      <c r="F157" s="22">
        <v>4.534</v>
      </c>
    </row>
    <row r="158" spans="1:6">
      <c r="A158" s="22" t="s">
        <v>514</v>
      </c>
      <c r="B158" s="22" t="s">
        <v>515</v>
      </c>
      <c r="C158" s="22" t="s">
        <v>516</v>
      </c>
      <c r="D158" s="22" t="s">
        <v>9</v>
      </c>
      <c r="E158" s="22" t="s">
        <v>23</v>
      </c>
      <c r="F158" s="22">
        <v>93.699</v>
      </c>
    </row>
    <row r="159" spans="1:6">
      <c r="A159" s="22" t="s">
        <v>517</v>
      </c>
      <c r="B159" s="22" t="s">
        <v>518</v>
      </c>
      <c r="C159" s="22" t="s">
        <v>519</v>
      </c>
      <c r="D159" s="22" t="s">
        <v>9</v>
      </c>
      <c r="E159" s="22" t="s">
        <v>82</v>
      </c>
    </row>
    <row r="160" spans="1:6">
      <c r="A160" s="22" t="s">
        <v>520</v>
      </c>
      <c r="B160" s="22" t="s">
        <v>521</v>
      </c>
      <c r="C160" s="22" t="s">
        <v>522</v>
      </c>
      <c r="D160" s="22" t="s">
        <v>9</v>
      </c>
      <c r="E160" s="22" t="s">
        <v>27</v>
      </c>
      <c r="F160" s="22">
        <v>930.501</v>
      </c>
    </row>
    <row r="161" spans="1:6">
      <c r="A161" s="22" t="s">
        <v>523</v>
      </c>
      <c r="B161" s="22" t="s">
        <v>524</v>
      </c>
      <c r="C161" s="22" t="s">
        <v>525</v>
      </c>
      <c r="D161" s="22" t="s">
        <v>9</v>
      </c>
      <c r="E161" s="22" t="s">
        <v>82</v>
      </c>
      <c r="F161" s="22">
        <v>22.096</v>
      </c>
    </row>
    <row r="162" spans="1:6">
      <c r="A162" s="22" t="s">
        <v>526</v>
      </c>
      <c r="B162" s="22" t="s">
        <v>527</v>
      </c>
      <c r="C162" s="22" t="s">
        <v>528</v>
      </c>
      <c r="D162" s="22" t="s">
        <v>9</v>
      </c>
      <c r="E162" s="22" t="s">
        <v>31</v>
      </c>
      <c r="F162" s="22">
        <v>742.48</v>
      </c>
    </row>
    <row r="163" spans="1:6">
      <c r="A163" s="22" t="s">
        <v>529</v>
      </c>
      <c r="B163" s="22" t="s">
        <v>530</v>
      </c>
      <c r="C163" s="22" t="s">
        <v>531</v>
      </c>
      <c r="D163" s="22" t="s">
        <v>9</v>
      </c>
      <c r="E163" s="22" t="s">
        <v>82</v>
      </c>
      <c r="F163" s="22">
        <v>215.373</v>
      </c>
    </row>
    <row r="164" spans="1:6">
      <c r="A164" s="22" t="s">
        <v>532</v>
      </c>
      <c r="B164" s="22" t="s">
        <v>533</v>
      </c>
      <c r="C164" s="22" t="s">
        <v>534</v>
      </c>
      <c r="D164" s="22" t="s">
        <v>9</v>
      </c>
      <c r="E164" s="22" t="s">
        <v>23</v>
      </c>
      <c r="F164" s="22">
        <v>25.318</v>
      </c>
    </row>
    <row r="165" spans="1:6">
      <c r="A165" s="22" t="s">
        <v>535</v>
      </c>
      <c r="B165" s="22" t="s">
        <v>536</v>
      </c>
      <c r="C165" s="22" t="s">
        <v>537</v>
      </c>
      <c r="D165" s="22" t="s">
        <v>9</v>
      </c>
      <c r="E165" s="22" t="s">
        <v>82</v>
      </c>
      <c r="F165" s="22">
        <v>590.387</v>
      </c>
    </row>
    <row r="166" spans="1:6">
      <c r="A166" s="22" t="s">
        <v>538</v>
      </c>
      <c r="B166" s="22" t="s">
        <v>539</v>
      </c>
      <c r="C166" s="22" t="s">
        <v>540</v>
      </c>
      <c r="D166" s="22" t="s">
        <v>9</v>
      </c>
      <c r="E166" s="22" t="s">
        <v>82</v>
      </c>
      <c r="F166" s="22">
        <v>373.303</v>
      </c>
    </row>
    <row r="167" spans="1:6">
      <c r="A167" s="22" t="s">
        <v>541</v>
      </c>
      <c r="B167" s="22" t="s">
        <v>542</v>
      </c>
      <c r="C167" s="22" t="s">
        <v>543</v>
      </c>
      <c r="D167" s="22" t="s">
        <v>9</v>
      </c>
      <c r="E167" s="22" t="s">
        <v>27</v>
      </c>
      <c r="F167" s="22">
        <v>120.852</v>
      </c>
    </row>
    <row r="168" spans="1:6">
      <c r="A168" s="22" t="s">
        <v>544</v>
      </c>
      <c r="B168" s="22" t="s">
        <v>545</v>
      </c>
      <c r="C168" s="22" t="s">
        <v>546</v>
      </c>
      <c r="D168" s="22" t="s">
        <v>9</v>
      </c>
      <c r="E168" s="22" t="s">
        <v>27</v>
      </c>
      <c r="F168" s="22">
        <v>117.669</v>
      </c>
    </row>
    <row r="169" spans="1:6">
      <c r="A169" s="22" t="s">
        <v>547</v>
      </c>
      <c r="B169" s="22" t="s">
        <v>548</v>
      </c>
      <c r="C169" s="22" t="s">
        <v>549</v>
      </c>
      <c r="D169" s="22" t="s">
        <v>9</v>
      </c>
      <c r="E169" s="22" t="s">
        <v>27</v>
      </c>
      <c r="F169" s="22">
        <v>59.772</v>
      </c>
    </row>
    <row r="170" spans="1:6">
      <c r="A170" s="22" t="s">
        <v>550</v>
      </c>
      <c r="B170" s="22" t="s">
        <v>551</v>
      </c>
      <c r="C170" s="22" t="s">
        <v>552</v>
      </c>
      <c r="D170" s="22" t="s">
        <v>9</v>
      </c>
      <c r="E170" s="22" t="s">
        <v>31</v>
      </c>
      <c r="F170" s="22">
        <v>1037.67</v>
      </c>
    </row>
    <row r="171" spans="1:6">
      <c r="A171" s="22" t="s">
        <v>553</v>
      </c>
      <c r="B171" s="22" t="s">
        <v>554</v>
      </c>
      <c r="C171" s="22" t="s">
        <v>555</v>
      </c>
      <c r="D171" s="22" t="s">
        <v>9</v>
      </c>
      <c r="E171" s="22" t="s">
        <v>27</v>
      </c>
      <c r="F171" s="22">
        <v>5510.641</v>
      </c>
    </row>
    <row r="172" spans="1:6">
      <c r="A172" s="22" t="s">
        <v>556</v>
      </c>
      <c r="B172" s="22" t="s">
        <v>557</v>
      </c>
      <c r="C172" s="22" t="s">
        <v>558</v>
      </c>
      <c r="D172" s="22" t="s">
        <v>9</v>
      </c>
      <c r="E172" s="22" t="s">
        <v>23</v>
      </c>
      <c r="F172" s="22">
        <v>443.199</v>
      </c>
    </row>
    <row r="173" spans="1:6">
      <c r="A173" s="22" t="s">
        <v>559</v>
      </c>
      <c r="B173" s="22" t="s">
        <v>560</v>
      </c>
      <c r="C173" s="22" t="s">
        <v>561</v>
      </c>
      <c r="D173" s="22" t="s">
        <v>9</v>
      </c>
      <c r="E173" s="22" t="s">
        <v>23</v>
      </c>
      <c r="F173" s="22">
        <v>79.045</v>
      </c>
    </row>
    <row r="174" spans="1:6">
      <c r="A174" s="22" t="s">
        <v>562</v>
      </c>
      <c r="B174" s="22" t="s">
        <v>563</v>
      </c>
      <c r="C174" s="22" t="s">
        <v>564</v>
      </c>
      <c r="D174" s="22" t="s">
        <v>9</v>
      </c>
      <c r="E174" s="22" t="s">
        <v>31</v>
      </c>
      <c r="F174" s="22">
        <v>136.752</v>
      </c>
    </row>
    <row r="175" spans="1:6">
      <c r="A175" s="22" t="s">
        <v>565</v>
      </c>
      <c r="B175" s="22" t="s">
        <v>566</v>
      </c>
      <c r="C175" s="22" t="s">
        <v>567</v>
      </c>
      <c r="D175" s="22" t="s">
        <v>9</v>
      </c>
      <c r="E175" s="22" t="s">
        <v>57</v>
      </c>
      <c r="F175" s="22">
        <v>0.065</v>
      </c>
    </row>
    <row r="176" spans="1:6">
      <c r="A176" s="22" t="s">
        <v>568</v>
      </c>
      <c r="B176" s="22" t="s">
        <v>569</v>
      </c>
      <c r="C176" s="22" t="s">
        <v>570</v>
      </c>
      <c r="D176" s="22" t="s">
        <v>9</v>
      </c>
      <c r="E176" s="22" t="s">
        <v>57</v>
      </c>
      <c r="F176" s="22">
        <v>95.712</v>
      </c>
    </row>
    <row r="177" spans="1:6">
      <c r="A177" s="22" t="s">
        <v>571</v>
      </c>
      <c r="B177" s="22" t="s">
        <v>572</v>
      </c>
      <c r="C177" s="22" t="s">
        <v>573</v>
      </c>
      <c r="D177" s="22" t="s">
        <v>9</v>
      </c>
      <c r="E177" s="22" t="s">
        <v>27</v>
      </c>
      <c r="F177" s="22">
        <v>33.251</v>
      </c>
    </row>
    <row r="178" spans="1:6">
      <c r="A178" s="22" t="s">
        <v>574</v>
      </c>
      <c r="B178" s="22" t="s">
        <v>575</v>
      </c>
      <c r="C178" s="22" t="s">
        <v>576</v>
      </c>
      <c r="D178" s="22" t="s">
        <v>9</v>
      </c>
      <c r="E178" s="22" t="s">
        <v>31</v>
      </c>
      <c r="F178" s="22">
        <v>1367.391</v>
      </c>
    </row>
    <row r="179" spans="1:6">
      <c r="A179" s="22" t="s">
        <v>577</v>
      </c>
      <c r="B179" s="22" t="s">
        <v>578</v>
      </c>
      <c r="C179" s="22" t="s">
        <v>579</v>
      </c>
      <c r="D179" s="22" t="s">
        <v>9</v>
      </c>
      <c r="E179" s="22" t="s">
        <v>23</v>
      </c>
      <c r="F179" s="22">
        <v>19.592</v>
      </c>
    </row>
    <row r="180" spans="1:6">
      <c r="A180" s="22" t="s">
        <v>580</v>
      </c>
      <c r="B180" s="22" t="s">
        <v>581</v>
      </c>
      <c r="C180" s="22" t="s">
        <v>582</v>
      </c>
      <c r="D180" s="22" t="s">
        <v>9</v>
      </c>
      <c r="E180" s="22" t="s">
        <v>23</v>
      </c>
      <c r="F180" s="22">
        <v>33.265</v>
      </c>
    </row>
    <row r="181" spans="1:6">
      <c r="A181" s="22" t="s">
        <v>583</v>
      </c>
      <c r="B181" s="22" t="s">
        <v>584</v>
      </c>
      <c r="C181" s="22" t="s">
        <v>585</v>
      </c>
      <c r="D181" s="22" t="s">
        <v>9</v>
      </c>
      <c r="E181" s="22" t="s">
        <v>23</v>
      </c>
      <c r="F181" s="22">
        <v>209.242</v>
      </c>
    </row>
    <row r="182" spans="1:6">
      <c r="A182" s="22" t="s">
        <v>586</v>
      </c>
      <c r="B182" s="22" t="s">
        <v>587</v>
      </c>
      <c r="C182" s="22" t="s">
        <v>588</v>
      </c>
      <c r="D182" s="22" t="s">
        <v>9</v>
      </c>
      <c r="E182" s="22" t="s">
        <v>35</v>
      </c>
      <c r="F182" s="22">
        <v>581.179</v>
      </c>
    </row>
    <row r="183" spans="1:6">
      <c r="A183" s="22" t="s">
        <v>589</v>
      </c>
      <c r="B183" s="22" t="s">
        <v>590</v>
      </c>
      <c r="C183" s="22" t="s">
        <v>591</v>
      </c>
      <c r="D183" s="22" t="s">
        <v>9</v>
      </c>
      <c r="E183" s="22" t="s">
        <v>57</v>
      </c>
      <c r="F183" s="22">
        <v>54.285</v>
      </c>
    </row>
    <row r="184" spans="1:6">
      <c r="A184" s="22" t="s">
        <v>592</v>
      </c>
      <c r="B184" s="22" t="s">
        <v>509</v>
      </c>
      <c r="C184" s="22" t="s">
        <v>593</v>
      </c>
      <c r="D184" s="22" t="s">
        <v>9</v>
      </c>
      <c r="E184" s="22" t="s">
        <v>31</v>
      </c>
      <c r="F184" s="22">
        <v>36.855</v>
      </c>
    </row>
    <row r="185" spans="1:6">
      <c r="A185" s="22" t="s">
        <v>594</v>
      </c>
      <c r="B185" s="22" t="s">
        <v>595</v>
      </c>
      <c r="C185" s="22" t="s">
        <v>596</v>
      </c>
      <c r="D185" s="22" t="s">
        <v>9</v>
      </c>
      <c r="E185" s="22" t="s">
        <v>23</v>
      </c>
      <c r="F185" s="22">
        <v>36.031</v>
      </c>
    </row>
    <row r="186" spans="1:6">
      <c r="A186" s="22" t="s">
        <v>597</v>
      </c>
      <c r="B186" s="22" t="s">
        <v>598</v>
      </c>
      <c r="C186" s="22" t="s">
        <v>599</v>
      </c>
      <c r="D186" s="22" t="s">
        <v>9</v>
      </c>
      <c r="E186" s="22" t="s">
        <v>82</v>
      </c>
    </row>
    <row r="187" spans="1:6">
      <c r="A187" s="22" t="s">
        <v>600</v>
      </c>
      <c r="B187" s="22" t="s">
        <v>601</v>
      </c>
      <c r="C187" s="22" t="s">
        <v>602</v>
      </c>
      <c r="D187" s="22" t="s">
        <v>9</v>
      </c>
      <c r="E187" s="22" t="s">
        <v>35</v>
      </c>
      <c r="F187" s="22">
        <v>18.821</v>
      </c>
    </row>
    <row r="188" spans="1:6">
      <c r="A188" s="22" t="s">
        <v>603</v>
      </c>
      <c r="B188" s="22" t="s">
        <v>604</v>
      </c>
      <c r="C188" s="22" t="s">
        <v>605</v>
      </c>
      <c r="D188" s="22" t="s">
        <v>9</v>
      </c>
      <c r="E188" s="22" t="s">
        <v>23</v>
      </c>
      <c r="F188" s="22">
        <v>1.781</v>
      </c>
    </row>
    <row r="189" spans="1:6">
      <c r="A189" s="22" t="s">
        <v>606</v>
      </c>
      <c r="B189" s="22" t="s">
        <v>607</v>
      </c>
      <c r="C189" s="22" t="s">
        <v>608</v>
      </c>
      <c r="D189" s="22" t="s">
        <v>9</v>
      </c>
      <c r="E189" s="22" t="s">
        <v>82</v>
      </c>
      <c r="F189" s="22">
        <v>577.118</v>
      </c>
    </row>
    <row r="190" spans="1:6">
      <c r="A190" s="22" t="s">
        <v>609</v>
      </c>
      <c r="B190" s="22" t="s">
        <v>610</v>
      </c>
      <c r="C190" s="22" t="s">
        <v>611</v>
      </c>
      <c r="D190" s="22" t="s">
        <v>9</v>
      </c>
      <c r="E190" s="22" t="s">
        <v>50</v>
      </c>
      <c r="F190" s="22">
        <v>604.951</v>
      </c>
    </row>
    <row r="191" spans="1:6">
      <c r="A191" s="22" t="s">
        <v>612</v>
      </c>
      <c r="B191" s="22" t="s">
        <v>613</v>
      </c>
      <c r="C191" s="22" t="s">
        <v>614</v>
      </c>
      <c r="D191" s="22" t="s">
        <v>9</v>
      </c>
      <c r="E191" s="22" t="s">
        <v>27</v>
      </c>
      <c r="F191" s="22">
        <v>315.327</v>
      </c>
    </row>
    <row r="192" spans="1:6">
      <c r="A192" s="22" t="s">
        <v>615</v>
      </c>
      <c r="B192" s="22" t="s">
        <v>616</v>
      </c>
      <c r="C192" s="22" t="s">
        <v>617</v>
      </c>
      <c r="D192" s="22" t="s">
        <v>9</v>
      </c>
      <c r="E192" s="22" t="s">
        <v>35</v>
      </c>
      <c r="F192" s="22">
        <v>1301.773</v>
      </c>
    </row>
    <row r="193" spans="1:6">
      <c r="A193" s="22" t="s">
        <v>618</v>
      </c>
      <c r="B193" s="22" t="s">
        <v>619</v>
      </c>
      <c r="C193" s="22" t="s">
        <v>620</v>
      </c>
      <c r="D193" s="22" t="s">
        <v>9</v>
      </c>
      <c r="E193" s="22" t="s">
        <v>57</v>
      </c>
      <c r="F193" s="22">
        <v>25.555</v>
      </c>
    </row>
    <row r="194" spans="1:6">
      <c r="A194" s="22" t="s">
        <v>621</v>
      </c>
      <c r="B194" s="22" t="s">
        <v>622</v>
      </c>
      <c r="C194" s="22" t="s">
        <v>623</v>
      </c>
      <c r="D194" s="22" t="s">
        <v>9</v>
      </c>
      <c r="E194" s="22" t="s">
        <v>57</v>
      </c>
      <c r="F194" s="22">
        <v>61.54</v>
      </c>
    </row>
    <row r="195" spans="1:6">
      <c r="A195" s="22" t="s">
        <v>624</v>
      </c>
      <c r="B195" s="22" t="s">
        <v>625</v>
      </c>
      <c r="C195" s="22" t="s">
        <v>626</v>
      </c>
      <c r="D195" s="22" t="s">
        <v>9</v>
      </c>
      <c r="E195" s="22" t="s">
        <v>57</v>
      </c>
      <c r="F195" s="22">
        <v>51.564</v>
      </c>
    </row>
    <row r="196" spans="1:6">
      <c r="A196" s="22" t="s">
        <v>627</v>
      </c>
      <c r="B196" s="22" t="s">
        <v>628</v>
      </c>
      <c r="C196" s="22" t="s">
        <v>629</v>
      </c>
      <c r="D196" s="22" t="s">
        <v>9</v>
      </c>
      <c r="E196" s="22" t="s">
        <v>23</v>
      </c>
      <c r="F196" s="22">
        <v>334.256</v>
      </c>
    </row>
    <row r="197" spans="1:6">
      <c r="A197" s="22" t="s">
        <v>630</v>
      </c>
      <c r="B197" s="22" t="s">
        <v>631</v>
      </c>
      <c r="C197" s="22" t="s">
        <v>632</v>
      </c>
      <c r="D197" s="22" t="s">
        <v>9</v>
      </c>
      <c r="E197" s="22" t="s">
        <v>57</v>
      </c>
      <c r="F197" s="22">
        <v>50.819</v>
      </c>
    </row>
    <row r="198" spans="1:6">
      <c r="A198" s="22" t="s">
        <v>633</v>
      </c>
      <c r="B198" s="22" t="s">
        <v>634</v>
      </c>
      <c r="C198" s="22" t="s">
        <v>634</v>
      </c>
      <c r="D198" s="22" t="s">
        <v>9</v>
      </c>
      <c r="E198" s="22" t="s">
        <v>125</v>
      </c>
      <c r="F198" s="22">
        <v>56.66</v>
      </c>
    </row>
    <row r="199" spans="1:6">
      <c r="A199" s="22" t="s">
        <v>635</v>
      </c>
      <c r="B199" s="22" t="s">
        <v>636</v>
      </c>
      <c r="C199" s="22" t="s">
        <v>637</v>
      </c>
      <c r="D199" s="22" t="s">
        <v>9</v>
      </c>
      <c r="E199" s="22" t="s">
        <v>31</v>
      </c>
      <c r="F199" s="22">
        <v>121.328</v>
      </c>
    </row>
    <row r="200" spans="1:6">
      <c r="A200" s="22" t="s">
        <v>638</v>
      </c>
      <c r="B200" s="22" t="s">
        <v>639</v>
      </c>
      <c r="C200" s="22" t="s">
        <v>640</v>
      </c>
      <c r="D200" s="22" t="s">
        <v>9</v>
      </c>
      <c r="E200" s="22" t="s">
        <v>35</v>
      </c>
      <c r="F200" s="22">
        <v>29.187</v>
      </c>
    </row>
    <row r="201" spans="1:6">
      <c r="A201" s="22" t="s">
        <v>641</v>
      </c>
      <c r="B201" s="22" t="s">
        <v>642</v>
      </c>
      <c r="C201" s="22" t="s">
        <v>643</v>
      </c>
      <c r="D201" s="22" t="s">
        <v>9</v>
      </c>
      <c r="E201" s="22" t="s">
        <v>35</v>
      </c>
      <c r="F201" s="22">
        <v>188.529</v>
      </c>
    </row>
    <row r="202" spans="1:6">
      <c r="A202" s="22" t="s">
        <v>644</v>
      </c>
      <c r="B202" s="22" t="s">
        <v>645</v>
      </c>
      <c r="C202" s="22" t="s">
        <v>646</v>
      </c>
      <c r="D202" s="22" t="s">
        <v>9</v>
      </c>
      <c r="E202" s="22" t="s">
        <v>57</v>
      </c>
      <c r="F202" s="22">
        <v>381.648</v>
      </c>
    </row>
    <row r="203" spans="1:6">
      <c r="A203" s="22" t="s">
        <v>647</v>
      </c>
      <c r="B203" s="22" t="s">
        <v>648</v>
      </c>
      <c r="C203" s="22" t="s">
        <v>649</v>
      </c>
      <c r="D203" s="22" t="s">
        <v>9</v>
      </c>
      <c r="E203" s="22" t="s">
        <v>23</v>
      </c>
      <c r="F203" s="22">
        <v>101.431</v>
      </c>
    </row>
    <row r="204" spans="1:6">
      <c r="A204" s="22" t="s">
        <v>650</v>
      </c>
      <c r="B204" s="22" t="s">
        <v>651</v>
      </c>
      <c r="C204" s="22" t="s">
        <v>652</v>
      </c>
      <c r="D204" s="22" t="s">
        <v>9</v>
      </c>
      <c r="E204" s="22" t="s">
        <v>31</v>
      </c>
      <c r="F204" s="22">
        <v>816.684</v>
      </c>
    </row>
    <row r="205" spans="1:6">
      <c r="A205" s="22" t="s">
        <v>653</v>
      </c>
      <c r="B205" s="22" t="s">
        <v>654</v>
      </c>
      <c r="C205" s="22" t="s">
        <v>655</v>
      </c>
      <c r="D205" s="22" t="s">
        <v>9</v>
      </c>
      <c r="E205" s="22" t="s">
        <v>23</v>
      </c>
      <c r="F205" s="22">
        <v>22.442</v>
      </c>
    </row>
    <row r="206" spans="1:6">
      <c r="A206" s="22" t="s">
        <v>656</v>
      </c>
      <c r="B206" s="22" t="s">
        <v>657</v>
      </c>
      <c r="C206" s="22" t="s">
        <v>658</v>
      </c>
      <c r="D206" s="22" t="s">
        <v>9</v>
      </c>
      <c r="E206" s="22" t="s">
        <v>27</v>
      </c>
      <c r="F206" s="22">
        <v>82.071</v>
      </c>
    </row>
    <row r="207" spans="1:6">
      <c r="A207" s="22" t="s">
        <v>659</v>
      </c>
      <c r="B207" s="22" t="s">
        <v>660</v>
      </c>
      <c r="C207" s="22" t="s">
        <v>661</v>
      </c>
      <c r="D207" s="22" t="s">
        <v>9</v>
      </c>
      <c r="E207" s="22" t="s">
        <v>23</v>
      </c>
      <c r="F207" s="22">
        <v>28.504</v>
      </c>
    </row>
    <row r="208" spans="1:6">
      <c r="A208" s="22" t="s">
        <v>662</v>
      </c>
      <c r="B208" s="22" t="s">
        <v>663</v>
      </c>
      <c r="C208" s="22" t="s">
        <v>664</v>
      </c>
      <c r="D208" s="22" t="s">
        <v>9</v>
      </c>
      <c r="E208" s="22" t="s">
        <v>23</v>
      </c>
      <c r="F208" s="22">
        <v>1865.079</v>
      </c>
    </row>
    <row r="209" spans="1:6">
      <c r="A209" s="22" t="s">
        <v>665</v>
      </c>
      <c r="B209" s="22" t="s">
        <v>666</v>
      </c>
      <c r="C209" s="22" t="s">
        <v>667</v>
      </c>
      <c r="D209" s="22" t="s">
        <v>9</v>
      </c>
      <c r="E209" s="22" t="s">
        <v>62</v>
      </c>
      <c r="F209" s="22">
        <v>22.74</v>
      </c>
    </row>
    <row r="210" spans="1:6">
      <c r="A210" s="22" t="s">
        <v>668</v>
      </c>
      <c r="B210" s="22" t="s">
        <v>669</v>
      </c>
      <c r="C210" s="22" t="s">
        <v>670</v>
      </c>
      <c r="D210" s="22" t="s">
        <v>9</v>
      </c>
      <c r="E210" s="22" t="s">
        <v>23</v>
      </c>
      <c r="F210" s="22">
        <v>197.293</v>
      </c>
    </row>
    <row r="211" spans="1:6">
      <c r="A211" s="22" t="s">
        <v>671</v>
      </c>
      <c r="B211" s="22" t="s">
        <v>672</v>
      </c>
      <c r="C211" s="22" t="s">
        <v>673</v>
      </c>
      <c r="D211" s="22" t="s">
        <v>9</v>
      </c>
      <c r="E211" s="22" t="s">
        <v>82</v>
      </c>
    </row>
    <row r="212" spans="1:6">
      <c r="A212" s="22" t="s">
        <v>674</v>
      </c>
      <c r="B212" s="22" t="s">
        <v>675</v>
      </c>
      <c r="C212" s="22" t="s">
        <v>676</v>
      </c>
      <c r="D212" s="22" t="s">
        <v>9</v>
      </c>
      <c r="E212" s="22" t="s">
        <v>23</v>
      </c>
      <c r="F212" s="22">
        <v>766.826</v>
      </c>
    </row>
    <row r="213" spans="1:6">
      <c r="A213" s="22" t="s">
        <v>677</v>
      </c>
      <c r="B213" s="22" t="s">
        <v>678</v>
      </c>
      <c r="C213" s="22" t="s">
        <v>679</v>
      </c>
      <c r="D213" s="22" t="s">
        <v>9</v>
      </c>
      <c r="E213" s="22" t="s">
        <v>23</v>
      </c>
      <c r="F213" s="22">
        <v>553.903</v>
      </c>
    </row>
    <row r="214" spans="1:6">
      <c r="A214" s="22" t="s">
        <v>680</v>
      </c>
      <c r="B214" s="22" t="s">
        <v>681</v>
      </c>
      <c r="C214" s="22" t="s">
        <v>682</v>
      </c>
      <c r="D214" s="22" t="s">
        <v>9</v>
      </c>
      <c r="E214" s="22" t="s">
        <v>23</v>
      </c>
      <c r="F214" s="22">
        <v>8.853</v>
      </c>
    </row>
    <row r="215" spans="1:6">
      <c r="A215" s="22" t="s">
        <v>683</v>
      </c>
      <c r="B215" s="22" t="s">
        <v>684</v>
      </c>
      <c r="C215" s="22" t="s">
        <v>685</v>
      </c>
      <c r="D215" s="22" t="s">
        <v>9</v>
      </c>
      <c r="E215" s="22" t="s">
        <v>23</v>
      </c>
      <c r="F215" s="22">
        <v>8.304</v>
      </c>
    </row>
    <row r="216" spans="1:6">
      <c r="A216" s="22" t="s">
        <v>686</v>
      </c>
      <c r="B216" s="22" t="s">
        <v>687</v>
      </c>
      <c r="C216" s="22" t="s">
        <v>688</v>
      </c>
      <c r="D216" s="22" t="s">
        <v>9</v>
      </c>
      <c r="E216" s="22" t="s">
        <v>23</v>
      </c>
      <c r="F216" s="22">
        <v>170.726</v>
      </c>
    </row>
    <row r="217" spans="1:6">
      <c r="A217" s="22" t="s">
        <v>689</v>
      </c>
      <c r="B217" s="22" t="s">
        <v>690</v>
      </c>
      <c r="C217" s="22" t="s">
        <v>691</v>
      </c>
      <c r="D217" s="22" t="s">
        <v>9</v>
      </c>
      <c r="E217" s="22" t="s">
        <v>23</v>
      </c>
      <c r="F217" s="22">
        <v>160.901</v>
      </c>
    </row>
    <row r="218" spans="1:6">
      <c r="A218" s="22" t="s">
        <v>692</v>
      </c>
      <c r="B218" s="22" t="s">
        <v>693</v>
      </c>
      <c r="C218" s="22" t="s">
        <v>694</v>
      </c>
      <c r="D218" s="22" t="s">
        <v>9</v>
      </c>
      <c r="E218" s="22" t="s">
        <v>23</v>
      </c>
      <c r="F218" s="22">
        <v>8.289</v>
      </c>
    </row>
    <row r="219" spans="1:6">
      <c r="A219" s="22" t="s">
        <v>695</v>
      </c>
      <c r="B219" s="22" t="s">
        <v>696</v>
      </c>
      <c r="C219" s="22" t="s">
        <v>697</v>
      </c>
      <c r="D219" s="22" t="s">
        <v>9</v>
      </c>
      <c r="E219" s="22" t="s">
        <v>125</v>
      </c>
      <c r="F219" s="22">
        <v>43.947</v>
      </c>
    </row>
    <row r="220" spans="1:6">
      <c r="A220" s="22" t="s">
        <v>698</v>
      </c>
      <c r="B220" s="22" t="s">
        <v>699</v>
      </c>
      <c r="C220" s="22" t="s">
        <v>700</v>
      </c>
      <c r="D220" s="22" t="s">
        <v>9</v>
      </c>
      <c r="E220" s="22" t="s">
        <v>35</v>
      </c>
    </row>
    <row r="221" spans="1:6">
      <c r="A221" s="22" t="s">
        <v>701</v>
      </c>
      <c r="B221" s="22" t="s">
        <v>702</v>
      </c>
      <c r="C221" s="22" t="s">
        <v>703</v>
      </c>
      <c r="D221" s="22" t="s">
        <v>9</v>
      </c>
      <c r="E221" s="22" t="s">
        <v>57</v>
      </c>
      <c r="F221" s="22">
        <v>192.848</v>
      </c>
    </row>
    <row r="222" spans="1:6">
      <c r="A222" s="22" t="s">
        <v>704</v>
      </c>
      <c r="B222" s="22" t="s">
        <v>705</v>
      </c>
      <c r="C222" s="22" t="s">
        <v>706</v>
      </c>
      <c r="D222" s="22" t="s">
        <v>9</v>
      </c>
      <c r="E222" s="22" t="s">
        <v>70</v>
      </c>
      <c r="F222" s="22">
        <v>897.643</v>
      </c>
    </row>
    <row r="223" spans="1:6">
      <c r="A223" s="22" t="s">
        <v>707</v>
      </c>
      <c r="B223" s="22" t="s">
        <v>708</v>
      </c>
      <c r="C223" s="22" t="s">
        <v>709</v>
      </c>
      <c r="D223" s="22" t="s">
        <v>9</v>
      </c>
      <c r="E223" s="22" t="s">
        <v>23</v>
      </c>
      <c r="F223" s="22">
        <v>1586.251</v>
      </c>
    </row>
    <row r="224" spans="1:6">
      <c r="A224" s="22" t="s">
        <v>710</v>
      </c>
      <c r="B224" s="22" t="s">
        <v>711</v>
      </c>
      <c r="C224" s="22" t="s">
        <v>712</v>
      </c>
      <c r="D224" s="22" t="s">
        <v>9</v>
      </c>
      <c r="E224" s="22" t="s">
        <v>23</v>
      </c>
      <c r="F224" s="22">
        <v>210.625</v>
      </c>
    </row>
    <row r="225" spans="1:6">
      <c r="A225" s="22" t="s">
        <v>713</v>
      </c>
      <c r="B225" s="22" t="s">
        <v>714</v>
      </c>
      <c r="C225" s="22" t="s">
        <v>715</v>
      </c>
      <c r="D225" s="22" t="s">
        <v>9</v>
      </c>
      <c r="E225" s="22" t="s">
        <v>31</v>
      </c>
      <c r="F225" s="22">
        <v>323.916</v>
      </c>
    </row>
    <row r="226" spans="1:6">
      <c r="A226" s="22" t="s">
        <v>716</v>
      </c>
      <c r="B226" s="22" t="s">
        <v>717</v>
      </c>
      <c r="C226" s="22" t="s">
        <v>718</v>
      </c>
      <c r="D226" s="22" t="s">
        <v>9</v>
      </c>
      <c r="E226" s="22" t="s">
        <v>23</v>
      </c>
      <c r="F226" s="22">
        <v>156.408</v>
      </c>
    </row>
    <row r="227" spans="1:6">
      <c r="A227" s="22" t="s">
        <v>719</v>
      </c>
      <c r="B227" s="22" t="s">
        <v>720</v>
      </c>
      <c r="C227" s="22" t="s">
        <v>721</v>
      </c>
      <c r="D227" s="22" t="s">
        <v>9</v>
      </c>
      <c r="E227" s="22" t="s">
        <v>23</v>
      </c>
      <c r="F227" s="22">
        <v>462.75</v>
      </c>
    </row>
    <row r="228" spans="1:6">
      <c r="A228" s="22" t="s">
        <v>722</v>
      </c>
      <c r="B228" s="22" t="s">
        <v>723</v>
      </c>
      <c r="C228" s="22" t="s">
        <v>724</v>
      </c>
      <c r="D228" s="22" t="s">
        <v>9</v>
      </c>
      <c r="E228" s="22" t="s">
        <v>27</v>
      </c>
      <c r="F228" s="22">
        <v>450.755</v>
      </c>
    </row>
    <row r="229" spans="1:6">
      <c r="A229" s="22" t="s">
        <v>725</v>
      </c>
      <c r="B229" s="22" t="s">
        <v>726</v>
      </c>
      <c r="C229" s="22" t="s">
        <v>727</v>
      </c>
      <c r="D229" s="22" t="s">
        <v>9</v>
      </c>
      <c r="E229" s="22" t="s">
        <v>57</v>
      </c>
      <c r="F229" s="22">
        <v>53.087</v>
      </c>
    </row>
    <row r="230" spans="1:6">
      <c r="A230" s="22" t="s">
        <v>728</v>
      </c>
      <c r="B230" s="22" t="s">
        <v>729</v>
      </c>
      <c r="C230" s="22" t="s">
        <v>730</v>
      </c>
      <c r="D230" s="22" t="s">
        <v>9</v>
      </c>
      <c r="E230" s="22" t="s">
        <v>35</v>
      </c>
      <c r="F230" s="22">
        <v>1008.524</v>
      </c>
    </row>
    <row r="231" spans="1:6">
      <c r="A231" s="22" t="s">
        <v>731</v>
      </c>
      <c r="B231" s="22" t="s">
        <v>732</v>
      </c>
      <c r="C231" s="22" t="s">
        <v>733</v>
      </c>
      <c r="D231" s="22" t="s">
        <v>9</v>
      </c>
      <c r="E231" s="22" t="s">
        <v>31</v>
      </c>
      <c r="F231" s="22">
        <v>1773.95</v>
      </c>
    </row>
    <row r="232" spans="1:6">
      <c r="A232" s="22" t="s">
        <v>734</v>
      </c>
      <c r="B232" s="22" t="s">
        <v>735</v>
      </c>
      <c r="C232" s="22" t="s">
        <v>736</v>
      </c>
      <c r="D232" s="22" t="s">
        <v>9</v>
      </c>
      <c r="E232" s="22" t="s">
        <v>35</v>
      </c>
      <c r="F232" s="22">
        <v>103.85</v>
      </c>
    </row>
    <row r="233" spans="1:6">
      <c r="A233" s="22" t="s">
        <v>737</v>
      </c>
      <c r="B233" s="22" t="s">
        <v>738</v>
      </c>
      <c r="C233" s="22" t="s">
        <v>739</v>
      </c>
      <c r="D233" s="22" t="s">
        <v>9</v>
      </c>
      <c r="E233" s="22" t="s">
        <v>57</v>
      </c>
      <c r="F233" s="22">
        <v>62.091</v>
      </c>
    </row>
    <row r="234" spans="1:6">
      <c r="A234" s="22" t="s">
        <v>740</v>
      </c>
      <c r="B234" s="22" t="s">
        <v>741</v>
      </c>
      <c r="C234" s="22" t="s">
        <v>742</v>
      </c>
      <c r="D234" s="22" t="s">
        <v>9</v>
      </c>
      <c r="E234" s="22" t="s">
        <v>27</v>
      </c>
      <c r="F234" s="22">
        <v>53.207</v>
      </c>
    </row>
    <row r="235" spans="1:6">
      <c r="A235" s="22" t="s">
        <v>743</v>
      </c>
      <c r="B235" s="22" t="s">
        <v>744</v>
      </c>
      <c r="C235" s="22" t="s">
        <v>745</v>
      </c>
      <c r="D235" s="22" t="s">
        <v>9</v>
      </c>
      <c r="E235" s="22" t="s">
        <v>31</v>
      </c>
      <c r="F235" s="22">
        <v>1181.632</v>
      </c>
    </row>
    <row r="236" spans="1:6">
      <c r="A236" s="22" t="s">
        <v>746</v>
      </c>
      <c r="B236" s="22" t="s">
        <v>747</v>
      </c>
      <c r="C236" s="22" t="s">
        <v>748</v>
      </c>
      <c r="D236" s="22" t="s">
        <v>9</v>
      </c>
      <c r="E236" s="22" t="s">
        <v>57</v>
      </c>
      <c r="F236" s="22">
        <v>495.368</v>
      </c>
    </row>
    <row r="237" spans="1:6">
      <c r="A237" s="22" t="s">
        <v>749</v>
      </c>
      <c r="B237" s="22" t="s">
        <v>750</v>
      </c>
      <c r="C237" s="22" t="s">
        <v>751</v>
      </c>
      <c r="D237" s="22" t="s">
        <v>9</v>
      </c>
      <c r="E237" s="22" t="s">
        <v>35</v>
      </c>
      <c r="F237" s="22">
        <v>223.179</v>
      </c>
    </row>
    <row r="238" spans="1:6">
      <c r="A238" s="22" t="s">
        <v>752</v>
      </c>
      <c r="B238" s="22" t="s">
        <v>753</v>
      </c>
      <c r="C238" s="22" t="s">
        <v>754</v>
      </c>
      <c r="D238" s="22" t="s">
        <v>9</v>
      </c>
      <c r="E238" s="22" t="s">
        <v>50</v>
      </c>
      <c r="F238" s="22">
        <v>115.532</v>
      </c>
    </row>
    <row r="239" spans="1:6">
      <c r="A239" s="22" t="s">
        <v>755</v>
      </c>
      <c r="B239" s="22" t="s">
        <v>756</v>
      </c>
      <c r="C239" s="22" t="s">
        <v>757</v>
      </c>
      <c r="D239" s="22" t="s">
        <v>9</v>
      </c>
      <c r="E239" s="22" t="s">
        <v>23</v>
      </c>
      <c r="F239" s="22">
        <v>17.039</v>
      </c>
    </row>
    <row r="240" spans="1:6">
      <c r="A240" s="22" t="s">
        <v>758</v>
      </c>
      <c r="B240" s="22" t="s">
        <v>759</v>
      </c>
      <c r="C240" s="22" t="s">
        <v>760</v>
      </c>
      <c r="D240" s="22" t="s">
        <v>9</v>
      </c>
      <c r="E240" s="22" t="s">
        <v>31</v>
      </c>
      <c r="F240" s="22">
        <v>13.66</v>
      </c>
    </row>
    <row r="241" spans="1:6">
      <c r="A241" s="22" t="s">
        <v>761</v>
      </c>
      <c r="B241" s="22" t="s">
        <v>762</v>
      </c>
      <c r="C241" s="22" t="s">
        <v>763</v>
      </c>
      <c r="D241" s="22" t="s">
        <v>9</v>
      </c>
      <c r="E241" s="22" t="s">
        <v>31</v>
      </c>
      <c r="F241" s="22">
        <v>322.218</v>
      </c>
    </row>
    <row r="242" spans="1:6">
      <c r="A242" s="22" t="s">
        <v>764</v>
      </c>
      <c r="B242" s="22" t="s">
        <v>645</v>
      </c>
      <c r="C242" s="22" t="s">
        <v>765</v>
      </c>
      <c r="D242" s="22" t="s">
        <v>9</v>
      </c>
      <c r="E242" s="22" t="s">
        <v>57</v>
      </c>
      <c r="F242" s="22">
        <v>200.46</v>
      </c>
    </row>
    <row r="243" spans="1:6">
      <c r="A243" s="22" t="s">
        <v>766</v>
      </c>
      <c r="B243" s="22" t="s">
        <v>767</v>
      </c>
      <c r="C243" s="22" t="s">
        <v>768</v>
      </c>
      <c r="D243" s="22" t="s">
        <v>9</v>
      </c>
      <c r="E243" s="22" t="s">
        <v>57</v>
      </c>
      <c r="F243" s="22">
        <v>54.091</v>
      </c>
    </row>
    <row r="244" spans="1:6">
      <c r="A244" s="22" t="s">
        <v>769</v>
      </c>
      <c r="B244" s="22" t="s">
        <v>770</v>
      </c>
      <c r="C244" s="22" t="s">
        <v>771</v>
      </c>
      <c r="D244" s="22" t="s">
        <v>9</v>
      </c>
      <c r="E244" s="22" t="s">
        <v>31</v>
      </c>
      <c r="F244" s="22">
        <v>106.335</v>
      </c>
    </row>
    <row r="245" spans="1:6">
      <c r="A245" s="22" t="s">
        <v>772</v>
      </c>
      <c r="B245" s="22" t="s">
        <v>773</v>
      </c>
      <c r="C245" s="22" t="s">
        <v>774</v>
      </c>
      <c r="D245" s="22" t="s">
        <v>9</v>
      </c>
      <c r="E245" s="22" t="s">
        <v>14</v>
      </c>
      <c r="F245" s="22">
        <v>9.948</v>
      </c>
    </row>
    <row r="246" spans="1:6">
      <c r="A246" s="22" t="s">
        <v>775</v>
      </c>
      <c r="B246" s="22" t="s">
        <v>776</v>
      </c>
      <c r="C246" s="22" t="s">
        <v>777</v>
      </c>
      <c r="D246" s="22" t="s">
        <v>9</v>
      </c>
      <c r="E246" s="22" t="s">
        <v>31</v>
      </c>
      <c r="F246" s="22">
        <v>488.919</v>
      </c>
    </row>
    <row r="247" spans="1:6">
      <c r="A247" s="22" t="s">
        <v>778</v>
      </c>
      <c r="B247" s="22" t="s">
        <v>779</v>
      </c>
      <c r="C247" s="22" t="s">
        <v>780</v>
      </c>
      <c r="D247" s="22" t="s">
        <v>9</v>
      </c>
      <c r="E247" s="22" t="s">
        <v>57</v>
      </c>
      <c r="F247" s="22">
        <v>332.934</v>
      </c>
    </row>
    <row r="248" spans="1:6">
      <c r="A248" s="22" t="s">
        <v>781</v>
      </c>
      <c r="B248" s="22" t="s">
        <v>167</v>
      </c>
      <c r="C248" s="22" t="s">
        <v>782</v>
      </c>
      <c r="D248" s="22" t="s">
        <v>9</v>
      </c>
      <c r="E248" s="22" t="s">
        <v>23</v>
      </c>
      <c r="F248" s="22">
        <v>569.001</v>
      </c>
    </row>
    <row r="249" spans="1:6">
      <c r="A249" s="22" t="s">
        <v>783</v>
      </c>
      <c r="B249" s="22" t="s">
        <v>784</v>
      </c>
      <c r="C249" s="22" t="s">
        <v>785</v>
      </c>
      <c r="D249" s="22" t="s">
        <v>9</v>
      </c>
      <c r="E249" s="22" t="s">
        <v>23</v>
      </c>
      <c r="F249" s="22">
        <v>3313.632</v>
      </c>
    </row>
    <row r="250" spans="1:6">
      <c r="A250" s="22" t="s">
        <v>786</v>
      </c>
      <c r="B250" s="22" t="s">
        <v>787</v>
      </c>
      <c r="C250" s="22" t="s">
        <v>788</v>
      </c>
      <c r="D250" s="22" t="s">
        <v>9</v>
      </c>
      <c r="E250" s="22" t="s">
        <v>23</v>
      </c>
      <c r="F250" s="22">
        <v>10.863</v>
      </c>
    </row>
    <row r="251" spans="1:6">
      <c r="A251" s="22" t="s">
        <v>789</v>
      </c>
      <c r="B251" s="22" t="s">
        <v>790</v>
      </c>
      <c r="C251" s="22" t="s">
        <v>791</v>
      </c>
      <c r="D251" s="22" t="s">
        <v>9</v>
      </c>
      <c r="E251" s="22" t="s">
        <v>50</v>
      </c>
      <c r="F251" s="22">
        <v>250.663</v>
      </c>
    </row>
    <row r="252" spans="1:6">
      <c r="A252" s="22" t="s">
        <v>792</v>
      </c>
      <c r="B252" s="22" t="s">
        <v>793</v>
      </c>
      <c r="C252" s="22" t="s">
        <v>794</v>
      </c>
      <c r="D252" s="22" t="s">
        <v>9</v>
      </c>
      <c r="E252" s="22" t="s">
        <v>23</v>
      </c>
      <c r="F252" s="22">
        <v>21.147</v>
      </c>
    </row>
    <row r="253" spans="1:6">
      <c r="A253" s="22" t="s">
        <v>795</v>
      </c>
      <c r="B253" s="22" t="s">
        <v>796</v>
      </c>
      <c r="C253" s="22" t="s">
        <v>797</v>
      </c>
      <c r="D253" s="22" t="s">
        <v>9</v>
      </c>
      <c r="E253" s="22" t="s">
        <v>31</v>
      </c>
      <c r="F253" s="22">
        <v>662.261</v>
      </c>
    </row>
    <row r="254" spans="1:6">
      <c r="A254" s="22" t="s">
        <v>798</v>
      </c>
      <c r="B254" s="22" t="s">
        <v>799</v>
      </c>
      <c r="C254" s="22" t="s">
        <v>800</v>
      </c>
      <c r="D254" s="22" t="s">
        <v>9</v>
      </c>
      <c r="E254" s="22" t="s">
        <v>23</v>
      </c>
      <c r="F254" s="22">
        <v>119.239</v>
      </c>
    </row>
    <row r="255" spans="1:6">
      <c r="A255" s="22" t="s">
        <v>801</v>
      </c>
      <c r="B255" s="22" t="s">
        <v>802</v>
      </c>
      <c r="C255" s="22" t="s">
        <v>803</v>
      </c>
      <c r="D255" s="22" t="s">
        <v>9</v>
      </c>
      <c r="E255" s="22" t="s">
        <v>35</v>
      </c>
      <c r="F255" s="22">
        <v>595.467</v>
      </c>
    </row>
    <row r="256" spans="1:6">
      <c r="A256" s="22" t="s">
        <v>804</v>
      </c>
      <c r="B256" s="22" t="s">
        <v>805</v>
      </c>
      <c r="C256" s="22" t="s">
        <v>806</v>
      </c>
      <c r="D256" s="22" t="s">
        <v>9</v>
      </c>
      <c r="E256" s="22" t="s">
        <v>57</v>
      </c>
      <c r="F256" s="22">
        <v>66.399</v>
      </c>
    </row>
    <row r="257" spans="1:6">
      <c r="A257" s="22" t="s">
        <v>807</v>
      </c>
      <c r="B257" s="22" t="s">
        <v>808</v>
      </c>
      <c r="C257" s="22" t="s">
        <v>809</v>
      </c>
      <c r="D257" s="22" t="s">
        <v>9</v>
      </c>
      <c r="E257" s="22" t="s">
        <v>61</v>
      </c>
      <c r="F257" s="22">
        <v>14.984</v>
      </c>
    </row>
    <row r="258" spans="1:6">
      <c r="A258" s="22" t="s">
        <v>810</v>
      </c>
      <c r="B258" s="22" t="s">
        <v>811</v>
      </c>
      <c r="C258" s="22" t="s">
        <v>812</v>
      </c>
      <c r="D258" s="22" t="s">
        <v>9</v>
      </c>
      <c r="E258" s="22" t="s">
        <v>23</v>
      </c>
      <c r="F258" s="22">
        <v>18.758</v>
      </c>
    </row>
    <row r="259" spans="1:6">
      <c r="A259" s="22" t="s">
        <v>813</v>
      </c>
      <c r="B259" s="22" t="s">
        <v>814</v>
      </c>
      <c r="C259" s="22" t="s">
        <v>815</v>
      </c>
      <c r="D259" s="22" t="s">
        <v>9</v>
      </c>
      <c r="E259" s="22" t="s">
        <v>35</v>
      </c>
      <c r="F259" s="22">
        <v>58.883</v>
      </c>
    </row>
    <row r="260" spans="1:6">
      <c r="A260" s="22" t="s">
        <v>816</v>
      </c>
      <c r="B260" s="22" t="s">
        <v>817</v>
      </c>
      <c r="C260" s="22" t="s">
        <v>818</v>
      </c>
      <c r="D260" s="22" t="s">
        <v>9</v>
      </c>
      <c r="E260" s="22" t="s">
        <v>23</v>
      </c>
      <c r="F260" s="22">
        <v>39.93</v>
      </c>
    </row>
    <row r="261" spans="1:6">
      <c r="A261" s="22" t="s">
        <v>819</v>
      </c>
      <c r="B261" s="22" t="s">
        <v>820</v>
      </c>
      <c r="C261" s="22" t="s">
        <v>821</v>
      </c>
      <c r="D261" s="22" t="s">
        <v>9</v>
      </c>
      <c r="E261" s="22" t="s">
        <v>35</v>
      </c>
      <c r="F261" s="22">
        <v>12.569</v>
      </c>
    </row>
    <row r="262" spans="1:6">
      <c r="A262" s="22" t="s">
        <v>822</v>
      </c>
      <c r="B262" s="22" t="s">
        <v>823</v>
      </c>
      <c r="C262" s="22" t="s">
        <v>824</v>
      </c>
      <c r="D262" s="22" t="s">
        <v>9</v>
      </c>
      <c r="E262" s="22" t="s">
        <v>57</v>
      </c>
      <c r="F262" s="22">
        <v>50.301</v>
      </c>
    </row>
    <row r="263" spans="1:6">
      <c r="A263" s="22" t="s">
        <v>825</v>
      </c>
      <c r="B263" s="22" t="s">
        <v>826</v>
      </c>
      <c r="C263" s="22" t="s">
        <v>827</v>
      </c>
      <c r="D263" s="22" t="s">
        <v>9</v>
      </c>
      <c r="E263" s="22" t="s">
        <v>39</v>
      </c>
      <c r="F263" s="22">
        <v>4384.882</v>
      </c>
    </row>
    <row r="264" spans="1:6">
      <c r="A264" s="22" t="s">
        <v>828</v>
      </c>
      <c r="B264" s="22" t="s">
        <v>829</v>
      </c>
      <c r="C264" s="22" t="s">
        <v>830</v>
      </c>
      <c r="D264" s="22" t="s">
        <v>9</v>
      </c>
      <c r="E264" s="22" t="s">
        <v>35</v>
      </c>
      <c r="F264" s="22">
        <v>54.223</v>
      </c>
    </row>
    <row r="265" spans="1:6">
      <c r="A265" s="22" t="s">
        <v>831</v>
      </c>
      <c r="B265" s="22" t="s">
        <v>832</v>
      </c>
      <c r="C265" s="22" t="s">
        <v>833</v>
      </c>
      <c r="D265" s="22" t="s">
        <v>9</v>
      </c>
      <c r="E265" s="22" t="s">
        <v>23</v>
      </c>
      <c r="F265" s="22">
        <v>56.813</v>
      </c>
    </row>
    <row r="266" spans="1:6">
      <c r="A266" s="22" t="s">
        <v>834</v>
      </c>
      <c r="B266" s="22" t="s">
        <v>835</v>
      </c>
      <c r="C266" s="22" t="s">
        <v>836</v>
      </c>
      <c r="D266" s="22" t="s">
        <v>9</v>
      </c>
      <c r="E266" s="22" t="s">
        <v>27</v>
      </c>
      <c r="F266" s="22">
        <v>96.67</v>
      </c>
    </row>
    <row r="267" spans="1:6">
      <c r="A267" s="22" t="s">
        <v>837</v>
      </c>
      <c r="B267" s="22" t="s">
        <v>838</v>
      </c>
      <c r="C267" s="22" t="s">
        <v>839</v>
      </c>
      <c r="D267" s="22" t="s">
        <v>9</v>
      </c>
      <c r="E267" s="22" t="s">
        <v>57</v>
      </c>
      <c r="F267" s="22">
        <v>321.209</v>
      </c>
    </row>
    <row r="268" spans="1:6">
      <c r="A268" s="22" t="s">
        <v>840</v>
      </c>
      <c r="B268" s="22" t="s">
        <v>841</v>
      </c>
      <c r="C268" s="22" t="s">
        <v>842</v>
      </c>
      <c r="D268" s="22" t="s">
        <v>9</v>
      </c>
      <c r="E268" s="22" t="s">
        <v>23</v>
      </c>
      <c r="F268" s="22">
        <v>41.487</v>
      </c>
    </row>
    <row r="269" spans="1:6">
      <c r="A269" s="22" t="s">
        <v>843</v>
      </c>
      <c r="B269" s="22" t="s">
        <v>844</v>
      </c>
      <c r="C269" s="22" t="s">
        <v>845</v>
      </c>
      <c r="D269" s="22" t="s">
        <v>9</v>
      </c>
      <c r="E269" s="22" t="s">
        <v>23</v>
      </c>
      <c r="F269" s="22">
        <v>27.776</v>
      </c>
    </row>
    <row r="270" spans="1:6">
      <c r="A270" s="22" t="s">
        <v>846</v>
      </c>
      <c r="B270" s="22" t="s">
        <v>847</v>
      </c>
      <c r="C270" s="22" t="s">
        <v>848</v>
      </c>
      <c r="D270" s="22" t="s">
        <v>9</v>
      </c>
      <c r="E270" s="22" t="s">
        <v>27</v>
      </c>
      <c r="F270" s="22">
        <v>4350.232</v>
      </c>
    </row>
    <row r="271" spans="1:6">
      <c r="A271" s="22" t="s">
        <v>849</v>
      </c>
      <c r="B271" s="22" t="s">
        <v>850</v>
      </c>
      <c r="C271" s="22" t="s">
        <v>851</v>
      </c>
      <c r="D271" s="22" t="s">
        <v>9</v>
      </c>
      <c r="E271" s="22" t="s">
        <v>35</v>
      </c>
      <c r="F271" s="22">
        <v>168.303</v>
      </c>
    </row>
    <row r="272" spans="1:6">
      <c r="A272" s="22" t="s">
        <v>852</v>
      </c>
      <c r="B272" s="22" t="s">
        <v>503</v>
      </c>
      <c r="C272" s="22" t="s">
        <v>853</v>
      </c>
      <c r="D272" s="22" t="s">
        <v>9</v>
      </c>
      <c r="E272" s="22" t="s">
        <v>57</v>
      </c>
      <c r="F272" s="22">
        <v>14.219</v>
      </c>
    </row>
    <row r="273" spans="1:6">
      <c r="A273" s="22" t="s">
        <v>854</v>
      </c>
      <c r="B273" s="22" t="s">
        <v>855</v>
      </c>
      <c r="C273" s="22" t="s">
        <v>856</v>
      </c>
      <c r="D273" s="22" t="s">
        <v>9</v>
      </c>
      <c r="E273" s="22" t="s">
        <v>50</v>
      </c>
      <c r="F273" s="22">
        <v>18.236</v>
      </c>
    </row>
    <row r="274" spans="1:6">
      <c r="A274" s="22" t="s">
        <v>857</v>
      </c>
      <c r="B274" s="22" t="s">
        <v>858</v>
      </c>
      <c r="C274" s="22" t="s">
        <v>859</v>
      </c>
      <c r="D274" s="22" t="s">
        <v>9</v>
      </c>
      <c r="E274" s="22" t="s">
        <v>23</v>
      </c>
      <c r="F274" s="22">
        <v>204.3</v>
      </c>
    </row>
    <row r="275" spans="1:6">
      <c r="A275" s="22" t="s">
        <v>860</v>
      </c>
      <c r="B275" s="22" t="s">
        <v>861</v>
      </c>
      <c r="C275" s="22" t="s">
        <v>862</v>
      </c>
      <c r="D275" s="22" t="s">
        <v>9</v>
      </c>
      <c r="E275" s="22" t="s">
        <v>35</v>
      </c>
      <c r="F275" s="22">
        <v>616.202</v>
      </c>
    </row>
    <row r="276" spans="1:6">
      <c r="A276" s="22" t="s">
        <v>863</v>
      </c>
      <c r="B276" s="22" t="s">
        <v>864</v>
      </c>
      <c r="C276" s="22" t="s">
        <v>865</v>
      </c>
      <c r="D276" s="22" t="s">
        <v>9</v>
      </c>
      <c r="E276" s="22" t="s">
        <v>23</v>
      </c>
      <c r="F276" s="22">
        <v>6458.732</v>
      </c>
    </row>
    <row r="277" spans="1:6">
      <c r="A277" s="22" t="s">
        <v>866</v>
      </c>
      <c r="B277" s="22" t="s">
        <v>867</v>
      </c>
      <c r="C277" s="22" t="s">
        <v>868</v>
      </c>
      <c r="D277" s="22" t="s">
        <v>9</v>
      </c>
      <c r="E277" s="22" t="s">
        <v>62</v>
      </c>
      <c r="F277" s="22">
        <v>2.256</v>
      </c>
    </row>
    <row r="278" spans="1:6">
      <c r="A278" s="22" t="s">
        <v>869</v>
      </c>
      <c r="B278" s="22" t="s">
        <v>870</v>
      </c>
      <c r="C278" s="22" t="s">
        <v>871</v>
      </c>
      <c r="D278" s="22" t="s">
        <v>9</v>
      </c>
      <c r="E278" s="22" t="s">
        <v>82</v>
      </c>
      <c r="F278" s="22">
        <v>151.078</v>
      </c>
    </row>
    <row r="279" spans="1:6">
      <c r="A279" s="22" t="s">
        <v>872</v>
      </c>
      <c r="B279" s="22" t="s">
        <v>873</v>
      </c>
      <c r="C279" s="22" t="s">
        <v>874</v>
      </c>
      <c r="D279" s="22" t="s">
        <v>9</v>
      </c>
      <c r="E279" s="22" t="s">
        <v>27</v>
      </c>
      <c r="F279" s="22">
        <v>13425.337</v>
      </c>
    </row>
    <row r="280" spans="1:6">
      <c r="A280" s="22" t="s">
        <v>875</v>
      </c>
      <c r="B280" s="22" t="s">
        <v>876</v>
      </c>
      <c r="C280" s="22" t="s">
        <v>877</v>
      </c>
      <c r="D280" s="22" t="s">
        <v>9</v>
      </c>
      <c r="E280" s="22" t="s">
        <v>23</v>
      </c>
      <c r="F280" s="22">
        <v>26.855</v>
      </c>
    </row>
    <row r="281" spans="1:6">
      <c r="A281" s="22" t="s">
        <v>878</v>
      </c>
      <c r="B281" s="22" t="s">
        <v>879</v>
      </c>
      <c r="C281" s="22" t="s">
        <v>880</v>
      </c>
      <c r="D281" s="22" t="s">
        <v>9</v>
      </c>
      <c r="E281" s="22" t="s">
        <v>57</v>
      </c>
      <c r="F281" s="22">
        <v>23.191</v>
      </c>
    </row>
    <row r="282" spans="1:6">
      <c r="A282" s="22" t="s">
        <v>881</v>
      </c>
      <c r="B282" s="22" t="s">
        <v>882</v>
      </c>
      <c r="C282" s="22" t="s">
        <v>883</v>
      </c>
      <c r="D282" s="22" t="s">
        <v>9</v>
      </c>
      <c r="E282" s="22" t="s">
        <v>35</v>
      </c>
      <c r="F282" s="22">
        <v>8.189</v>
      </c>
    </row>
    <row r="283" spans="1:6">
      <c r="A283" s="22" t="s">
        <v>884</v>
      </c>
      <c r="B283" s="22" t="s">
        <v>885</v>
      </c>
      <c r="C283" s="22" t="s">
        <v>886</v>
      </c>
      <c r="D283" s="22" t="s">
        <v>9</v>
      </c>
      <c r="E283" s="22" t="s">
        <v>23</v>
      </c>
      <c r="F283" s="22">
        <v>1247.308</v>
      </c>
    </row>
    <row r="284" spans="1:6">
      <c r="A284" s="22" t="s">
        <v>887</v>
      </c>
      <c r="B284" s="22" t="s">
        <v>888</v>
      </c>
      <c r="C284" s="22" t="s">
        <v>889</v>
      </c>
      <c r="D284" s="22" t="s">
        <v>9</v>
      </c>
      <c r="E284" s="22" t="s">
        <v>31</v>
      </c>
      <c r="F284" s="22">
        <v>28.97</v>
      </c>
    </row>
    <row r="285" spans="1:6">
      <c r="A285" s="22" t="s">
        <v>890</v>
      </c>
      <c r="B285" s="22" t="s">
        <v>891</v>
      </c>
      <c r="C285" s="22" t="s">
        <v>892</v>
      </c>
      <c r="D285" s="22" t="s">
        <v>9</v>
      </c>
      <c r="E285" s="22" t="s">
        <v>27</v>
      </c>
      <c r="F285" s="22">
        <v>204.174</v>
      </c>
    </row>
    <row r="286" spans="1:6">
      <c r="A286" s="22" t="s">
        <v>893</v>
      </c>
      <c r="B286" s="22" t="s">
        <v>894</v>
      </c>
      <c r="C286" s="22" t="s">
        <v>895</v>
      </c>
      <c r="D286" s="22" t="s">
        <v>9</v>
      </c>
      <c r="E286" s="22" t="s">
        <v>23</v>
      </c>
      <c r="F286" s="22">
        <v>62.888</v>
      </c>
    </row>
    <row r="287" spans="1:6">
      <c r="A287" s="22" t="s">
        <v>896</v>
      </c>
      <c r="B287" s="22" t="s">
        <v>897</v>
      </c>
      <c r="C287" s="22" t="s">
        <v>898</v>
      </c>
      <c r="D287" s="22" t="s">
        <v>9</v>
      </c>
      <c r="E287" s="22" t="s">
        <v>27</v>
      </c>
      <c r="F287" s="22">
        <v>12.677</v>
      </c>
    </row>
    <row r="288" spans="1:6">
      <c r="A288" s="22" t="s">
        <v>899</v>
      </c>
      <c r="B288" s="22" t="s">
        <v>900</v>
      </c>
      <c r="C288" s="22" t="s">
        <v>901</v>
      </c>
      <c r="D288" s="22" t="s">
        <v>9</v>
      </c>
      <c r="E288" s="22" t="s">
        <v>23</v>
      </c>
      <c r="F288" s="22">
        <v>5.88</v>
      </c>
    </row>
    <row r="289" spans="1:6">
      <c r="A289" s="22" t="s">
        <v>902</v>
      </c>
      <c r="B289" s="22" t="s">
        <v>903</v>
      </c>
      <c r="C289" s="22" t="s">
        <v>904</v>
      </c>
      <c r="D289" s="22" t="s">
        <v>9</v>
      </c>
      <c r="E289" s="22" t="s">
        <v>35</v>
      </c>
      <c r="F289" s="22">
        <v>177.894</v>
      </c>
    </row>
    <row r="290" spans="1:6">
      <c r="A290" s="22" t="s">
        <v>905</v>
      </c>
      <c r="B290" s="22" t="s">
        <v>906</v>
      </c>
      <c r="C290" s="22" t="s">
        <v>907</v>
      </c>
      <c r="D290" s="22" t="s">
        <v>9</v>
      </c>
      <c r="E290" s="22" t="s">
        <v>62</v>
      </c>
      <c r="F290" s="22">
        <v>65.69</v>
      </c>
    </row>
    <row r="291" spans="1:6">
      <c r="A291" s="22" t="s">
        <v>908</v>
      </c>
      <c r="B291" s="22" t="s">
        <v>909</v>
      </c>
      <c r="C291" s="22" t="s">
        <v>910</v>
      </c>
      <c r="D291" s="22" t="s">
        <v>9</v>
      </c>
      <c r="E291" s="22" t="s">
        <v>61</v>
      </c>
      <c r="F291" s="22">
        <v>6.02</v>
      </c>
    </row>
    <row r="292" spans="1:6">
      <c r="A292" s="22" t="s">
        <v>911</v>
      </c>
      <c r="B292" s="22" t="s">
        <v>912</v>
      </c>
      <c r="C292" s="22" t="s">
        <v>913</v>
      </c>
      <c r="D292" s="22" t="s">
        <v>9</v>
      </c>
      <c r="E292" s="22" t="s">
        <v>23</v>
      </c>
      <c r="F292" s="22">
        <v>477.876</v>
      </c>
    </row>
    <row r="293" spans="1:6">
      <c r="A293" s="22" t="s">
        <v>914</v>
      </c>
      <c r="B293" s="22" t="s">
        <v>915</v>
      </c>
      <c r="C293" s="22" t="s">
        <v>916</v>
      </c>
      <c r="D293" s="22" t="s">
        <v>9</v>
      </c>
      <c r="E293" s="22" t="s">
        <v>23</v>
      </c>
      <c r="F293" s="22">
        <v>1021.434</v>
      </c>
    </row>
    <row r="294" spans="1:6">
      <c r="A294" s="22" t="s">
        <v>917</v>
      </c>
      <c r="B294" s="22" t="s">
        <v>918</v>
      </c>
      <c r="C294" s="22" t="s">
        <v>919</v>
      </c>
      <c r="D294" s="22" t="s">
        <v>9</v>
      </c>
      <c r="E294" s="22" t="s">
        <v>35</v>
      </c>
      <c r="F294" s="22">
        <v>61.285</v>
      </c>
    </row>
    <row r="295" spans="1:6">
      <c r="A295" s="22" t="s">
        <v>920</v>
      </c>
      <c r="B295" s="22" t="s">
        <v>921</v>
      </c>
      <c r="C295" s="22" t="s">
        <v>922</v>
      </c>
      <c r="D295" s="22" t="s">
        <v>9</v>
      </c>
      <c r="E295" s="22" t="s">
        <v>23</v>
      </c>
      <c r="F295" s="22">
        <v>688.969</v>
      </c>
    </row>
    <row r="296" spans="1:6">
      <c r="A296" s="22" t="s">
        <v>923</v>
      </c>
      <c r="B296" s="22" t="s">
        <v>666</v>
      </c>
      <c r="C296" s="22" t="s">
        <v>924</v>
      </c>
      <c r="D296" s="22" t="s">
        <v>9</v>
      </c>
      <c r="E296" s="22" t="s">
        <v>62</v>
      </c>
      <c r="F296" s="22">
        <v>40.87</v>
      </c>
    </row>
    <row r="297" spans="1:6">
      <c r="A297" s="22" t="s">
        <v>925</v>
      </c>
      <c r="B297" s="22" t="s">
        <v>759</v>
      </c>
      <c r="C297" s="22" t="s">
        <v>926</v>
      </c>
      <c r="D297" s="22" t="s">
        <v>9</v>
      </c>
      <c r="E297" s="22" t="s">
        <v>31</v>
      </c>
      <c r="F297" s="22">
        <v>185.666</v>
      </c>
    </row>
    <row r="298" spans="1:6">
      <c r="A298" s="22" t="s">
        <v>927</v>
      </c>
      <c r="B298" s="22" t="s">
        <v>928</v>
      </c>
      <c r="C298" s="22" t="s">
        <v>929</v>
      </c>
      <c r="D298" s="22" t="s">
        <v>9</v>
      </c>
      <c r="E298" s="22" t="s">
        <v>27</v>
      </c>
      <c r="F298" s="22">
        <v>34.202</v>
      </c>
    </row>
    <row r="299" spans="1:6">
      <c r="A299" s="22" t="s">
        <v>930</v>
      </c>
      <c r="B299" s="22" t="s">
        <v>931</v>
      </c>
      <c r="C299" s="22" t="s">
        <v>932</v>
      </c>
      <c r="D299" s="22" t="s">
        <v>9</v>
      </c>
      <c r="E299" s="22" t="s">
        <v>23</v>
      </c>
      <c r="F299" s="22">
        <v>74.158</v>
      </c>
    </row>
    <row r="300" spans="1:6">
      <c r="A300" s="22" t="s">
        <v>933</v>
      </c>
      <c r="B300" s="22" t="s">
        <v>934</v>
      </c>
      <c r="C300" s="22" t="s">
        <v>935</v>
      </c>
      <c r="D300" s="22" t="s">
        <v>9</v>
      </c>
      <c r="E300" s="22" t="s">
        <v>31</v>
      </c>
      <c r="F300" s="22">
        <v>50.28</v>
      </c>
    </row>
    <row r="301" spans="1:6">
      <c r="A301" s="22" t="s">
        <v>936</v>
      </c>
      <c r="B301" s="22" t="s">
        <v>937</v>
      </c>
      <c r="C301" s="22" t="s">
        <v>938</v>
      </c>
      <c r="D301" s="22" t="s">
        <v>9</v>
      </c>
      <c r="E301" s="22" t="s">
        <v>39</v>
      </c>
      <c r="F301" s="22">
        <v>2690.166</v>
      </c>
    </row>
    <row r="302" spans="1:6">
      <c r="A302" s="22" t="s">
        <v>939</v>
      </c>
      <c r="B302" s="22" t="s">
        <v>940</v>
      </c>
      <c r="C302" s="22" t="s">
        <v>941</v>
      </c>
      <c r="D302" s="22" t="s">
        <v>9</v>
      </c>
      <c r="E302" s="22" t="s">
        <v>31</v>
      </c>
      <c r="F302" s="22">
        <v>269.798</v>
      </c>
    </row>
    <row r="303" spans="1:6">
      <c r="A303" s="22" t="s">
        <v>942</v>
      </c>
      <c r="B303" s="22" t="s">
        <v>943</v>
      </c>
      <c r="C303" s="22" t="s">
        <v>944</v>
      </c>
      <c r="D303" s="22" t="s">
        <v>9</v>
      </c>
      <c r="E303" s="22" t="s">
        <v>23</v>
      </c>
      <c r="F303" s="22">
        <v>167.582</v>
      </c>
    </row>
    <row r="304" spans="1:6">
      <c r="A304" s="22" t="s">
        <v>945</v>
      </c>
      <c r="B304" s="22" t="s">
        <v>946</v>
      </c>
      <c r="C304" s="22" t="s">
        <v>947</v>
      </c>
      <c r="D304" s="22" t="s">
        <v>9</v>
      </c>
      <c r="E304" s="22" t="s">
        <v>23</v>
      </c>
      <c r="F304" s="22">
        <v>74.814</v>
      </c>
    </row>
    <row r="305" spans="1:6">
      <c r="A305" s="22" t="s">
        <v>948</v>
      </c>
      <c r="B305" s="22" t="s">
        <v>949</v>
      </c>
      <c r="C305" s="22" t="s">
        <v>950</v>
      </c>
      <c r="D305" s="22" t="s">
        <v>9</v>
      </c>
      <c r="E305" s="22" t="s">
        <v>23</v>
      </c>
      <c r="F305" s="22">
        <v>37.65</v>
      </c>
    </row>
    <row r="306" spans="1:6">
      <c r="A306" s="22" t="s">
        <v>951</v>
      </c>
      <c r="B306" s="22" t="s">
        <v>952</v>
      </c>
      <c r="C306" s="22" t="s">
        <v>953</v>
      </c>
      <c r="D306" s="22" t="s">
        <v>9</v>
      </c>
      <c r="E306" s="22" t="s">
        <v>27</v>
      </c>
      <c r="F306" s="22">
        <v>779.261</v>
      </c>
    </row>
    <row r="307" spans="1:6">
      <c r="A307" s="22" t="s">
        <v>954</v>
      </c>
      <c r="B307" s="22" t="s">
        <v>838</v>
      </c>
      <c r="C307" s="22" t="s">
        <v>955</v>
      </c>
      <c r="D307" s="22" t="s">
        <v>9</v>
      </c>
      <c r="E307" s="22" t="s">
        <v>57</v>
      </c>
      <c r="F307" s="22">
        <v>46.738</v>
      </c>
    </row>
    <row r="308" spans="1:6">
      <c r="A308" s="22" t="s">
        <v>956</v>
      </c>
      <c r="B308" s="22" t="s">
        <v>957</v>
      </c>
      <c r="C308" s="22" t="s">
        <v>958</v>
      </c>
      <c r="D308" s="22" t="s">
        <v>9</v>
      </c>
      <c r="E308" s="22" t="s">
        <v>57</v>
      </c>
      <c r="F308" s="22">
        <v>258.567</v>
      </c>
    </row>
    <row r="309" spans="1:6">
      <c r="A309" s="22" t="s">
        <v>959</v>
      </c>
      <c r="B309" s="22" t="s">
        <v>960</v>
      </c>
      <c r="C309" s="22" t="s">
        <v>961</v>
      </c>
      <c r="D309" s="22" t="s">
        <v>9</v>
      </c>
      <c r="E309" s="22" t="s">
        <v>23</v>
      </c>
      <c r="F309" s="22">
        <v>13.057</v>
      </c>
    </row>
    <row r="310" spans="1:6">
      <c r="A310" s="22" t="s">
        <v>962</v>
      </c>
      <c r="B310" s="22" t="s">
        <v>963</v>
      </c>
      <c r="C310" s="22" t="s">
        <v>964</v>
      </c>
      <c r="D310" s="22" t="s">
        <v>9</v>
      </c>
      <c r="E310" s="22" t="s">
        <v>23</v>
      </c>
      <c r="F310" s="22">
        <v>1186.826</v>
      </c>
    </row>
    <row r="311" spans="1:6">
      <c r="A311" s="22" t="s">
        <v>965</v>
      </c>
      <c r="B311" s="22" t="s">
        <v>966</v>
      </c>
      <c r="C311" s="22" t="s">
        <v>967</v>
      </c>
      <c r="D311" s="22" t="s">
        <v>9</v>
      </c>
      <c r="E311" s="22" t="s">
        <v>50</v>
      </c>
    </row>
    <row r="312" spans="1:6">
      <c r="A312" s="22" t="s">
        <v>968</v>
      </c>
      <c r="B312" s="22" t="s">
        <v>969</v>
      </c>
      <c r="C312" s="22" t="s">
        <v>970</v>
      </c>
      <c r="D312" s="22" t="s">
        <v>9</v>
      </c>
      <c r="E312" s="22" t="s">
        <v>57</v>
      </c>
      <c r="F312" s="22">
        <v>70.48</v>
      </c>
    </row>
    <row r="313" spans="1:6">
      <c r="A313" s="22" t="s">
        <v>971</v>
      </c>
      <c r="B313" s="22" t="s">
        <v>972</v>
      </c>
      <c r="C313" s="22" t="s">
        <v>973</v>
      </c>
      <c r="D313" s="22" t="s">
        <v>9</v>
      </c>
      <c r="E313" s="22" t="s">
        <v>23</v>
      </c>
      <c r="F313" s="22">
        <v>5046.858</v>
      </c>
    </row>
    <row r="314" spans="1:6">
      <c r="A314" s="22" t="s">
        <v>974</v>
      </c>
      <c r="B314" s="22" t="s">
        <v>975</v>
      </c>
      <c r="C314" s="22" t="s">
        <v>976</v>
      </c>
      <c r="D314" s="22" t="s">
        <v>9</v>
      </c>
      <c r="E314" s="22" t="s">
        <v>23</v>
      </c>
      <c r="F314" s="22">
        <v>38.036</v>
      </c>
    </row>
    <row r="315" spans="1:6">
      <c r="A315" s="22" t="s">
        <v>977</v>
      </c>
      <c r="B315" s="22" t="s">
        <v>978</v>
      </c>
      <c r="C315" s="22" t="s">
        <v>979</v>
      </c>
      <c r="D315" s="22" t="s">
        <v>9</v>
      </c>
      <c r="E315" s="22" t="s">
        <v>57</v>
      </c>
      <c r="F315" s="22">
        <v>31.45</v>
      </c>
    </row>
    <row r="316" spans="1:6">
      <c r="A316" s="22" t="s">
        <v>980</v>
      </c>
      <c r="B316" s="22" t="s">
        <v>981</v>
      </c>
      <c r="C316" s="22" t="s">
        <v>982</v>
      </c>
      <c r="D316" s="22" t="s">
        <v>9</v>
      </c>
      <c r="E316" s="22" t="s">
        <v>40</v>
      </c>
      <c r="F316" s="22">
        <v>7.989</v>
      </c>
    </row>
    <row r="317" spans="1:6">
      <c r="A317" s="22" t="s">
        <v>983</v>
      </c>
      <c r="B317" s="22" t="s">
        <v>984</v>
      </c>
      <c r="C317" s="22" t="s">
        <v>985</v>
      </c>
      <c r="D317" s="22" t="s">
        <v>9</v>
      </c>
      <c r="E317" s="22" t="s">
        <v>23</v>
      </c>
      <c r="F317" s="22">
        <v>151.134</v>
      </c>
    </row>
    <row r="318" spans="1:6">
      <c r="A318" s="22" t="s">
        <v>986</v>
      </c>
      <c r="B318" s="22" t="s">
        <v>987</v>
      </c>
      <c r="C318" s="22" t="s">
        <v>988</v>
      </c>
      <c r="D318" s="22" t="s">
        <v>9</v>
      </c>
      <c r="E318" s="22" t="s">
        <v>23</v>
      </c>
      <c r="F318" s="22">
        <v>13.642</v>
      </c>
    </row>
    <row r="319" spans="1:6">
      <c r="A319" s="22" t="s">
        <v>989</v>
      </c>
      <c r="B319" s="22" t="s">
        <v>990</v>
      </c>
      <c r="C319" s="22" t="s">
        <v>991</v>
      </c>
      <c r="D319" s="22" t="s">
        <v>9</v>
      </c>
      <c r="E319" s="22" t="s">
        <v>57</v>
      </c>
      <c r="F319" s="22">
        <v>32.973</v>
      </c>
    </row>
    <row r="320" spans="1:6">
      <c r="A320" s="22" t="s">
        <v>992</v>
      </c>
      <c r="B320" s="22" t="s">
        <v>993</v>
      </c>
      <c r="C320" s="22" t="s">
        <v>994</v>
      </c>
      <c r="D320" s="22" t="s">
        <v>9</v>
      </c>
      <c r="E320" s="22" t="s">
        <v>27</v>
      </c>
      <c r="F320" s="22">
        <v>2151.108</v>
      </c>
    </row>
    <row r="321" spans="1:6">
      <c r="A321" s="22" t="s">
        <v>995</v>
      </c>
      <c r="B321" s="22" t="s">
        <v>996</v>
      </c>
      <c r="C321" s="22" t="s">
        <v>997</v>
      </c>
      <c r="D321" s="22" t="s">
        <v>9</v>
      </c>
      <c r="E321" s="22" t="s">
        <v>27</v>
      </c>
      <c r="F321" s="22">
        <v>236.984</v>
      </c>
    </row>
    <row r="322" spans="1:6">
      <c r="A322" s="22" t="s">
        <v>998</v>
      </c>
      <c r="B322" s="22" t="s">
        <v>999</v>
      </c>
      <c r="C322" s="22" t="s">
        <v>1000</v>
      </c>
      <c r="D322" s="22" t="s">
        <v>9</v>
      </c>
      <c r="E322" s="22" t="s">
        <v>23</v>
      </c>
      <c r="F322" s="22">
        <v>10.194</v>
      </c>
    </row>
    <row r="323" spans="1:6">
      <c r="A323" s="22" t="s">
        <v>1001</v>
      </c>
      <c r="B323" s="22" t="s">
        <v>1002</v>
      </c>
      <c r="C323" s="22" t="s">
        <v>1003</v>
      </c>
      <c r="D323" s="22" t="s">
        <v>9</v>
      </c>
      <c r="E323" s="22" t="s">
        <v>31</v>
      </c>
      <c r="F323" s="22">
        <v>8024.106</v>
      </c>
    </row>
    <row r="324" spans="1:6">
      <c r="A324" s="22" t="s">
        <v>1004</v>
      </c>
      <c r="B324" s="22" t="s">
        <v>1005</v>
      </c>
      <c r="C324" s="22" t="s">
        <v>1006</v>
      </c>
      <c r="D324" s="22" t="s">
        <v>9</v>
      </c>
      <c r="E324" s="22" t="s">
        <v>23</v>
      </c>
      <c r="F324" s="22">
        <v>157.681</v>
      </c>
    </row>
    <row r="325" spans="1:6">
      <c r="A325" s="22" t="s">
        <v>1007</v>
      </c>
      <c r="B325" s="22" t="s">
        <v>1008</v>
      </c>
      <c r="C325" s="22" t="s">
        <v>1009</v>
      </c>
      <c r="D325" s="22" t="s">
        <v>9</v>
      </c>
      <c r="E325" s="22" t="s">
        <v>27</v>
      </c>
      <c r="F325" s="22">
        <v>288.535</v>
      </c>
    </row>
    <row r="326" spans="1:6">
      <c r="A326" s="22" t="s">
        <v>1010</v>
      </c>
      <c r="B326" s="22" t="s">
        <v>1011</v>
      </c>
      <c r="C326" s="22" t="s">
        <v>1012</v>
      </c>
      <c r="D326" s="22" t="s">
        <v>9</v>
      </c>
      <c r="E326" s="22" t="s">
        <v>23</v>
      </c>
      <c r="F326" s="22">
        <v>5.1</v>
      </c>
    </row>
    <row r="327" spans="1:6">
      <c r="A327" s="22" t="s">
        <v>1013</v>
      </c>
      <c r="B327" s="22" t="s">
        <v>1014</v>
      </c>
      <c r="C327" s="22" t="s">
        <v>1015</v>
      </c>
      <c r="D327" s="22" t="s">
        <v>9</v>
      </c>
      <c r="E327" s="22" t="s">
        <v>35</v>
      </c>
      <c r="F327" s="22">
        <v>1130.495</v>
      </c>
    </row>
    <row r="328" spans="1:6">
      <c r="A328" s="22" t="s">
        <v>1016</v>
      </c>
      <c r="B328" s="22" t="s">
        <v>1017</v>
      </c>
      <c r="C328" s="22" t="s">
        <v>1018</v>
      </c>
      <c r="D328" s="22" t="s">
        <v>9</v>
      </c>
      <c r="E328" s="22" t="s">
        <v>35</v>
      </c>
      <c r="F328" s="22">
        <v>166.879</v>
      </c>
    </row>
    <row r="329" spans="1:6">
      <c r="A329" s="22" t="s">
        <v>1019</v>
      </c>
      <c r="B329" s="22" t="s">
        <v>1020</v>
      </c>
      <c r="C329" s="22" t="s">
        <v>1021</v>
      </c>
      <c r="D329" s="22" t="s">
        <v>9</v>
      </c>
      <c r="E329" s="22" t="s">
        <v>27</v>
      </c>
      <c r="F329" s="22">
        <v>46.292</v>
      </c>
    </row>
    <row r="330" spans="1:6">
      <c r="A330" s="22" t="s">
        <v>1022</v>
      </c>
      <c r="B330" s="22" t="s">
        <v>1023</v>
      </c>
      <c r="C330" s="22" t="s">
        <v>1024</v>
      </c>
      <c r="D330" s="22" t="s">
        <v>9</v>
      </c>
      <c r="E330" s="22" t="s">
        <v>27</v>
      </c>
      <c r="F330" s="22">
        <v>4300.672</v>
      </c>
    </row>
    <row r="331" spans="1:6">
      <c r="A331" s="22" t="s">
        <v>1025</v>
      </c>
      <c r="B331" s="22" t="s">
        <v>1026</v>
      </c>
      <c r="C331" s="22" t="s">
        <v>1027</v>
      </c>
      <c r="D331" s="22" t="s">
        <v>9</v>
      </c>
      <c r="E331" s="22" t="s">
        <v>23</v>
      </c>
      <c r="F331" s="22">
        <v>5.093</v>
      </c>
    </row>
    <row r="332" spans="1:6">
      <c r="A332" s="22" t="s">
        <v>1028</v>
      </c>
      <c r="B332" s="22" t="s">
        <v>1029</v>
      </c>
      <c r="C332" s="22" t="s">
        <v>1030</v>
      </c>
      <c r="D332" s="22" t="s">
        <v>9</v>
      </c>
      <c r="E332" s="22" t="s">
        <v>57</v>
      </c>
      <c r="F332" s="22">
        <v>223.716</v>
      </c>
    </row>
    <row r="333" spans="1:6">
      <c r="A333" s="22" t="s">
        <v>1031</v>
      </c>
      <c r="B333" s="22" t="s">
        <v>759</v>
      </c>
      <c r="C333" s="22" t="s">
        <v>1032</v>
      </c>
      <c r="D333" s="22" t="s">
        <v>9</v>
      </c>
      <c r="E333" s="22" t="s">
        <v>31</v>
      </c>
      <c r="F333" s="22">
        <v>12.382</v>
      </c>
    </row>
    <row r="334" spans="1:6">
      <c r="A334" s="22" t="s">
        <v>1033</v>
      </c>
      <c r="B334" s="22" t="s">
        <v>1034</v>
      </c>
      <c r="C334" s="22" t="s">
        <v>1035</v>
      </c>
      <c r="D334" s="22" t="s">
        <v>9</v>
      </c>
      <c r="E334" s="22" t="s">
        <v>35</v>
      </c>
      <c r="F334" s="22">
        <v>557.2</v>
      </c>
    </row>
    <row r="335" spans="1:6">
      <c r="A335" s="22" t="s">
        <v>1036</v>
      </c>
      <c r="B335" s="22" t="s">
        <v>1037</v>
      </c>
      <c r="C335" s="22" t="s">
        <v>1038</v>
      </c>
      <c r="D335" s="22" t="s">
        <v>9</v>
      </c>
      <c r="E335" s="22" t="s">
        <v>23</v>
      </c>
      <c r="F335" s="22">
        <v>19.624</v>
      </c>
    </row>
    <row r="336" spans="1:6">
      <c r="A336" s="22" t="s">
        <v>1039</v>
      </c>
      <c r="B336" s="22" t="s">
        <v>1040</v>
      </c>
      <c r="C336" s="22" t="s">
        <v>1041</v>
      </c>
      <c r="D336" s="22" t="s">
        <v>9</v>
      </c>
      <c r="E336" s="22" t="s">
        <v>23</v>
      </c>
      <c r="F336" s="22">
        <v>123.493</v>
      </c>
    </row>
    <row r="337" spans="1:6">
      <c r="A337" s="22" t="s">
        <v>1042</v>
      </c>
      <c r="B337" s="22" t="s">
        <v>1043</v>
      </c>
      <c r="C337" s="22" t="s">
        <v>1044</v>
      </c>
      <c r="D337" s="22" t="s">
        <v>9</v>
      </c>
      <c r="E337" s="22" t="s">
        <v>27</v>
      </c>
      <c r="F337" s="22">
        <v>102.242</v>
      </c>
    </row>
    <row r="338" spans="1:6">
      <c r="A338" s="22" t="s">
        <v>1045</v>
      </c>
      <c r="B338" s="22" t="s">
        <v>1046</v>
      </c>
      <c r="C338" s="22" t="s">
        <v>1047</v>
      </c>
      <c r="D338" s="22" t="s">
        <v>9</v>
      </c>
      <c r="E338" s="22" t="s">
        <v>57</v>
      </c>
      <c r="F338" s="22">
        <v>30.705</v>
      </c>
    </row>
    <row r="339" spans="1:6">
      <c r="A339" s="22" t="s">
        <v>1048</v>
      </c>
      <c r="B339" s="22" t="s">
        <v>590</v>
      </c>
      <c r="C339" s="22" t="s">
        <v>1049</v>
      </c>
      <c r="D339" s="22" t="s">
        <v>9</v>
      </c>
      <c r="E339" s="22" t="s">
        <v>57</v>
      </c>
      <c r="F339" s="22">
        <v>36.471</v>
      </c>
    </row>
    <row r="340" spans="1:6">
      <c r="A340" s="22" t="s">
        <v>1050</v>
      </c>
      <c r="B340" s="22" t="s">
        <v>1051</v>
      </c>
      <c r="C340" s="22" t="s">
        <v>1052</v>
      </c>
      <c r="D340" s="22" t="s">
        <v>9</v>
      </c>
      <c r="E340" s="22" t="s">
        <v>31</v>
      </c>
      <c r="F340" s="22">
        <v>3580.201</v>
      </c>
    </row>
    <row r="341" spans="1:6">
      <c r="A341" s="22" t="s">
        <v>1053</v>
      </c>
      <c r="B341" s="22" t="s">
        <v>1054</v>
      </c>
      <c r="C341" s="22" t="s">
        <v>1055</v>
      </c>
      <c r="D341" s="22" t="s">
        <v>9</v>
      </c>
      <c r="E341" s="22" t="s">
        <v>62</v>
      </c>
      <c r="F341" s="22">
        <v>12.126</v>
      </c>
    </row>
    <row r="342" spans="1:6">
      <c r="A342" s="22" t="s">
        <v>1056</v>
      </c>
      <c r="B342" s="22" t="s">
        <v>1057</v>
      </c>
      <c r="C342" s="22" t="s">
        <v>1058</v>
      </c>
      <c r="D342" s="22" t="s">
        <v>9</v>
      </c>
      <c r="E342" s="22" t="s">
        <v>27</v>
      </c>
      <c r="F342" s="22">
        <v>299.944</v>
      </c>
    </row>
    <row r="343" spans="1:6">
      <c r="A343" s="22" t="s">
        <v>1059</v>
      </c>
      <c r="B343" s="22" t="s">
        <v>1060</v>
      </c>
      <c r="C343" s="22" t="s">
        <v>1061</v>
      </c>
      <c r="D343" s="22" t="s">
        <v>9</v>
      </c>
      <c r="E343" s="22" t="s">
        <v>132</v>
      </c>
      <c r="F343" s="22">
        <v>19.588</v>
      </c>
    </row>
    <row r="344" spans="1:6">
      <c r="A344" s="22" t="s">
        <v>1062</v>
      </c>
      <c r="B344" s="22" t="s">
        <v>1063</v>
      </c>
      <c r="C344" s="22" t="s">
        <v>1064</v>
      </c>
      <c r="D344" s="22" t="s">
        <v>9</v>
      </c>
      <c r="E344" s="22" t="s">
        <v>23</v>
      </c>
      <c r="F344" s="22">
        <v>1.976</v>
      </c>
    </row>
    <row r="345" spans="1:6">
      <c r="A345" s="22" t="s">
        <v>1065</v>
      </c>
      <c r="B345" s="22" t="s">
        <v>1066</v>
      </c>
      <c r="C345" s="22" t="s">
        <v>1067</v>
      </c>
      <c r="D345" s="22" t="s">
        <v>9</v>
      </c>
      <c r="E345" s="22" t="s">
        <v>23</v>
      </c>
      <c r="F345" s="22">
        <v>1639.642</v>
      </c>
    </row>
    <row r="346" spans="1:6">
      <c r="A346" s="22" t="s">
        <v>1068</v>
      </c>
      <c r="B346" s="22" t="s">
        <v>1069</v>
      </c>
      <c r="C346" s="22" t="s">
        <v>1070</v>
      </c>
      <c r="D346" s="22" t="s">
        <v>9</v>
      </c>
      <c r="E346" s="22" t="s">
        <v>23</v>
      </c>
      <c r="F346" s="22">
        <v>1231.779</v>
      </c>
    </row>
    <row r="347" spans="1:6">
      <c r="A347" s="22" t="s">
        <v>1071</v>
      </c>
      <c r="B347" s="22" t="s">
        <v>1072</v>
      </c>
      <c r="C347" s="22" t="s">
        <v>1073</v>
      </c>
      <c r="D347" s="22" t="s">
        <v>9</v>
      </c>
      <c r="E347" s="22" t="s">
        <v>35</v>
      </c>
      <c r="F347" s="22">
        <v>2131.035</v>
      </c>
    </row>
    <row r="348" spans="1:6">
      <c r="A348" s="22" t="s">
        <v>1074</v>
      </c>
      <c r="B348" s="22" t="s">
        <v>1075</v>
      </c>
      <c r="C348" s="22" t="s">
        <v>1076</v>
      </c>
      <c r="D348" s="22" t="s">
        <v>9</v>
      </c>
      <c r="E348" s="22" t="s">
        <v>35</v>
      </c>
      <c r="F348" s="22">
        <v>545.894</v>
      </c>
    </row>
    <row r="349" spans="1:6">
      <c r="A349" s="22" t="s">
        <v>1077</v>
      </c>
      <c r="B349" s="22" t="s">
        <v>1078</v>
      </c>
      <c r="C349" s="22" t="s">
        <v>1079</v>
      </c>
      <c r="D349" s="22" t="s">
        <v>9</v>
      </c>
      <c r="E349" s="22" t="s">
        <v>35</v>
      </c>
      <c r="F349" s="22">
        <v>669.955</v>
      </c>
    </row>
    <row r="350" spans="1:6">
      <c r="A350" s="22" t="s">
        <v>1080</v>
      </c>
      <c r="B350" s="22" t="s">
        <v>1081</v>
      </c>
      <c r="C350" s="22" t="s">
        <v>1082</v>
      </c>
      <c r="D350" s="22" t="s">
        <v>9</v>
      </c>
      <c r="E350" s="22" t="s">
        <v>23</v>
      </c>
      <c r="F350" s="22">
        <v>215.791</v>
      </c>
    </row>
    <row r="351" spans="1:6">
      <c r="A351" s="22" t="s">
        <v>1083</v>
      </c>
      <c r="B351" s="22" t="s">
        <v>1084</v>
      </c>
      <c r="C351" s="22" t="s">
        <v>1085</v>
      </c>
      <c r="D351" s="22" t="s">
        <v>9</v>
      </c>
      <c r="E351" s="22" t="s">
        <v>50</v>
      </c>
      <c r="F351" s="22">
        <v>4.262</v>
      </c>
    </row>
    <row r="352" spans="1:6">
      <c r="A352" s="22" t="s">
        <v>1086</v>
      </c>
      <c r="B352" s="22" t="s">
        <v>1087</v>
      </c>
      <c r="C352" s="22" t="s">
        <v>1088</v>
      </c>
      <c r="D352" s="22" t="s">
        <v>9</v>
      </c>
      <c r="E352" s="22" t="s">
        <v>23</v>
      </c>
      <c r="F352" s="22">
        <v>1870.848</v>
      </c>
    </row>
    <row r="353" spans="1:6">
      <c r="A353" s="22" t="s">
        <v>1089</v>
      </c>
      <c r="B353" s="22" t="s">
        <v>1090</v>
      </c>
      <c r="C353" s="22" t="s">
        <v>1091</v>
      </c>
      <c r="D353" s="22" t="s">
        <v>9</v>
      </c>
      <c r="E353" s="22" t="s">
        <v>23</v>
      </c>
      <c r="F353" s="22">
        <v>2400.035</v>
      </c>
    </row>
    <row r="354" spans="1:6">
      <c r="A354" s="22" t="s">
        <v>1092</v>
      </c>
      <c r="B354" s="22" t="s">
        <v>1093</v>
      </c>
      <c r="C354" s="22" t="s">
        <v>1094</v>
      </c>
      <c r="D354" s="22" t="s">
        <v>9</v>
      </c>
      <c r="E354" s="22" t="s">
        <v>23</v>
      </c>
      <c r="F354" s="22">
        <v>10.385</v>
      </c>
    </row>
    <row r="355" spans="1:6">
      <c r="A355" s="22" t="s">
        <v>1095</v>
      </c>
      <c r="B355" s="22" t="s">
        <v>1096</v>
      </c>
      <c r="C355" s="22" t="s">
        <v>1097</v>
      </c>
      <c r="D355" s="22" t="s">
        <v>9</v>
      </c>
      <c r="E355" s="22" t="s">
        <v>35</v>
      </c>
      <c r="F355" s="22">
        <v>88.424</v>
      </c>
    </row>
    <row r="356" spans="1:6">
      <c r="A356" s="22" t="s">
        <v>1098</v>
      </c>
      <c r="B356" s="22" t="s">
        <v>1099</v>
      </c>
      <c r="C356" s="22" t="s">
        <v>1100</v>
      </c>
      <c r="D356" s="22" t="s">
        <v>9</v>
      </c>
      <c r="E356" s="22" t="s">
        <v>23</v>
      </c>
      <c r="F356" s="22">
        <v>103.487</v>
      </c>
    </row>
    <row r="357" spans="1:6">
      <c r="A357" s="22" t="s">
        <v>1101</v>
      </c>
      <c r="B357" s="22" t="s">
        <v>1102</v>
      </c>
      <c r="C357" s="22" t="s">
        <v>1103</v>
      </c>
      <c r="D357" s="22" t="s">
        <v>9</v>
      </c>
      <c r="E357" s="22" t="s">
        <v>35</v>
      </c>
      <c r="F357" s="22">
        <v>7.451</v>
      </c>
    </row>
    <row r="358" spans="1:6">
      <c r="A358" s="22" t="s">
        <v>1104</v>
      </c>
      <c r="B358" s="22" t="s">
        <v>1105</v>
      </c>
      <c r="C358" s="22" t="s">
        <v>1106</v>
      </c>
      <c r="D358" s="22" t="s">
        <v>9</v>
      </c>
      <c r="E358" s="22" t="s">
        <v>23</v>
      </c>
      <c r="F358" s="22">
        <v>4.878</v>
      </c>
    </row>
    <row r="359" spans="1:6">
      <c r="A359" s="22" t="s">
        <v>1107</v>
      </c>
      <c r="B359" s="22" t="s">
        <v>1108</v>
      </c>
      <c r="C359" s="22" t="s">
        <v>1109</v>
      </c>
      <c r="D359" s="22" t="s">
        <v>9</v>
      </c>
      <c r="E359" s="22" t="s">
        <v>31</v>
      </c>
      <c r="F359" s="22">
        <v>304.641</v>
      </c>
    </row>
    <row r="360" spans="1:6">
      <c r="A360" s="22" t="s">
        <v>1110</v>
      </c>
      <c r="B360" s="22" t="s">
        <v>1111</v>
      </c>
      <c r="C360" s="22" t="s">
        <v>1112</v>
      </c>
      <c r="D360" s="22" t="s">
        <v>9</v>
      </c>
      <c r="E360" s="22" t="s">
        <v>23</v>
      </c>
      <c r="F360" s="22">
        <v>306.555</v>
      </c>
    </row>
    <row r="361" spans="1:6">
      <c r="A361" s="22" t="s">
        <v>1113</v>
      </c>
      <c r="B361" s="22" t="s">
        <v>1114</v>
      </c>
      <c r="C361" s="22" t="s">
        <v>1115</v>
      </c>
      <c r="D361" s="22" t="s">
        <v>9</v>
      </c>
      <c r="E361" s="22" t="s">
        <v>31</v>
      </c>
      <c r="F361" s="22">
        <v>1471.33</v>
      </c>
    </row>
    <row r="362" spans="1:6">
      <c r="A362" s="22" t="s">
        <v>1116</v>
      </c>
      <c r="B362" s="22" t="s">
        <v>1117</v>
      </c>
      <c r="C362" s="22" t="s">
        <v>1118</v>
      </c>
      <c r="D362" s="22" t="s">
        <v>9</v>
      </c>
      <c r="E362" s="22" t="s">
        <v>23</v>
      </c>
      <c r="F362" s="22">
        <v>67.867</v>
      </c>
    </row>
    <row r="363" spans="1:6">
      <c r="A363" s="22" t="s">
        <v>1119</v>
      </c>
      <c r="B363" s="22" t="s">
        <v>1120</v>
      </c>
      <c r="C363" s="22" t="s">
        <v>1121</v>
      </c>
      <c r="D363" s="22" t="s">
        <v>9</v>
      </c>
      <c r="E363" s="22" t="s">
        <v>23</v>
      </c>
      <c r="F363" s="22">
        <v>2215.235</v>
      </c>
    </row>
    <row r="364" spans="1:6">
      <c r="A364" s="22" t="s">
        <v>1122</v>
      </c>
      <c r="B364" s="22" t="s">
        <v>1123</v>
      </c>
      <c r="C364" s="22" t="s">
        <v>1124</v>
      </c>
      <c r="D364" s="22" t="s">
        <v>9</v>
      </c>
      <c r="E364" s="22" t="s">
        <v>23</v>
      </c>
      <c r="F364" s="22">
        <v>159.103</v>
      </c>
    </row>
    <row r="365" spans="1:6">
      <c r="A365" s="22" t="s">
        <v>1125</v>
      </c>
      <c r="B365" s="22" t="s">
        <v>1126</v>
      </c>
      <c r="C365" s="22" t="s">
        <v>1127</v>
      </c>
      <c r="D365" s="22" t="s">
        <v>9</v>
      </c>
      <c r="E365" s="22" t="s">
        <v>35</v>
      </c>
      <c r="F365" s="22">
        <v>1701.435</v>
      </c>
    </row>
    <row r="366" spans="1:6">
      <c r="A366" s="22" t="s">
        <v>1128</v>
      </c>
      <c r="B366" s="22" t="s">
        <v>1129</v>
      </c>
      <c r="C366" s="22" t="s">
        <v>1130</v>
      </c>
      <c r="D366" s="22" t="s">
        <v>9</v>
      </c>
      <c r="E366" s="22" t="s">
        <v>35</v>
      </c>
      <c r="F366" s="22">
        <v>401.72</v>
      </c>
    </row>
    <row r="367" spans="1:6">
      <c r="A367" s="22" t="s">
        <v>1131</v>
      </c>
      <c r="B367" s="22" t="s">
        <v>1132</v>
      </c>
      <c r="C367" s="22" t="s">
        <v>1133</v>
      </c>
      <c r="D367" s="22" t="s">
        <v>9</v>
      </c>
      <c r="E367" s="22" t="s">
        <v>14</v>
      </c>
      <c r="F367" s="22">
        <v>15.118</v>
      </c>
    </row>
    <row r="368" spans="1:6">
      <c r="A368" s="22" t="s">
        <v>1134</v>
      </c>
      <c r="B368" s="22" t="s">
        <v>1135</v>
      </c>
      <c r="C368" s="22" t="s">
        <v>1136</v>
      </c>
      <c r="D368" s="22" t="s">
        <v>9</v>
      </c>
      <c r="E368" s="22" t="s">
        <v>44</v>
      </c>
      <c r="F368" s="22">
        <v>369.381</v>
      </c>
    </row>
    <row r="369" spans="1:6">
      <c r="A369" s="22" t="s">
        <v>1137</v>
      </c>
      <c r="B369" s="22" t="s">
        <v>1138</v>
      </c>
      <c r="C369" s="22" t="s">
        <v>1139</v>
      </c>
      <c r="D369" s="22" t="s">
        <v>9</v>
      </c>
      <c r="E369" s="22" t="s">
        <v>23</v>
      </c>
      <c r="F369" s="22">
        <v>6.075</v>
      </c>
    </row>
    <row r="370" spans="1:6">
      <c r="A370" s="22" t="s">
        <v>1140</v>
      </c>
      <c r="B370" s="22" t="s">
        <v>1141</v>
      </c>
      <c r="C370" s="22" t="s">
        <v>1142</v>
      </c>
      <c r="D370" s="22" t="s">
        <v>9</v>
      </c>
      <c r="E370" s="22" t="s">
        <v>23</v>
      </c>
      <c r="F370" s="22">
        <v>845.11</v>
      </c>
    </row>
    <row r="371" spans="1:6">
      <c r="A371" s="22" t="s">
        <v>1143</v>
      </c>
      <c r="B371" s="22" t="s">
        <v>509</v>
      </c>
      <c r="C371" s="22" t="s">
        <v>1144</v>
      </c>
      <c r="D371" s="22" t="s">
        <v>9</v>
      </c>
      <c r="E371" s="22" t="s">
        <v>31</v>
      </c>
      <c r="F371" s="22">
        <v>62.918</v>
      </c>
    </row>
    <row r="372" spans="1:6">
      <c r="A372" s="22" t="s">
        <v>1145</v>
      </c>
      <c r="B372" s="22" t="s">
        <v>1146</v>
      </c>
      <c r="C372" s="22" t="s">
        <v>1147</v>
      </c>
      <c r="D372" s="22" t="s">
        <v>9</v>
      </c>
      <c r="E372" s="22" t="s">
        <v>23</v>
      </c>
      <c r="F372" s="22">
        <v>801.199</v>
      </c>
    </row>
    <row r="373" spans="1:6">
      <c r="A373" s="22" t="s">
        <v>1148</v>
      </c>
      <c r="B373" s="22" t="s">
        <v>1149</v>
      </c>
      <c r="C373" s="22" t="s">
        <v>1150</v>
      </c>
      <c r="D373" s="22" t="s">
        <v>9</v>
      </c>
      <c r="E373" s="22" t="s">
        <v>31</v>
      </c>
      <c r="F373" s="22">
        <v>1757.65</v>
      </c>
    </row>
    <row r="374" spans="1:6">
      <c r="A374" s="22" t="s">
        <v>1151</v>
      </c>
      <c r="B374" s="22" t="s">
        <v>509</v>
      </c>
      <c r="C374" s="22" t="s">
        <v>1152</v>
      </c>
      <c r="D374" s="22" t="s">
        <v>9</v>
      </c>
      <c r="E374" s="22" t="s">
        <v>31</v>
      </c>
      <c r="F374" s="22">
        <v>3680.665</v>
      </c>
    </row>
    <row r="375" spans="1:6">
      <c r="A375" s="22" t="s">
        <v>1153</v>
      </c>
      <c r="B375" s="22" t="s">
        <v>1154</v>
      </c>
      <c r="C375" s="22" t="s">
        <v>1155</v>
      </c>
      <c r="D375" s="22" t="s">
        <v>9</v>
      </c>
      <c r="E375" s="22" t="s">
        <v>27</v>
      </c>
      <c r="F375" s="22">
        <v>320.217</v>
      </c>
    </row>
    <row r="376" spans="1:6">
      <c r="A376" s="22" t="s">
        <v>1156</v>
      </c>
      <c r="B376" s="22" t="s">
        <v>1157</v>
      </c>
      <c r="C376" s="22" t="s">
        <v>1158</v>
      </c>
      <c r="D376" s="22" t="s">
        <v>9</v>
      </c>
      <c r="E376" s="22" t="s">
        <v>27</v>
      </c>
      <c r="F376" s="22">
        <v>16.315</v>
      </c>
    </row>
    <row r="377" spans="1:6">
      <c r="A377" s="22" t="s">
        <v>1159</v>
      </c>
      <c r="B377" s="22" t="s">
        <v>1160</v>
      </c>
      <c r="C377" s="22" t="s">
        <v>1161</v>
      </c>
      <c r="D377" s="22" t="s">
        <v>9</v>
      </c>
      <c r="E377" s="22" t="s">
        <v>23</v>
      </c>
      <c r="F377" s="22">
        <v>569.146</v>
      </c>
    </row>
    <row r="378" spans="1:6">
      <c r="A378" s="22" t="s">
        <v>1162</v>
      </c>
      <c r="B378" s="22" t="s">
        <v>1163</v>
      </c>
      <c r="C378" s="22" t="s">
        <v>1164</v>
      </c>
      <c r="D378" s="22" t="s">
        <v>9</v>
      </c>
      <c r="E378" s="22" t="s">
        <v>23</v>
      </c>
      <c r="F378" s="22">
        <v>1367.192</v>
      </c>
    </row>
    <row r="379" spans="1:6">
      <c r="A379" s="22" t="s">
        <v>1165</v>
      </c>
      <c r="B379" s="22" t="s">
        <v>1166</v>
      </c>
      <c r="C379" s="22" t="s">
        <v>1167</v>
      </c>
      <c r="D379" s="22" t="s">
        <v>9</v>
      </c>
      <c r="E379" s="22" t="s">
        <v>23</v>
      </c>
      <c r="F379" s="22">
        <v>2639.597</v>
      </c>
    </row>
    <row r="380" spans="1:6">
      <c r="A380" s="22" t="s">
        <v>1168</v>
      </c>
      <c r="B380" s="22" t="s">
        <v>1169</v>
      </c>
      <c r="C380" s="22" t="s">
        <v>1170</v>
      </c>
      <c r="D380" s="22" t="s">
        <v>9</v>
      </c>
      <c r="E380" s="22" t="s">
        <v>23</v>
      </c>
      <c r="F380" s="22">
        <v>748.577</v>
      </c>
    </row>
    <row r="381" spans="1:6">
      <c r="A381" s="22" t="s">
        <v>1171</v>
      </c>
      <c r="B381" s="22" t="s">
        <v>1172</v>
      </c>
      <c r="C381" s="22" t="s">
        <v>1173</v>
      </c>
      <c r="D381" s="22" t="s">
        <v>9</v>
      </c>
      <c r="E381" s="22" t="s">
        <v>23</v>
      </c>
      <c r="F381" s="22">
        <v>212.896</v>
      </c>
    </row>
    <row r="382" spans="1:6">
      <c r="A382" s="22" t="s">
        <v>1174</v>
      </c>
      <c r="B382" s="22" t="s">
        <v>1175</v>
      </c>
      <c r="C382" s="22" t="s">
        <v>1176</v>
      </c>
      <c r="D382" s="22" t="s">
        <v>9</v>
      </c>
      <c r="E382" s="22" t="s">
        <v>62</v>
      </c>
      <c r="F382" s="22">
        <v>53.551</v>
      </c>
    </row>
    <row r="383" spans="1:6">
      <c r="A383" s="22" t="s">
        <v>1177</v>
      </c>
      <c r="B383" s="22" t="s">
        <v>1178</v>
      </c>
      <c r="C383" s="22" t="s">
        <v>1179</v>
      </c>
      <c r="D383" s="22" t="s">
        <v>9</v>
      </c>
      <c r="E383" s="22" t="s">
        <v>35</v>
      </c>
      <c r="F383" s="22">
        <v>24.053</v>
      </c>
    </row>
    <row r="384" spans="1:6">
      <c r="A384" s="22" t="s">
        <v>1180</v>
      </c>
      <c r="B384" s="22" t="s">
        <v>1181</v>
      </c>
      <c r="C384" s="22" t="s">
        <v>1182</v>
      </c>
      <c r="D384" s="22" t="s">
        <v>9</v>
      </c>
      <c r="E384" s="22" t="s">
        <v>23</v>
      </c>
      <c r="F384" s="22">
        <v>10.423</v>
      </c>
    </row>
    <row r="385" spans="1:6">
      <c r="A385" s="22" t="s">
        <v>1183</v>
      </c>
      <c r="B385" s="22" t="s">
        <v>1184</v>
      </c>
      <c r="C385" s="22" t="s">
        <v>1185</v>
      </c>
      <c r="D385" s="22" t="s">
        <v>9</v>
      </c>
      <c r="E385" s="22" t="s">
        <v>23</v>
      </c>
      <c r="F385" s="22">
        <v>676.531</v>
      </c>
    </row>
    <row r="386" spans="1:6">
      <c r="A386" s="22" t="s">
        <v>1186</v>
      </c>
      <c r="B386" s="22" t="s">
        <v>1187</v>
      </c>
      <c r="C386" s="22" t="s">
        <v>1188</v>
      </c>
      <c r="D386" s="22" t="s">
        <v>9</v>
      </c>
      <c r="E386" s="22" t="s">
        <v>27</v>
      </c>
      <c r="F386" s="22">
        <v>117.411</v>
      </c>
    </row>
    <row r="387" spans="1:6">
      <c r="A387" s="22" t="s">
        <v>1189</v>
      </c>
      <c r="B387" s="22" t="s">
        <v>1190</v>
      </c>
      <c r="C387" s="22" t="s">
        <v>1191</v>
      </c>
      <c r="D387" s="22" t="s">
        <v>9</v>
      </c>
      <c r="E387" s="22" t="s">
        <v>23</v>
      </c>
      <c r="F387" s="22">
        <v>37.199</v>
      </c>
    </row>
    <row r="388" spans="1:6">
      <c r="A388" s="22" t="s">
        <v>1192</v>
      </c>
      <c r="B388" s="22" t="s">
        <v>1193</v>
      </c>
      <c r="C388" s="22" t="s">
        <v>1194</v>
      </c>
      <c r="D388" s="22" t="s">
        <v>9</v>
      </c>
      <c r="E388" s="22" t="s">
        <v>35</v>
      </c>
      <c r="F388" s="22">
        <v>1.414</v>
      </c>
    </row>
    <row r="389" spans="1:6">
      <c r="A389" s="22" t="s">
        <v>1195</v>
      </c>
      <c r="B389" s="22" t="s">
        <v>1196</v>
      </c>
      <c r="C389" s="22" t="s">
        <v>1197</v>
      </c>
      <c r="D389" s="22" t="s">
        <v>9</v>
      </c>
      <c r="E389" s="22" t="s">
        <v>35</v>
      </c>
      <c r="F389" s="22">
        <v>1808.62</v>
      </c>
    </row>
    <row r="390" spans="1:6">
      <c r="A390" s="22" t="s">
        <v>1198</v>
      </c>
      <c r="B390" s="22" t="s">
        <v>1199</v>
      </c>
      <c r="C390" s="22" t="s">
        <v>1200</v>
      </c>
      <c r="D390" s="22" t="s">
        <v>9</v>
      </c>
      <c r="E390" s="22" t="s">
        <v>31</v>
      </c>
      <c r="F390" s="22">
        <v>2110.202</v>
      </c>
    </row>
    <row r="391" spans="1:6">
      <c r="A391" s="22" t="s">
        <v>1201</v>
      </c>
      <c r="B391" s="22" t="s">
        <v>1202</v>
      </c>
      <c r="C391" s="22" t="s">
        <v>1203</v>
      </c>
      <c r="D391" s="22" t="s">
        <v>9</v>
      </c>
      <c r="E391" s="22" t="s">
        <v>35</v>
      </c>
      <c r="F391" s="22">
        <v>137.766</v>
      </c>
    </row>
    <row r="392" spans="1:6">
      <c r="A392" s="22" t="s">
        <v>1204</v>
      </c>
      <c r="B392" s="22" t="s">
        <v>1205</v>
      </c>
      <c r="C392" s="22" t="s">
        <v>1206</v>
      </c>
      <c r="D392" s="22" t="s">
        <v>9</v>
      </c>
      <c r="E392" s="22" t="s">
        <v>35</v>
      </c>
      <c r="F392" s="22">
        <v>149.955</v>
      </c>
    </row>
    <row r="393" spans="1:6">
      <c r="A393" s="22" t="s">
        <v>1207</v>
      </c>
      <c r="B393" s="22" t="s">
        <v>1208</v>
      </c>
      <c r="C393" s="22" t="s">
        <v>1209</v>
      </c>
      <c r="D393" s="22" t="s">
        <v>9</v>
      </c>
      <c r="E393" s="22" t="s">
        <v>35</v>
      </c>
      <c r="F393" s="22">
        <v>214.52</v>
      </c>
    </row>
    <row r="394" spans="1:6">
      <c r="A394" s="22" t="s">
        <v>1210</v>
      </c>
      <c r="B394" s="22" t="s">
        <v>1211</v>
      </c>
      <c r="C394" s="22" t="s">
        <v>1212</v>
      </c>
      <c r="D394" s="22" t="s">
        <v>9</v>
      </c>
      <c r="E394" s="22" t="s">
        <v>31</v>
      </c>
      <c r="F394" s="22">
        <v>1573.231</v>
      </c>
    </row>
    <row r="395" spans="1:6">
      <c r="A395" s="22" t="s">
        <v>1213</v>
      </c>
      <c r="B395" s="22" t="s">
        <v>1214</v>
      </c>
      <c r="C395" s="22" t="s">
        <v>1215</v>
      </c>
      <c r="D395" s="22" t="s">
        <v>9</v>
      </c>
      <c r="E395" s="22" t="s">
        <v>35</v>
      </c>
      <c r="F395" s="22">
        <v>580.422</v>
      </c>
    </row>
    <row r="396" spans="1:6">
      <c r="A396" s="22" t="s">
        <v>1216</v>
      </c>
      <c r="B396" s="22" t="s">
        <v>1217</v>
      </c>
      <c r="C396" s="22" t="s">
        <v>1218</v>
      </c>
      <c r="D396" s="22" t="s">
        <v>9</v>
      </c>
      <c r="E396" s="22" t="s">
        <v>35</v>
      </c>
      <c r="F396" s="22">
        <v>84.564</v>
      </c>
    </row>
    <row r="397" spans="1:6">
      <c r="A397" s="22" t="s">
        <v>1219</v>
      </c>
      <c r="B397" s="22" t="s">
        <v>1220</v>
      </c>
      <c r="C397" s="22" t="s">
        <v>1221</v>
      </c>
      <c r="D397" s="22" t="s">
        <v>9</v>
      </c>
      <c r="E397" s="22" t="s">
        <v>23</v>
      </c>
      <c r="F397" s="22">
        <v>1993.018</v>
      </c>
    </row>
    <row r="398" spans="1:6">
      <c r="A398" s="22" t="s">
        <v>1222</v>
      </c>
      <c r="B398" s="22" t="s">
        <v>1223</v>
      </c>
      <c r="C398" s="22" t="s">
        <v>1224</v>
      </c>
      <c r="D398" s="22" t="s">
        <v>9</v>
      </c>
      <c r="E398" s="22" t="s">
        <v>23</v>
      </c>
      <c r="F398" s="22">
        <v>22.131</v>
      </c>
    </row>
    <row r="399" spans="1:6">
      <c r="A399" s="22" t="s">
        <v>1225</v>
      </c>
      <c r="B399" s="22" t="s">
        <v>1226</v>
      </c>
      <c r="C399" s="22" t="s">
        <v>1227</v>
      </c>
      <c r="D399" s="22" t="s">
        <v>9</v>
      </c>
      <c r="E399" s="22" t="s">
        <v>23</v>
      </c>
      <c r="F399" s="22">
        <v>75.797</v>
      </c>
    </row>
    <row r="400" spans="1:6">
      <c r="A400" s="22" t="s">
        <v>1228</v>
      </c>
      <c r="B400" s="22" t="s">
        <v>1229</v>
      </c>
      <c r="C400" s="22" t="s">
        <v>1230</v>
      </c>
      <c r="D400" s="22" t="s">
        <v>9</v>
      </c>
      <c r="E400" s="22" t="s">
        <v>23</v>
      </c>
      <c r="F400" s="22">
        <v>2491.719</v>
      </c>
    </row>
    <row r="401" spans="1:6">
      <c r="A401" s="22" t="s">
        <v>1231</v>
      </c>
      <c r="B401" s="22" t="s">
        <v>1232</v>
      </c>
      <c r="C401" s="22" t="s">
        <v>1233</v>
      </c>
      <c r="D401" s="22" t="s">
        <v>9</v>
      </c>
      <c r="E401" s="22" t="s">
        <v>35</v>
      </c>
      <c r="F401" s="22">
        <v>67.97</v>
      </c>
    </row>
    <row r="402" spans="1:6">
      <c r="A402" s="22" t="s">
        <v>1234</v>
      </c>
      <c r="B402" s="22" t="s">
        <v>1235</v>
      </c>
      <c r="C402" s="22" t="s">
        <v>1236</v>
      </c>
      <c r="D402" s="22" t="s">
        <v>9</v>
      </c>
      <c r="E402" s="22" t="s">
        <v>27</v>
      </c>
      <c r="F402" s="22">
        <v>1033.216</v>
      </c>
    </row>
    <row r="403" spans="1:6">
      <c r="A403" s="22" t="s">
        <v>1237</v>
      </c>
      <c r="B403" s="22" t="s">
        <v>1238</v>
      </c>
      <c r="C403" s="22" t="s">
        <v>1239</v>
      </c>
      <c r="D403" s="22" t="s">
        <v>9</v>
      </c>
      <c r="E403" s="22" t="s">
        <v>35</v>
      </c>
      <c r="F403" s="22">
        <v>40.179</v>
      </c>
    </row>
    <row r="404" spans="1:6">
      <c r="A404" s="22" t="s">
        <v>1240</v>
      </c>
      <c r="B404" s="22" t="s">
        <v>1241</v>
      </c>
      <c r="C404" s="22" t="s">
        <v>1242</v>
      </c>
      <c r="D404" s="22" t="s">
        <v>9</v>
      </c>
      <c r="E404" s="22" t="s">
        <v>23</v>
      </c>
      <c r="F404" s="22">
        <v>413.069</v>
      </c>
    </row>
    <row r="405" spans="1:6">
      <c r="A405" s="22" t="s">
        <v>1243</v>
      </c>
      <c r="B405" s="22" t="s">
        <v>1244</v>
      </c>
      <c r="C405" s="22" t="s">
        <v>1245</v>
      </c>
      <c r="D405" s="22" t="s">
        <v>9</v>
      </c>
      <c r="E405" s="22" t="s">
        <v>23</v>
      </c>
      <c r="F405" s="22">
        <v>72.456</v>
      </c>
    </row>
    <row r="406" spans="1:6">
      <c r="A406" s="22" t="s">
        <v>1246</v>
      </c>
      <c r="B406" s="22" t="s">
        <v>1247</v>
      </c>
      <c r="C406" s="22" t="s">
        <v>1248</v>
      </c>
      <c r="D406" s="22" t="s">
        <v>9</v>
      </c>
      <c r="E406" s="22" t="s">
        <v>31</v>
      </c>
      <c r="F406" s="22">
        <v>1275.79</v>
      </c>
    </row>
    <row r="407" spans="1:6">
      <c r="A407" s="22" t="s">
        <v>1249</v>
      </c>
      <c r="B407" s="22" t="s">
        <v>1250</v>
      </c>
      <c r="C407" s="22" t="s">
        <v>1251</v>
      </c>
      <c r="D407" s="22" t="s">
        <v>9</v>
      </c>
      <c r="E407" s="22" t="s">
        <v>31</v>
      </c>
      <c r="F407" s="22">
        <v>2024.375</v>
      </c>
    </row>
    <row r="408" spans="1:6">
      <c r="A408" s="22" t="s">
        <v>1252</v>
      </c>
      <c r="B408" s="22" t="s">
        <v>1253</v>
      </c>
      <c r="C408" s="22" t="s">
        <v>1254</v>
      </c>
      <c r="D408" s="22" t="s">
        <v>9</v>
      </c>
      <c r="E408" s="22" t="s">
        <v>31</v>
      </c>
      <c r="F408" s="22">
        <v>776.38</v>
      </c>
    </row>
    <row r="409" spans="1:6">
      <c r="A409" s="22" t="s">
        <v>1255</v>
      </c>
      <c r="B409" s="22" t="s">
        <v>1256</v>
      </c>
      <c r="C409" s="22" t="s">
        <v>1257</v>
      </c>
      <c r="D409" s="22" t="s">
        <v>9</v>
      </c>
      <c r="E409" s="22" t="s">
        <v>23</v>
      </c>
      <c r="F409" s="22">
        <v>1400.424</v>
      </c>
    </row>
    <row r="410" spans="1:6">
      <c r="A410" s="22" t="s">
        <v>1258</v>
      </c>
      <c r="B410" s="22" t="s">
        <v>1259</v>
      </c>
      <c r="C410" s="22" t="s">
        <v>1260</v>
      </c>
      <c r="D410" s="22" t="s">
        <v>9</v>
      </c>
      <c r="E410" s="22" t="s">
        <v>23</v>
      </c>
      <c r="F410" s="22">
        <v>447.263</v>
      </c>
    </row>
    <row r="411" spans="1:6">
      <c r="A411" s="22" t="s">
        <v>1261</v>
      </c>
      <c r="B411" s="22" t="s">
        <v>888</v>
      </c>
      <c r="C411" s="22" t="s">
        <v>1262</v>
      </c>
      <c r="D411" s="22" t="s">
        <v>9</v>
      </c>
      <c r="E411" s="22" t="s">
        <v>31</v>
      </c>
      <c r="F411" s="22">
        <v>3685.802</v>
      </c>
    </row>
    <row r="412" spans="1:6">
      <c r="A412" s="22" t="s">
        <v>1263</v>
      </c>
      <c r="B412" s="22" t="s">
        <v>1264</v>
      </c>
      <c r="C412" s="22" t="s">
        <v>1265</v>
      </c>
      <c r="D412" s="22" t="s">
        <v>9</v>
      </c>
      <c r="E412" s="22" t="s">
        <v>23</v>
      </c>
      <c r="F412" s="22">
        <v>993.473</v>
      </c>
    </row>
    <row r="413" spans="1:6">
      <c r="A413" s="22" t="s">
        <v>1266</v>
      </c>
      <c r="B413" s="22" t="s">
        <v>1267</v>
      </c>
      <c r="C413" s="22" t="s">
        <v>1268</v>
      </c>
      <c r="D413" s="22" t="s">
        <v>9</v>
      </c>
      <c r="E413" s="22" t="s">
        <v>57</v>
      </c>
      <c r="F413" s="22">
        <v>9.313</v>
      </c>
    </row>
    <row r="414" spans="1:6">
      <c r="A414" s="22" t="s">
        <v>1269</v>
      </c>
      <c r="B414" s="22" t="s">
        <v>1270</v>
      </c>
      <c r="C414" s="22" t="s">
        <v>1271</v>
      </c>
      <c r="D414" s="22" t="s">
        <v>9</v>
      </c>
      <c r="E414" s="22" t="s">
        <v>31</v>
      </c>
      <c r="F414" s="22">
        <v>1660.102</v>
      </c>
    </row>
    <row r="415" spans="1:6">
      <c r="A415" s="22" t="s">
        <v>1272</v>
      </c>
      <c r="B415" s="22" t="s">
        <v>1273</v>
      </c>
      <c r="C415" s="22" t="s">
        <v>1274</v>
      </c>
      <c r="D415" s="22" t="s">
        <v>9</v>
      </c>
      <c r="E415" s="22" t="s">
        <v>23</v>
      </c>
      <c r="F415" s="22">
        <v>177.917</v>
      </c>
    </row>
    <row r="416" spans="1:6">
      <c r="A416" s="22" t="s">
        <v>1275</v>
      </c>
      <c r="B416" s="22" t="s">
        <v>1276</v>
      </c>
      <c r="C416" s="22" t="s">
        <v>1277</v>
      </c>
      <c r="D416" s="22" t="s">
        <v>9</v>
      </c>
      <c r="E416" s="22" t="s">
        <v>70</v>
      </c>
      <c r="F416" s="22">
        <v>3957.624</v>
      </c>
    </row>
    <row r="417" spans="1:6">
      <c r="A417" s="22" t="s">
        <v>1278</v>
      </c>
      <c r="B417" s="22" t="s">
        <v>1279</v>
      </c>
      <c r="C417" s="22" t="s">
        <v>1280</v>
      </c>
      <c r="D417" s="22" t="s">
        <v>9</v>
      </c>
      <c r="E417" s="22" t="s">
        <v>50</v>
      </c>
      <c r="F417" s="22">
        <v>152.844</v>
      </c>
    </row>
    <row r="418" spans="1:6">
      <c r="A418" s="22" t="s">
        <v>1281</v>
      </c>
      <c r="B418" s="22" t="s">
        <v>1282</v>
      </c>
      <c r="C418" s="22" t="s">
        <v>1283</v>
      </c>
      <c r="D418" s="22" t="s">
        <v>9</v>
      </c>
      <c r="E418" s="22" t="s">
        <v>35</v>
      </c>
      <c r="F418" s="22">
        <v>113.171</v>
      </c>
    </row>
    <row r="419" spans="1:6">
      <c r="A419" s="22" t="s">
        <v>1284</v>
      </c>
      <c r="B419" s="22" t="s">
        <v>1285</v>
      </c>
      <c r="C419" s="22" t="s">
        <v>1286</v>
      </c>
      <c r="D419" s="22" t="s">
        <v>9</v>
      </c>
      <c r="E419" s="22" t="s">
        <v>31</v>
      </c>
      <c r="F419" s="22">
        <v>1433.979</v>
      </c>
    </row>
    <row r="420" spans="1:6">
      <c r="A420" s="22" t="s">
        <v>1287</v>
      </c>
      <c r="B420" s="22" t="s">
        <v>1288</v>
      </c>
      <c r="C420" s="22" t="s">
        <v>1289</v>
      </c>
      <c r="D420" s="22" t="s">
        <v>9</v>
      </c>
      <c r="E420" s="22" t="s">
        <v>23</v>
      </c>
      <c r="F420" s="22">
        <v>70.674</v>
      </c>
    </row>
    <row r="421" spans="1:6">
      <c r="A421" s="22" t="s">
        <v>1290</v>
      </c>
      <c r="B421" s="22" t="s">
        <v>1291</v>
      </c>
      <c r="C421" s="22" t="s">
        <v>1292</v>
      </c>
      <c r="D421" s="22" t="s">
        <v>9</v>
      </c>
      <c r="E421" s="22" t="s">
        <v>23</v>
      </c>
      <c r="F421" s="22">
        <v>85.858</v>
      </c>
    </row>
    <row r="422" spans="1:6">
      <c r="A422" s="22" t="s">
        <v>1293</v>
      </c>
      <c r="B422" s="22" t="s">
        <v>572</v>
      </c>
      <c r="C422" s="22" t="s">
        <v>1294</v>
      </c>
      <c r="D422" s="22" t="s">
        <v>9</v>
      </c>
      <c r="E422" s="22" t="s">
        <v>27</v>
      </c>
      <c r="F422" s="22">
        <v>21.855</v>
      </c>
    </row>
    <row r="423" spans="1:6">
      <c r="A423" s="22" t="s">
        <v>1295</v>
      </c>
      <c r="B423" s="22" t="s">
        <v>1296</v>
      </c>
      <c r="C423" s="22" t="s">
        <v>1297</v>
      </c>
      <c r="D423" s="22" t="s">
        <v>9</v>
      </c>
      <c r="E423" s="22" t="s">
        <v>23</v>
      </c>
      <c r="F423" s="22">
        <v>559.763</v>
      </c>
    </row>
    <row r="424" spans="1:6">
      <c r="A424" s="22" t="s">
        <v>1298</v>
      </c>
      <c r="B424" s="22" t="s">
        <v>1299</v>
      </c>
      <c r="C424" s="22" t="s">
        <v>1300</v>
      </c>
      <c r="D424" s="22" t="s">
        <v>9</v>
      </c>
      <c r="E424" s="22" t="s">
        <v>50</v>
      </c>
      <c r="F424" s="22">
        <v>2382.227</v>
      </c>
    </row>
    <row r="425" spans="1:6">
      <c r="A425" s="22" t="s">
        <v>1301</v>
      </c>
      <c r="B425" s="22" t="s">
        <v>1302</v>
      </c>
      <c r="C425" s="22" t="s">
        <v>1303</v>
      </c>
      <c r="D425" s="22" t="s">
        <v>9</v>
      </c>
      <c r="E425" s="22" t="s">
        <v>23</v>
      </c>
      <c r="F425" s="22">
        <v>1222.751</v>
      </c>
    </row>
    <row r="426" spans="1:6">
      <c r="A426" s="22" t="s">
        <v>1304</v>
      </c>
      <c r="B426" s="22" t="s">
        <v>1305</v>
      </c>
      <c r="C426" s="22" t="s">
        <v>1306</v>
      </c>
      <c r="D426" s="22" t="s">
        <v>9</v>
      </c>
      <c r="E426" s="22" t="s">
        <v>35</v>
      </c>
      <c r="F426" s="22">
        <v>124.419</v>
      </c>
    </row>
    <row r="427" spans="1:6">
      <c r="A427" s="22" t="s">
        <v>1307</v>
      </c>
      <c r="B427" s="22" t="s">
        <v>1308</v>
      </c>
      <c r="C427" s="22" t="s">
        <v>1309</v>
      </c>
      <c r="D427" s="22" t="s">
        <v>9</v>
      </c>
      <c r="E427" s="22" t="s">
        <v>23</v>
      </c>
      <c r="F427" s="22">
        <v>7812.991</v>
      </c>
    </row>
    <row r="428" spans="1:6">
      <c r="A428" s="22" t="s">
        <v>1310</v>
      </c>
      <c r="B428" s="22" t="s">
        <v>1311</v>
      </c>
      <c r="C428" s="22" t="s">
        <v>1312</v>
      </c>
      <c r="D428" s="22" t="s">
        <v>9</v>
      </c>
      <c r="E428" s="22" t="s">
        <v>23</v>
      </c>
      <c r="F428" s="22">
        <v>1723.65</v>
      </c>
    </row>
    <row r="429" spans="1:6">
      <c r="A429" s="22" t="s">
        <v>1313</v>
      </c>
      <c r="B429" s="22" t="s">
        <v>1314</v>
      </c>
      <c r="C429" s="22" t="s">
        <v>1315</v>
      </c>
      <c r="D429" s="22" t="s">
        <v>9</v>
      </c>
      <c r="E429" s="22" t="s">
        <v>23</v>
      </c>
      <c r="F429" s="22">
        <v>55.812</v>
      </c>
    </row>
    <row r="430" spans="1:6">
      <c r="A430" s="22" t="s">
        <v>1316</v>
      </c>
      <c r="B430" s="22" t="s">
        <v>1317</v>
      </c>
      <c r="C430" s="22" t="s">
        <v>1318</v>
      </c>
      <c r="D430" s="22" t="s">
        <v>9</v>
      </c>
      <c r="E430" s="22" t="s">
        <v>23</v>
      </c>
      <c r="F430" s="22">
        <v>166.298</v>
      </c>
    </row>
    <row r="431" spans="1:6">
      <c r="A431" s="22" t="s">
        <v>1319</v>
      </c>
      <c r="B431" s="22" t="s">
        <v>1320</v>
      </c>
      <c r="C431" s="22" t="s">
        <v>1321</v>
      </c>
      <c r="D431" s="22" t="s">
        <v>9</v>
      </c>
      <c r="E431" s="22" t="s">
        <v>23</v>
      </c>
      <c r="F431" s="22">
        <v>66.109</v>
      </c>
    </row>
    <row r="432" spans="1:6">
      <c r="A432" s="22" t="s">
        <v>1322</v>
      </c>
      <c r="B432" s="22" t="s">
        <v>1323</v>
      </c>
      <c r="C432" s="22" t="s">
        <v>1324</v>
      </c>
      <c r="D432" s="22" t="s">
        <v>9</v>
      </c>
      <c r="E432" s="22" t="s">
        <v>23</v>
      </c>
      <c r="F432" s="22">
        <v>255.535</v>
      </c>
    </row>
    <row r="433" spans="1:6">
      <c r="A433" s="22" t="s">
        <v>1325</v>
      </c>
      <c r="B433" s="22" t="s">
        <v>1326</v>
      </c>
      <c r="C433" s="22" t="s">
        <v>1327</v>
      </c>
      <c r="D433" s="22" t="s">
        <v>9</v>
      </c>
      <c r="E433" s="22" t="s">
        <v>23</v>
      </c>
      <c r="F433" s="22">
        <v>117.805</v>
      </c>
    </row>
    <row r="434" spans="1:6">
      <c r="A434" s="22" t="s">
        <v>1328</v>
      </c>
      <c r="B434" s="22" t="s">
        <v>1329</v>
      </c>
      <c r="C434" s="22" t="s">
        <v>1330</v>
      </c>
      <c r="D434" s="22" t="s">
        <v>9</v>
      </c>
      <c r="E434" s="22" t="s">
        <v>23</v>
      </c>
      <c r="F434" s="22">
        <v>370.718</v>
      </c>
    </row>
    <row r="435" spans="1:6">
      <c r="A435" s="22" t="s">
        <v>1331</v>
      </c>
      <c r="B435" s="22" t="s">
        <v>1332</v>
      </c>
      <c r="C435" s="22" t="s">
        <v>1333</v>
      </c>
      <c r="D435" s="22" t="s">
        <v>9</v>
      </c>
      <c r="E435" s="22" t="s">
        <v>35</v>
      </c>
      <c r="F435" s="22">
        <v>203.436</v>
      </c>
    </row>
    <row r="436" spans="1:6">
      <c r="A436" s="22" t="s">
        <v>1334</v>
      </c>
      <c r="B436" s="22" t="s">
        <v>1335</v>
      </c>
      <c r="C436" s="22" t="s">
        <v>1336</v>
      </c>
      <c r="D436" s="22" t="s">
        <v>9</v>
      </c>
      <c r="E436" s="22" t="s">
        <v>40</v>
      </c>
      <c r="F436" s="22">
        <v>4.759</v>
      </c>
    </row>
    <row r="437" spans="1:6">
      <c r="A437" s="22" t="s">
        <v>1337</v>
      </c>
      <c r="B437" s="22" t="s">
        <v>1338</v>
      </c>
      <c r="C437" s="22" t="s">
        <v>1339</v>
      </c>
      <c r="D437" s="22" t="s">
        <v>9</v>
      </c>
      <c r="E437" s="22" t="s">
        <v>23</v>
      </c>
      <c r="F437" s="22">
        <v>76.381</v>
      </c>
    </row>
    <row r="438" spans="1:6">
      <c r="A438" s="22" t="s">
        <v>1340</v>
      </c>
      <c r="B438" s="22" t="s">
        <v>1341</v>
      </c>
      <c r="C438" s="22" t="s">
        <v>1342</v>
      </c>
      <c r="D438" s="22" t="s">
        <v>9</v>
      </c>
      <c r="E438" s="22" t="s">
        <v>35</v>
      </c>
      <c r="F438" s="22">
        <v>144.442</v>
      </c>
    </row>
    <row r="439" spans="1:6">
      <c r="A439" s="22" t="s">
        <v>1343</v>
      </c>
      <c r="B439" s="22" t="s">
        <v>888</v>
      </c>
      <c r="C439" s="22" t="s">
        <v>1344</v>
      </c>
      <c r="D439" s="22" t="s">
        <v>9</v>
      </c>
      <c r="E439" s="22" t="s">
        <v>31</v>
      </c>
      <c r="F439" s="22">
        <v>2773.858</v>
      </c>
    </row>
    <row r="440" spans="1:6">
      <c r="A440" s="22" t="s">
        <v>1345</v>
      </c>
      <c r="B440" s="22" t="s">
        <v>1346</v>
      </c>
      <c r="C440" s="22" t="s">
        <v>1347</v>
      </c>
      <c r="D440" s="22" t="s">
        <v>9</v>
      </c>
      <c r="E440" s="22" t="s">
        <v>35</v>
      </c>
      <c r="F440" s="22">
        <v>105.479</v>
      </c>
    </row>
    <row r="441" spans="1:6">
      <c r="A441" s="22" t="s">
        <v>1348</v>
      </c>
      <c r="B441" s="22" t="s">
        <v>1349</v>
      </c>
      <c r="C441" s="22" t="s">
        <v>1350</v>
      </c>
      <c r="D441" s="22" t="s">
        <v>9</v>
      </c>
      <c r="E441" s="22" t="s">
        <v>57</v>
      </c>
      <c r="F441" s="22">
        <v>1.425</v>
      </c>
    </row>
    <row r="442" spans="1:6">
      <c r="A442" s="22" t="s">
        <v>1351</v>
      </c>
      <c r="B442" s="22" t="s">
        <v>1352</v>
      </c>
      <c r="C442" s="22" t="s">
        <v>1353</v>
      </c>
      <c r="D442" s="22" t="s">
        <v>9</v>
      </c>
      <c r="E442" s="22" t="s">
        <v>35</v>
      </c>
      <c r="F442" s="22">
        <v>425.46</v>
      </c>
    </row>
    <row r="443" spans="1:6">
      <c r="A443" s="22" t="s">
        <v>1354</v>
      </c>
      <c r="B443" s="22" t="s">
        <v>1355</v>
      </c>
      <c r="C443" s="22" t="s">
        <v>1356</v>
      </c>
      <c r="D443" s="22" t="s">
        <v>9</v>
      </c>
      <c r="E443" s="22" t="s">
        <v>23</v>
      </c>
      <c r="F443" s="22">
        <v>53.496</v>
      </c>
    </row>
    <row r="444" spans="1:6">
      <c r="A444" s="22" t="s">
        <v>1357</v>
      </c>
      <c r="B444" s="22" t="s">
        <v>1358</v>
      </c>
      <c r="C444" s="22" t="s">
        <v>1359</v>
      </c>
      <c r="D444" s="22" t="s">
        <v>9</v>
      </c>
      <c r="E444" s="22" t="s">
        <v>23</v>
      </c>
      <c r="F444" s="22">
        <v>30.558</v>
      </c>
    </row>
    <row r="445" spans="1:6">
      <c r="A445" s="22" t="s">
        <v>1360</v>
      </c>
      <c r="B445" s="22" t="s">
        <v>1361</v>
      </c>
      <c r="C445" s="22" t="s">
        <v>1362</v>
      </c>
      <c r="D445" s="22" t="s">
        <v>9</v>
      </c>
      <c r="E445" s="22" t="s">
        <v>27</v>
      </c>
      <c r="F445" s="22">
        <v>338.655</v>
      </c>
    </row>
    <row r="446" spans="1:6">
      <c r="A446" s="22" t="s">
        <v>1363</v>
      </c>
      <c r="B446" s="22" t="s">
        <v>1364</v>
      </c>
      <c r="C446" s="22" t="s">
        <v>1365</v>
      </c>
      <c r="D446" s="22" t="s">
        <v>9</v>
      </c>
      <c r="E446" s="22" t="s">
        <v>23</v>
      </c>
      <c r="F446" s="22">
        <v>2771.575</v>
      </c>
    </row>
    <row r="447" spans="1:6">
      <c r="A447" s="22" t="s">
        <v>1366</v>
      </c>
      <c r="B447" s="22" t="s">
        <v>1367</v>
      </c>
      <c r="C447" s="22" t="s">
        <v>1368</v>
      </c>
      <c r="D447" s="22" t="s">
        <v>9</v>
      </c>
      <c r="E447" s="22" t="s">
        <v>27</v>
      </c>
      <c r="F447" s="22">
        <v>1731.42</v>
      </c>
    </row>
    <row r="448" spans="1:6">
      <c r="A448" s="22" t="s">
        <v>1369</v>
      </c>
      <c r="B448" s="22" t="s">
        <v>1370</v>
      </c>
      <c r="C448" s="22" t="s">
        <v>1371</v>
      </c>
      <c r="D448" s="22" t="s">
        <v>9</v>
      </c>
      <c r="E448" s="22" t="s">
        <v>23</v>
      </c>
      <c r="F448" s="22">
        <v>3126.605</v>
      </c>
    </row>
    <row r="449" spans="1:6">
      <c r="A449" s="22" t="s">
        <v>1372</v>
      </c>
      <c r="B449" s="22" t="s">
        <v>1373</v>
      </c>
      <c r="C449" s="22" t="s">
        <v>1374</v>
      </c>
      <c r="D449" s="22" t="s">
        <v>9</v>
      </c>
      <c r="E449" s="22" t="s">
        <v>23</v>
      </c>
      <c r="F449" s="22">
        <v>159.001</v>
      </c>
    </row>
    <row r="450" spans="1:6">
      <c r="A450" s="22" t="s">
        <v>1375</v>
      </c>
      <c r="B450" s="22" t="s">
        <v>1376</v>
      </c>
      <c r="C450" s="22" t="s">
        <v>1377</v>
      </c>
      <c r="D450" s="22" t="s">
        <v>9</v>
      </c>
      <c r="E450" s="22" t="s">
        <v>35</v>
      </c>
      <c r="F450" s="22">
        <v>241.54</v>
      </c>
    </row>
    <row r="451" spans="1:6">
      <c r="A451" s="22" t="s">
        <v>1378</v>
      </c>
      <c r="B451" s="22" t="s">
        <v>1379</v>
      </c>
      <c r="C451" s="22" t="s">
        <v>1380</v>
      </c>
      <c r="D451" s="22" t="s">
        <v>9</v>
      </c>
      <c r="E451" s="22" t="s">
        <v>97</v>
      </c>
      <c r="F451" s="22">
        <v>577.295</v>
      </c>
    </row>
    <row r="452" spans="1:6">
      <c r="A452" s="22" t="s">
        <v>1381</v>
      </c>
      <c r="B452" s="22" t="s">
        <v>1382</v>
      </c>
      <c r="C452" s="22" t="s">
        <v>1383</v>
      </c>
      <c r="D452" s="22" t="s">
        <v>9</v>
      </c>
      <c r="E452" s="22" t="s">
        <v>121</v>
      </c>
      <c r="F452" s="22">
        <v>45.537</v>
      </c>
    </row>
    <row r="453" spans="1:6">
      <c r="A453" s="22" t="s">
        <v>1384</v>
      </c>
      <c r="B453" s="22" t="s">
        <v>1385</v>
      </c>
      <c r="C453" s="22" t="s">
        <v>1386</v>
      </c>
      <c r="D453" s="22" t="s">
        <v>9</v>
      </c>
      <c r="E453" s="22" t="s">
        <v>14</v>
      </c>
      <c r="F453" s="22">
        <v>5.788</v>
      </c>
    </row>
    <row r="454" spans="1:6">
      <c r="A454" s="22" t="s">
        <v>1387</v>
      </c>
      <c r="B454" s="22" t="s">
        <v>1388</v>
      </c>
      <c r="C454" s="22" t="s">
        <v>1389</v>
      </c>
      <c r="D454" s="22" t="s">
        <v>9</v>
      </c>
      <c r="E454" s="22" t="s">
        <v>27</v>
      </c>
      <c r="F454" s="22">
        <v>6950.444</v>
      </c>
    </row>
    <row r="455" spans="1:6">
      <c r="A455" s="22" t="s">
        <v>1390</v>
      </c>
      <c r="B455" s="22" t="s">
        <v>1391</v>
      </c>
      <c r="C455" s="22" t="s">
        <v>1392</v>
      </c>
      <c r="D455" s="22" t="s">
        <v>9</v>
      </c>
      <c r="E455" s="22" t="s">
        <v>121</v>
      </c>
      <c r="F455" s="22">
        <v>36.112</v>
      </c>
    </row>
    <row r="456" spans="1:6">
      <c r="A456" s="22" t="s">
        <v>1393</v>
      </c>
      <c r="B456" s="22" t="s">
        <v>1394</v>
      </c>
      <c r="C456" s="22" t="s">
        <v>1395</v>
      </c>
      <c r="D456" s="22" t="s">
        <v>9</v>
      </c>
      <c r="E456" s="22" t="s">
        <v>27</v>
      </c>
      <c r="F456" s="22">
        <v>815.963</v>
      </c>
    </row>
    <row r="457" spans="1:6">
      <c r="A457" s="22" t="s">
        <v>1396</v>
      </c>
      <c r="B457" s="22" t="s">
        <v>1397</v>
      </c>
      <c r="C457" s="22" t="s">
        <v>1398</v>
      </c>
      <c r="D457" s="22" t="s">
        <v>9</v>
      </c>
      <c r="E457" s="22" t="s">
        <v>27</v>
      </c>
      <c r="F457" s="22">
        <v>333.174</v>
      </c>
    </row>
    <row r="458" spans="1:6">
      <c r="A458" s="22" t="s">
        <v>1399</v>
      </c>
      <c r="B458" s="22" t="s">
        <v>1400</v>
      </c>
      <c r="C458" s="22" t="s">
        <v>1401</v>
      </c>
      <c r="D458" s="22" t="s">
        <v>9</v>
      </c>
      <c r="E458" s="22" t="s">
        <v>31</v>
      </c>
      <c r="F458" s="22">
        <v>320.006</v>
      </c>
    </row>
    <row r="459" spans="1:6">
      <c r="A459" s="22" t="s">
        <v>1402</v>
      </c>
      <c r="B459" s="22" t="s">
        <v>1403</v>
      </c>
      <c r="C459" s="22" t="s">
        <v>1404</v>
      </c>
      <c r="D459" s="22" t="s">
        <v>9</v>
      </c>
      <c r="E459" s="22" t="s">
        <v>23</v>
      </c>
      <c r="F459" s="22">
        <v>37.132</v>
      </c>
    </row>
    <row r="460" spans="1:6">
      <c r="A460" s="22" t="s">
        <v>1405</v>
      </c>
      <c r="B460" s="22" t="s">
        <v>1406</v>
      </c>
      <c r="C460" s="22" t="s">
        <v>1407</v>
      </c>
      <c r="D460" s="22" t="s">
        <v>9</v>
      </c>
      <c r="E460" s="22" t="s">
        <v>35</v>
      </c>
      <c r="F460" s="22">
        <v>591.444</v>
      </c>
    </row>
    <row r="461" spans="1:6">
      <c r="A461" s="22" t="s">
        <v>1408</v>
      </c>
      <c r="B461" s="22" t="s">
        <v>1409</v>
      </c>
      <c r="C461" s="22" t="s">
        <v>1410</v>
      </c>
      <c r="D461" s="22" t="s">
        <v>9</v>
      </c>
      <c r="E461" s="22" t="s">
        <v>23</v>
      </c>
      <c r="F461" s="22">
        <v>42.385</v>
      </c>
    </row>
    <row r="462" spans="1:6">
      <c r="A462" s="22" t="s">
        <v>1411</v>
      </c>
      <c r="B462" s="22" t="s">
        <v>1412</v>
      </c>
      <c r="C462" s="22" t="s">
        <v>1413</v>
      </c>
      <c r="D462" s="22" t="s">
        <v>9</v>
      </c>
      <c r="E462" s="22" t="s">
        <v>23</v>
      </c>
      <c r="F462" s="22">
        <v>75382.664</v>
      </c>
    </row>
    <row r="463" spans="1:6">
      <c r="A463" s="22" t="s">
        <v>1414</v>
      </c>
      <c r="B463" s="22" t="s">
        <v>1415</v>
      </c>
      <c r="C463" s="22" t="s">
        <v>1416</v>
      </c>
      <c r="D463" s="22" t="s">
        <v>9</v>
      </c>
      <c r="E463" s="22" t="s">
        <v>27</v>
      </c>
      <c r="F463" s="22">
        <v>84.188</v>
      </c>
    </row>
    <row r="464" spans="1:6">
      <c r="A464" s="22" t="s">
        <v>1417</v>
      </c>
      <c r="B464" s="22" t="s">
        <v>1418</v>
      </c>
      <c r="C464" s="22" t="s">
        <v>1419</v>
      </c>
      <c r="D464" s="22" t="s">
        <v>9</v>
      </c>
      <c r="E464" s="22" t="s">
        <v>78</v>
      </c>
      <c r="F464" s="22">
        <v>647.578</v>
      </c>
    </row>
    <row r="465" spans="1:6">
      <c r="A465" s="22" t="s">
        <v>1420</v>
      </c>
      <c r="B465" s="22" t="s">
        <v>1421</v>
      </c>
      <c r="C465" s="22" t="s">
        <v>1422</v>
      </c>
      <c r="D465" s="22" t="s">
        <v>9</v>
      </c>
      <c r="E465" s="22" t="s">
        <v>23</v>
      </c>
      <c r="F465" s="22">
        <v>1942.719</v>
      </c>
    </row>
    <row r="466" spans="1:6">
      <c r="A466" s="22" t="s">
        <v>1423</v>
      </c>
      <c r="B466" s="22" t="s">
        <v>1424</v>
      </c>
      <c r="C466" s="22" t="s">
        <v>1425</v>
      </c>
      <c r="D466" s="22" t="s">
        <v>9</v>
      </c>
      <c r="E466" s="22" t="s">
        <v>35</v>
      </c>
      <c r="F466" s="22">
        <v>47.966</v>
      </c>
    </row>
    <row r="467" spans="1:6">
      <c r="A467" s="22" t="s">
        <v>1426</v>
      </c>
      <c r="B467" s="22" t="s">
        <v>1427</v>
      </c>
      <c r="C467" s="22" t="s">
        <v>1428</v>
      </c>
      <c r="D467" s="22" t="s">
        <v>9</v>
      </c>
      <c r="E467" s="22" t="s">
        <v>23</v>
      </c>
      <c r="F467" s="22">
        <v>76.103</v>
      </c>
    </row>
    <row r="468" spans="1:6">
      <c r="A468" s="22" t="s">
        <v>1429</v>
      </c>
      <c r="B468" s="22" t="s">
        <v>1430</v>
      </c>
      <c r="C468" s="22" t="s">
        <v>1431</v>
      </c>
      <c r="D468" s="22" t="s">
        <v>9</v>
      </c>
      <c r="E468" s="22" t="s">
        <v>23</v>
      </c>
      <c r="F468" s="22">
        <v>31.035</v>
      </c>
    </row>
    <row r="469" spans="1:6">
      <c r="A469" s="22" t="s">
        <v>1432</v>
      </c>
      <c r="B469" s="22" t="s">
        <v>1433</v>
      </c>
      <c r="C469" s="22" t="s">
        <v>1434</v>
      </c>
      <c r="D469" s="22" t="s">
        <v>9</v>
      </c>
      <c r="E469" s="22" t="s">
        <v>23</v>
      </c>
      <c r="F469" s="22">
        <v>52.75</v>
      </c>
    </row>
    <row r="470" spans="1:6">
      <c r="A470" s="22" t="s">
        <v>1435</v>
      </c>
      <c r="B470" s="22" t="s">
        <v>1436</v>
      </c>
      <c r="C470" s="22" t="s">
        <v>1437</v>
      </c>
      <c r="D470" s="22" t="s">
        <v>9</v>
      </c>
      <c r="E470" s="22" t="s">
        <v>50</v>
      </c>
      <c r="F470" s="22">
        <v>54.459</v>
      </c>
    </row>
    <row r="471" spans="1:6">
      <c r="A471" s="22" t="s">
        <v>1438</v>
      </c>
      <c r="B471" s="22" t="s">
        <v>1439</v>
      </c>
      <c r="C471" s="22" t="s">
        <v>1440</v>
      </c>
      <c r="D471" s="22" t="s">
        <v>9</v>
      </c>
      <c r="E471" s="22" t="s">
        <v>57</v>
      </c>
      <c r="F471" s="22">
        <v>71.776</v>
      </c>
    </row>
    <row r="472" spans="1:6">
      <c r="A472" s="22" t="s">
        <v>1441</v>
      </c>
      <c r="B472" s="22" t="s">
        <v>1442</v>
      </c>
      <c r="C472" s="22" t="s">
        <v>1443</v>
      </c>
      <c r="D472" s="22" t="s">
        <v>9</v>
      </c>
      <c r="E472" s="22" t="s">
        <v>23</v>
      </c>
      <c r="F472" s="22">
        <v>48.05</v>
      </c>
    </row>
    <row r="473" spans="1:6">
      <c r="A473" s="22" t="s">
        <v>1444</v>
      </c>
      <c r="B473" s="22" t="s">
        <v>1445</v>
      </c>
      <c r="C473" s="22" t="s">
        <v>1446</v>
      </c>
      <c r="D473" s="22" t="s">
        <v>9</v>
      </c>
      <c r="E473" s="22" t="s">
        <v>23</v>
      </c>
      <c r="F473" s="22">
        <v>11610.329</v>
      </c>
    </row>
    <row r="474" spans="1:6">
      <c r="A474" s="22" t="s">
        <v>1447</v>
      </c>
      <c r="B474" s="22" t="s">
        <v>1448</v>
      </c>
      <c r="C474" s="22" t="s">
        <v>1449</v>
      </c>
      <c r="D474" s="22" t="s">
        <v>9</v>
      </c>
      <c r="E474" s="22" t="s">
        <v>27</v>
      </c>
      <c r="F474" s="22">
        <v>2458.931</v>
      </c>
    </row>
    <row r="475" spans="1:6">
      <c r="A475" s="22" t="s">
        <v>1450</v>
      </c>
      <c r="B475" s="22" t="s">
        <v>1451</v>
      </c>
      <c r="C475" s="22" t="s">
        <v>1452</v>
      </c>
      <c r="D475" s="22" t="s">
        <v>9</v>
      </c>
      <c r="E475" s="22" t="s">
        <v>35</v>
      </c>
      <c r="F475" s="22">
        <v>2496.079</v>
      </c>
    </row>
    <row r="476" spans="1:6">
      <c r="A476" s="22" t="s">
        <v>1453</v>
      </c>
      <c r="B476" s="22" t="s">
        <v>1454</v>
      </c>
      <c r="C476" s="22" t="s">
        <v>1455</v>
      </c>
      <c r="D476" s="22" t="s">
        <v>9</v>
      </c>
      <c r="E476" s="22" t="s">
        <v>23</v>
      </c>
      <c r="F476" s="22">
        <v>53.586</v>
      </c>
    </row>
    <row r="477" spans="1:6">
      <c r="A477" s="22" t="s">
        <v>1456</v>
      </c>
      <c r="B477" s="22" t="s">
        <v>1457</v>
      </c>
      <c r="C477" s="22" t="s">
        <v>1458</v>
      </c>
      <c r="D477" s="22" t="s">
        <v>9</v>
      </c>
      <c r="E477" s="22" t="s">
        <v>27</v>
      </c>
      <c r="F477" s="22">
        <v>166.183</v>
      </c>
    </row>
    <row r="478" spans="1:6">
      <c r="A478" s="22" t="s">
        <v>1459</v>
      </c>
      <c r="B478" s="22" t="s">
        <v>1460</v>
      </c>
      <c r="C478" s="22" t="s">
        <v>1461</v>
      </c>
      <c r="D478" s="22" t="s">
        <v>9</v>
      </c>
      <c r="E478" s="22" t="s">
        <v>23</v>
      </c>
      <c r="F478" s="22">
        <v>3500.437</v>
      </c>
    </row>
    <row r="479" spans="1:6">
      <c r="A479" s="22" t="s">
        <v>1462</v>
      </c>
      <c r="B479" s="22" t="s">
        <v>1463</v>
      </c>
      <c r="C479" s="22" t="s">
        <v>1464</v>
      </c>
      <c r="D479" s="22" t="s">
        <v>9</v>
      </c>
      <c r="E479" s="22" t="s">
        <v>23</v>
      </c>
      <c r="F479" s="22">
        <v>445.652</v>
      </c>
    </row>
    <row r="480" spans="1:6">
      <c r="A480" s="22" t="s">
        <v>1465</v>
      </c>
      <c r="B480" s="22" t="s">
        <v>1466</v>
      </c>
      <c r="C480" s="22" t="s">
        <v>1467</v>
      </c>
      <c r="D480" s="22" t="s">
        <v>9</v>
      </c>
      <c r="E480" s="22" t="s">
        <v>35</v>
      </c>
      <c r="F480" s="22">
        <v>247.752</v>
      </c>
    </row>
    <row r="481" spans="1:6">
      <c r="A481" s="22" t="s">
        <v>1468</v>
      </c>
      <c r="B481" s="22" t="s">
        <v>1469</v>
      </c>
      <c r="C481" s="22" t="s">
        <v>1470</v>
      </c>
      <c r="D481" s="22" t="s">
        <v>9</v>
      </c>
      <c r="E481" s="22" t="s">
        <v>23</v>
      </c>
      <c r="F481" s="22">
        <v>3904.282</v>
      </c>
    </row>
    <row r="482" spans="1:6">
      <c r="A482" s="22" t="s">
        <v>1471</v>
      </c>
      <c r="B482" s="22" t="s">
        <v>1472</v>
      </c>
      <c r="C482" s="22" t="s">
        <v>1473</v>
      </c>
      <c r="D482" s="22" t="s">
        <v>9</v>
      </c>
      <c r="E482" s="22" t="s">
        <v>35</v>
      </c>
      <c r="F482" s="22">
        <v>981.748</v>
      </c>
    </row>
    <row r="483" spans="1:6">
      <c r="A483" s="22" t="s">
        <v>1474</v>
      </c>
      <c r="B483" s="22" t="s">
        <v>1475</v>
      </c>
      <c r="C483" s="22" t="s">
        <v>1476</v>
      </c>
      <c r="D483" s="22" t="s">
        <v>9</v>
      </c>
      <c r="E483" s="22" t="s">
        <v>23</v>
      </c>
      <c r="F483" s="22">
        <v>5.756</v>
      </c>
    </row>
    <row r="484" spans="1:6">
      <c r="A484" s="22" t="s">
        <v>1477</v>
      </c>
      <c r="B484" s="22" t="s">
        <v>1478</v>
      </c>
      <c r="C484" s="22" t="s">
        <v>1479</v>
      </c>
      <c r="D484" s="22" t="s">
        <v>9</v>
      </c>
      <c r="E484" s="22" t="s">
        <v>23</v>
      </c>
      <c r="F484" s="22">
        <v>29.453</v>
      </c>
    </row>
    <row r="485" spans="1:6">
      <c r="A485" s="22" t="s">
        <v>1480</v>
      </c>
      <c r="B485" s="22" t="s">
        <v>1481</v>
      </c>
      <c r="C485" s="22" t="s">
        <v>1482</v>
      </c>
      <c r="D485" s="22" t="s">
        <v>9</v>
      </c>
      <c r="E485" s="22" t="s">
        <v>23</v>
      </c>
      <c r="F485" s="22">
        <v>9.991</v>
      </c>
    </row>
    <row r="486" spans="1:6">
      <c r="A486" s="22" t="s">
        <v>1483</v>
      </c>
      <c r="B486" s="22" t="s">
        <v>1484</v>
      </c>
      <c r="C486" s="22" t="s">
        <v>1485</v>
      </c>
      <c r="D486" s="22" t="s">
        <v>9</v>
      </c>
      <c r="E486" s="22" t="s">
        <v>23</v>
      </c>
      <c r="F486" s="22">
        <v>647.812</v>
      </c>
    </row>
    <row r="487" spans="1:6">
      <c r="A487" s="22" t="s">
        <v>1486</v>
      </c>
      <c r="B487" s="22" t="s">
        <v>1487</v>
      </c>
      <c r="C487" s="22" t="s">
        <v>1488</v>
      </c>
      <c r="D487" s="22" t="s">
        <v>9</v>
      </c>
      <c r="E487" s="22" t="s">
        <v>23</v>
      </c>
      <c r="F487" s="22">
        <v>470.134</v>
      </c>
    </row>
    <row r="488" spans="1:6">
      <c r="A488" s="22" t="s">
        <v>1489</v>
      </c>
      <c r="B488" s="22" t="s">
        <v>1490</v>
      </c>
      <c r="C488" s="22" t="s">
        <v>1491</v>
      </c>
      <c r="D488" s="22" t="s">
        <v>9</v>
      </c>
      <c r="E488" s="22" t="s">
        <v>57</v>
      </c>
      <c r="F488" s="22">
        <v>57.233</v>
      </c>
    </row>
    <row r="489" spans="1:6">
      <c r="A489" s="22" t="s">
        <v>1492</v>
      </c>
      <c r="B489" s="22" t="s">
        <v>1493</v>
      </c>
      <c r="C489" s="22" t="s">
        <v>1494</v>
      </c>
      <c r="D489" s="22" t="s">
        <v>9</v>
      </c>
      <c r="E489" s="22" t="s">
        <v>35</v>
      </c>
      <c r="F489" s="22">
        <v>28.165</v>
      </c>
    </row>
    <row r="490" spans="1:6">
      <c r="A490" s="22" t="s">
        <v>1495</v>
      </c>
      <c r="B490" s="22" t="s">
        <v>1496</v>
      </c>
      <c r="C490" s="22" t="s">
        <v>1497</v>
      </c>
      <c r="D490" s="22" t="s">
        <v>9</v>
      </c>
      <c r="E490" s="22" t="s">
        <v>23</v>
      </c>
      <c r="F490" s="22">
        <v>11.169</v>
      </c>
    </row>
    <row r="491" spans="1:6">
      <c r="A491" s="22" t="s">
        <v>1498</v>
      </c>
      <c r="B491" s="22" t="s">
        <v>1499</v>
      </c>
      <c r="C491" s="22" t="s">
        <v>1500</v>
      </c>
      <c r="D491" s="22" t="s">
        <v>9</v>
      </c>
      <c r="E491" s="22" t="s">
        <v>62</v>
      </c>
      <c r="F491" s="22">
        <v>1.923</v>
      </c>
    </row>
    <row r="492" spans="1:6">
      <c r="A492" s="22" t="s">
        <v>1501</v>
      </c>
      <c r="B492" s="22" t="s">
        <v>1502</v>
      </c>
      <c r="C492" s="22" t="s">
        <v>1503</v>
      </c>
      <c r="D492" s="22" t="s">
        <v>9</v>
      </c>
      <c r="E492" s="22" t="s">
        <v>23</v>
      </c>
      <c r="F492" s="22">
        <v>49.197</v>
      </c>
    </row>
    <row r="493" spans="1:6">
      <c r="A493" s="22" t="s">
        <v>1504</v>
      </c>
      <c r="B493" s="22" t="s">
        <v>1505</v>
      </c>
      <c r="C493" s="22" t="s">
        <v>1506</v>
      </c>
      <c r="D493" s="22" t="s">
        <v>9</v>
      </c>
      <c r="E493" s="22" t="s">
        <v>27</v>
      </c>
      <c r="F493" s="22">
        <v>162.494</v>
      </c>
    </row>
    <row r="494" spans="1:6">
      <c r="A494" s="22" t="s">
        <v>1507</v>
      </c>
      <c r="B494" s="22" t="s">
        <v>1508</v>
      </c>
      <c r="C494" s="22" t="s">
        <v>1509</v>
      </c>
      <c r="D494" s="22" t="s">
        <v>9</v>
      </c>
      <c r="E494" s="22" t="s">
        <v>27</v>
      </c>
      <c r="F494" s="22">
        <v>199.148</v>
      </c>
    </row>
    <row r="495" spans="1:6">
      <c r="A495" s="22" t="s">
        <v>1510</v>
      </c>
      <c r="B495" s="22" t="s">
        <v>1511</v>
      </c>
      <c r="C495" s="22" t="s">
        <v>1512</v>
      </c>
      <c r="D495" s="22" t="s">
        <v>9</v>
      </c>
      <c r="E495" s="22" t="s">
        <v>35</v>
      </c>
      <c r="F495" s="22">
        <v>427.27</v>
      </c>
    </row>
    <row r="496" spans="1:6">
      <c r="A496" s="22" t="s">
        <v>1513</v>
      </c>
      <c r="B496" s="22" t="s">
        <v>1514</v>
      </c>
      <c r="C496" s="22" t="s">
        <v>1515</v>
      </c>
      <c r="D496" s="22" t="s">
        <v>9</v>
      </c>
      <c r="E496" s="22" t="s">
        <v>31</v>
      </c>
      <c r="F496" s="22">
        <v>769.924</v>
      </c>
    </row>
    <row r="497" spans="1:6">
      <c r="A497" s="22" t="s">
        <v>1516</v>
      </c>
      <c r="B497" s="22" t="s">
        <v>1517</v>
      </c>
      <c r="C497" s="22" t="s">
        <v>1518</v>
      </c>
      <c r="D497" s="22" t="s">
        <v>9</v>
      </c>
      <c r="E497" s="22" t="s">
        <v>23</v>
      </c>
      <c r="F497" s="22">
        <v>1665.766</v>
      </c>
    </row>
    <row r="498" spans="1:6">
      <c r="A498" s="22" t="s">
        <v>1519</v>
      </c>
      <c r="B498" s="22" t="s">
        <v>1520</v>
      </c>
      <c r="C498" s="22" t="s">
        <v>1521</v>
      </c>
      <c r="D498" s="22" t="s">
        <v>9</v>
      </c>
      <c r="E498" s="22" t="s">
        <v>35</v>
      </c>
      <c r="F498" s="22">
        <v>74.408</v>
      </c>
    </row>
    <row r="499" spans="1:6">
      <c r="A499" s="22" t="s">
        <v>1522</v>
      </c>
      <c r="B499" s="22" t="s">
        <v>1523</v>
      </c>
      <c r="C499" s="22" t="s">
        <v>1524</v>
      </c>
      <c r="D499" s="22" t="s">
        <v>9</v>
      </c>
      <c r="E499" s="22" t="s">
        <v>50</v>
      </c>
      <c r="F499" s="22">
        <v>288.506</v>
      </c>
    </row>
    <row r="500" spans="1:6">
      <c r="A500" s="22" t="s">
        <v>1525</v>
      </c>
      <c r="B500" s="22" t="s">
        <v>1526</v>
      </c>
      <c r="C500" s="22" t="s">
        <v>1527</v>
      </c>
      <c r="D500" s="22" t="s">
        <v>9</v>
      </c>
      <c r="E500" s="22" t="s">
        <v>35</v>
      </c>
      <c r="F500" s="22">
        <v>10.262</v>
      </c>
    </row>
    <row r="501" spans="1:6">
      <c r="A501" s="22" t="s">
        <v>1528</v>
      </c>
      <c r="B501" s="22" t="s">
        <v>1529</v>
      </c>
      <c r="C501" s="22" t="s">
        <v>1530</v>
      </c>
      <c r="D501" s="22" t="s">
        <v>9</v>
      </c>
      <c r="E501" s="22" t="s">
        <v>23</v>
      </c>
      <c r="F501" s="22">
        <v>245.988</v>
      </c>
    </row>
    <row r="502" spans="1:6">
      <c r="A502" s="22" t="s">
        <v>1531</v>
      </c>
      <c r="B502" s="22" t="s">
        <v>1532</v>
      </c>
      <c r="C502" s="22" t="s">
        <v>1533</v>
      </c>
      <c r="D502" s="22" t="s">
        <v>9</v>
      </c>
      <c r="E502" s="22" t="s">
        <v>27</v>
      </c>
      <c r="F502" s="22">
        <v>228.209</v>
      </c>
    </row>
    <row r="503" spans="1:6">
      <c r="A503" s="22" t="s">
        <v>1534</v>
      </c>
      <c r="B503" s="22" t="s">
        <v>1535</v>
      </c>
      <c r="C503" s="22" t="s">
        <v>1536</v>
      </c>
      <c r="D503" s="22" t="s">
        <v>9</v>
      </c>
      <c r="E503" s="22" t="s">
        <v>23</v>
      </c>
      <c r="F503" s="22">
        <v>80.983</v>
      </c>
    </row>
    <row r="504" spans="1:6">
      <c r="A504" s="22" t="s">
        <v>1537</v>
      </c>
      <c r="B504" s="22" t="s">
        <v>1538</v>
      </c>
      <c r="C504" s="22" t="s">
        <v>1539</v>
      </c>
      <c r="D504" s="22" t="s">
        <v>9</v>
      </c>
      <c r="E504" s="22" t="s">
        <v>78</v>
      </c>
      <c r="F504" s="22">
        <v>255.219</v>
      </c>
    </row>
    <row r="505" spans="1:6">
      <c r="A505" s="22" t="s">
        <v>1540</v>
      </c>
      <c r="B505" s="22" t="s">
        <v>1541</v>
      </c>
      <c r="C505" s="22" t="s">
        <v>1542</v>
      </c>
      <c r="D505" s="22" t="s">
        <v>9</v>
      </c>
      <c r="E505" s="22" t="s">
        <v>23</v>
      </c>
      <c r="F505" s="22">
        <v>6742.621</v>
      </c>
    </row>
    <row r="506" spans="1:6">
      <c r="A506" s="22" t="s">
        <v>1543</v>
      </c>
      <c r="B506" s="22" t="s">
        <v>1544</v>
      </c>
      <c r="C506" s="22" t="s">
        <v>1545</v>
      </c>
      <c r="D506" s="22" t="s">
        <v>9</v>
      </c>
      <c r="E506" s="22" t="s">
        <v>23</v>
      </c>
      <c r="F506" s="22">
        <v>542.205</v>
      </c>
    </row>
    <row r="507" spans="1:6">
      <c r="A507" s="22" t="s">
        <v>1546</v>
      </c>
      <c r="B507" s="22" t="s">
        <v>1547</v>
      </c>
      <c r="C507" s="22" t="s">
        <v>1548</v>
      </c>
      <c r="D507" s="22" t="s">
        <v>9</v>
      </c>
      <c r="E507" s="22" t="s">
        <v>23</v>
      </c>
      <c r="F507" s="22">
        <v>377.013</v>
      </c>
    </row>
    <row r="508" spans="1:6">
      <c r="A508" s="22" t="s">
        <v>1549</v>
      </c>
      <c r="B508" s="22" t="s">
        <v>1550</v>
      </c>
      <c r="C508" s="22" t="s">
        <v>1551</v>
      </c>
      <c r="D508" s="22" t="s">
        <v>9</v>
      </c>
      <c r="E508" s="22" t="s">
        <v>50</v>
      </c>
      <c r="F508" s="22">
        <v>249.953</v>
      </c>
    </row>
    <row r="509" spans="1:6">
      <c r="A509" s="22" t="s">
        <v>1552</v>
      </c>
      <c r="B509" s="22" t="s">
        <v>1553</v>
      </c>
      <c r="C509" s="22" t="s">
        <v>1554</v>
      </c>
      <c r="D509" s="22" t="s">
        <v>9</v>
      </c>
      <c r="E509" s="22" t="s">
        <v>35</v>
      </c>
      <c r="F509" s="22">
        <v>536.662</v>
      </c>
    </row>
    <row r="510" spans="1:6">
      <c r="A510" s="22" t="s">
        <v>1555</v>
      </c>
      <c r="B510" s="22" t="s">
        <v>1556</v>
      </c>
      <c r="C510" s="22" t="s">
        <v>1557</v>
      </c>
      <c r="D510" s="22" t="s">
        <v>9</v>
      </c>
      <c r="E510" s="22" t="s">
        <v>31</v>
      </c>
      <c r="F510" s="22">
        <v>1208.149</v>
      </c>
    </row>
    <row r="511" spans="1:6">
      <c r="A511" s="22" t="s">
        <v>1558</v>
      </c>
      <c r="B511" s="22" t="s">
        <v>1559</v>
      </c>
      <c r="C511" s="22" t="s">
        <v>1560</v>
      </c>
      <c r="D511" s="22" t="s">
        <v>9</v>
      </c>
      <c r="E511" s="22" t="s">
        <v>44</v>
      </c>
      <c r="F511" s="22">
        <v>18.614</v>
      </c>
    </row>
    <row r="512" spans="1:6">
      <c r="A512" s="22" t="s">
        <v>1561</v>
      </c>
      <c r="B512" s="22" t="s">
        <v>1562</v>
      </c>
      <c r="C512" s="22" t="s">
        <v>1563</v>
      </c>
      <c r="D512" s="22" t="s">
        <v>9</v>
      </c>
      <c r="E512" s="22" t="s">
        <v>23</v>
      </c>
      <c r="F512" s="22">
        <v>384.368</v>
      </c>
    </row>
    <row r="513" spans="1:6">
      <c r="A513" s="22" t="s">
        <v>1564</v>
      </c>
      <c r="B513" s="22" t="s">
        <v>414</v>
      </c>
      <c r="C513" s="22" t="s">
        <v>1565</v>
      </c>
      <c r="D513" s="22" t="s">
        <v>9</v>
      </c>
      <c r="E513" s="22" t="s">
        <v>23</v>
      </c>
      <c r="F513" s="22">
        <v>25.353</v>
      </c>
    </row>
    <row r="514" spans="1:6">
      <c r="A514" s="22" t="s">
        <v>1566</v>
      </c>
      <c r="B514" s="22" t="s">
        <v>1567</v>
      </c>
      <c r="C514" s="22" t="s">
        <v>1568</v>
      </c>
      <c r="D514" s="22" t="s">
        <v>9</v>
      </c>
      <c r="E514" s="22" t="s">
        <v>23</v>
      </c>
      <c r="F514" s="22">
        <v>163.632</v>
      </c>
    </row>
    <row r="515" spans="1:6">
      <c r="A515" s="22" t="s">
        <v>1569</v>
      </c>
      <c r="B515" s="22" t="s">
        <v>1570</v>
      </c>
      <c r="C515" s="22" t="s">
        <v>1571</v>
      </c>
      <c r="D515" s="22" t="s">
        <v>9</v>
      </c>
      <c r="E515" s="22" t="s">
        <v>23</v>
      </c>
      <c r="F515" s="22">
        <v>27.688</v>
      </c>
    </row>
    <row r="516" spans="1:6">
      <c r="A516" s="22" t="s">
        <v>1572</v>
      </c>
      <c r="B516" s="22" t="s">
        <v>1573</v>
      </c>
      <c r="C516" s="22" t="s">
        <v>1574</v>
      </c>
      <c r="D516" s="22" t="s">
        <v>9</v>
      </c>
      <c r="E516" s="22" t="s">
        <v>23</v>
      </c>
      <c r="F516" s="22">
        <v>179.752</v>
      </c>
    </row>
    <row r="517" spans="1:6">
      <c r="A517" s="22" t="s">
        <v>1575</v>
      </c>
      <c r="B517" s="22" t="s">
        <v>1576</v>
      </c>
      <c r="C517" s="22" t="s">
        <v>1577</v>
      </c>
      <c r="D517" s="22" t="s">
        <v>9</v>
      </c>
      <c r="E517" s="22" t="s">
        <v>23</v>
      </c>
      <c r="F517" s="22">
        <v>7258.25</v>
      </c>
    </row>
    <row r="518" spans="1:6">
      <c r="A518" s="22" t="s">
        <v>1578</v>
      </c>
      <c r="B518" s="22" t="s">
        <v>1579</v>
      </c>
      <c r="C518" s="22" t="s">
        <v>1580</v>
      </c>
      <c r="D518" s="22" t="s">
        <v>9</v>
      </c>
      <c r="E518" s="22" t="s">
        <v>23</v>
      </c>
      <c r="F518" s="22">
        <v>10.076</v>
      </c>
    </row>
    <row r="519" spans="1:6">
      <c r="A519" s="22" t="s">
        <v>1581</v>
      </c>
      <c r="B519" s="22" t="s">
        <v>1582</v>
      </c>
      <c r="C519" s="22" t="s">
        <v>1583</v>
      </c>
      <c r="D519" s="22" t="s">
        <v>9</v>
      </c>
      <c r="E519" s="22" t="s">
        <v>27</v>
      </c>
      <c r="F519" s="22">
        <v>1439.932</v>
      </c>
    </row>
    <row r="520" spans="1:6">
      <c r="A520" s="22" t="s">
        <v>1584</v>
      </c>
      <c r="B520" s="22" t="s">
        <v>1585</v>
      </c>
      <c r="C520" s="22" t="s">
        <v>1586</v>
      </c>
      <c r="D520" s="22" t="s">
        <v>9</v>
      </c>
      <c r="E520" s="22" t="s">
        <v>27</v>
      </c>
      <c r="F520" s="22">
        <v>392.671</v>
      </c>
    </row>
    <row r="521" spans="1:6">
      <c r="A521" s="22" t="s">
        <v>1587</v>
      </c>
      <c r="B521" s="22" t="s">
        <v>1588</v>
      </c>
      <c r="C521" s="22" t="s">
        <v>1589</v>
      </c>
      <c r="D521" s="22" t="s">
        <v>9</v>
      </c>
      <c r="E521" s="22" t="s">
        <v>23</v>
      </c>
      <c r="F521" s="22">
        <v>1647.33</v>
      </c>
    </row>
    <row r="522" spans="1:6">
      <c r="A522" s="22" t="s">
        <v>1590</v>
      </c>
      <c r="B522" s="22" t="s">
        <v>1591</v>
      </c>
      <c r="C522" s="22" t="s">
        <v>1592</v>
      </c>
      <c r="D522" s="22" t="s">
        <v>9</v>
      </c>
      <c r="E522" s="22" t="s">
        <v>39</v>
      </c>
      <c r="F522" s="22">
        <v>2234.515</v>
      </c>
    </row>
    <row r="523" spans="1:6">
      <c r="A523" s="22" t="s">
        <v>1593</v>
      </c>
      <c r="B523" s="22" t="s">
        <v>1594</v>
      </c>
      <c r="C523" s="22" t="s">
        <v>1595</v>
      </c>
      <c r="D523" s="22" t="s">
        <v>9</v>
      </c>
      <c r="E523" s="22" t="s">
        <v>31</v>
      </c>
      <c r="F523" s="22">
        <v>16.815</v>
      </c>
    </row>
    <row r="524" spans="1:6">
      <c r="A524" s="22" t="s">
        <v>1596</v>
      </c>
      <c r="B524" s="22" t="s">
        <v>1597</v>
      </c>
      <c r="C524" s="22" t="s">
        <v>1598</v>
      </c>
      <c r="D524" s="22" t="s">
        <v>9</v>
      </c>
      <c r="E524" s="22" t="s">
        <v>27</v>
      </c>
      <c r="F524" s="22">
        <v>952.837</v>
      </c>
    </row>
    <row r="525" spans="1:6">
      <c r="A525" s="22" t="s">
        <v>1599</v>
      </c>
      <c r="B525" s="22" t="s">
        <v>1600</v>
      </c>
      <c r="C525" s="22" t="s">
        <v>1601</v>
      </c>
      <c r="D525" s="22" t="s">
        <v>9</v>
      </c>
      <c r="E525" s="22" t="s">
        <v>23</v>
      </c>
      <c r="F525" s="22">
        <v>65.28</v>
      </c>
    </row>
    <row r="526" spans="1:6">
      <c r="A526" s="22" t="s">
        <v>1602</v>
      </c>
      <c r="B526" s="22" t="s">
        <v>1603</v>
      </c>
      <c r="C526" s="22" t="s">
        <v>1604</v>
      </c>
      <c r="D526" s="22" t="s">
        <v>9</v>
      </c>
      <c r="E526" s="22" t="s">
        <v>39</v>
      </c>
      <c r="F526" s="22">
        <v>395.713</v>
      </c>
    </row>
    <row r="527" spans="1:6">
      <c r="A527" s="22" t="s">
        <v>1605</v>
      </c>
      <c r="B527" s="22" t="s">
        <v>1606</v>
      </c>
      <c r="C527" s="22" t="s">
        <v>1607</v>
      </c>
      <c r="D527" s="22" t="s">
        <v>9</v>
      </c>
      <c r="E527" s="22" t="s">
        <v>23</v>
      </c>
      <c r="F527" s="22">
        <v>29.985</v>
      </c>
    </row>
    <row r="528" spans="1:6">
      <c r="A528" s="22" t="s">
        <v>1608</v>
      </c>
      <c r="B528" s="22" t="s">
        <v>1609</v>
      </c>
      <c r="C528" s="22" t="s">
        <v>1610</v>
      </c>
      <c r="D528" s="22" t="s">
        <v>9</v>
      </c>
      <c r="E528" s="22" t="s">
        <v>50</v>
      </c>
      <c r="F528" s="22">
        <v>10.092</v>
      </c>
    </row>
    <row r="529" spans="1:6">
      <c r="A529" s="22" t="s">
        <v>1611</v>
      </c>
      <c r="B529" s="22" t="s">
        <v>1612</v>
      </c>
      <c r="C529" s="22" t="s">
        <v>1613</v>
      </c>
      <c r="D529" s="22" t="s">
        <v>9</v>
      </c>
      <c r="E529" s="22" t="s">
        <v>35</v>
      </c>
      <c r="F529" s="22">
        <v>15.187</v>
      </c>
    </row>
    <row r="530" spans="1:6">
      <c r="A530" s="22" t="s">
        <v>1614</v>
      </c>
      <c r="B530" s="22" t="s">
        <v>1615</v>
      </c>
      <c r="C530" s="22" t="s">
        <v>1616</v>
      </c>
      <c r="D530" s="22" t="s">
        <v>9</v>
      </c>
      <c r="E530" s="22" t="s">
        <v>23</v>
      </c>
      <c r="F530" s="22">
        <v>236.399</v>
      </c>
    </row>
    <row r="531" spans="1:6">
      <c r="A531" s="22" t="s">
        <v>1617</v>
      </c>
      <c r="B531" s="22" t="s">
        <v>1618</v>
      </c>
      <c r="C531" s="22" t="s">
        <v>1619</v>
      </c>
      <c r="D531" s="22" t="s">
        <v>9</v>
      </c>
      <c r="E531" s="22" t="s">
        <v>31</v>
      </c>
      <c r="F531" s="22">
        <v>2386.829</v>
      </c>
    </row>
    <row r="532" spans="1:6">
      <c r="A532" s="22" t="s">
        <v>1620</v>
      </c>
      <c r="B532" s="22" t="s">
        <v>1621</v>
      </c>
      <c r="C532" s="22" t="s">
        <v>1622</v>
      </c>
      <c r="D532" s="22" t="s">
        <v>9</v>
      </c>
      <c r="E532" s="22" t="s">
        <v>35</v>
      </c>
      <c r="F532" s="22">
        <v>206.487</v>
      </c>
    </row>
    <row r="533" spans="1:6">
      <c r="A533" s="22" t="s">
        <v>1623</v>
      </c>
      <c r="B533" s="22" t="s">
        <v>1624</v>
      </c>
      <c r="C533" s="22" t="s">
        <v>1625</v>
      </c>
      <c r="D533" s="22" t="s">
        <v>9</v>
      </c>
      <c r="E533" s="22" t="s">
        <v>23</v>
      </c>
      <c r="F533" s="22">
        <v>412.345</v>
      </c>
    </row>
    <row r="534" spans="1:6">
      <c r="A534" s="22" t="s">
        <v>1626</v>
      </c>
      <c r="B534" s="22" t="s">
        <v>1627</v>
      </c>
      <c r="C534" s="22" t="s">
        <v>1628</v>
      </c>
      <c r="D534" s="22" t="s">
        <v>9</v>
      </c>
      <c r="E534" s="22" t="s">
        <v>23</v>
      </c>
      <c r="F534" s="22">
        <v>11.136</v>
      </c>
    </row>
    <row r="535" spans="1:6">
      <c r="A535" s="22" t="s">
        <v>1629</v>
      </c>
      <c r="B535" s="22" t="s">
        <v>1630</v>
      </c>
      <c r="C535" s="22" t="s">
        <v>1631</v>
      </c>
      <c r="D535" s="22" t="s">
        <v>9</v>
      </c>
      <c r="E535" s="22" t="s">
        <v>27</v>
      </c>
      <c r="F535" s="22">
        <v>112.214</v>
      </c>
    </row>
    <row r="536" spans="1:6">
      <c r="A536" s="22" t="s">
        <v>1632</v>
      </c>
      <c r="B536" s="22" t="s">
        <v>1633</v>
      </c>
      <c r="C536" s="22" t="s">
        <v>1634</v>
      </c>
      <c r="D536" s="22" t="s">
        <v>9</v>
      </c>
      <c r="E536" s="22" t="s">
        <v>35</v>
      </c>
      <c r="F536" s="22">
        <v>4.122</v>
      </c>
    </row>
    <row r="537" spans="1:6">
      <c r="A537" s="22" t="s">
        <v>1635</v>
      </c>
      <c r="B537" s="22" t="s">
        <v>1636</v>
      </c>
      <c r="C537" s="22" t="s">
        <v>1637</v>
      </c>
      <c r="D537" s="22" t="s">
        <v>9</v>
      </c>
      <c r="E537" s="22" t="s">
        <v>23</v>
      </c>
      <c r="F537" s="22">
        <v>16384.295</v>
      </c>
    </row>
    <row r="538" spans="1:6">
      <c r="A538" s="22" t="s">
        <v>1638</v>
      </c>
      <c r="B538" s="22" t="s">
        <v>1639</v>
      </c>
      <c r="C538" s="22" t="s">
        <v>1640</v>
      </c>
      <c r="D538" s="22" t="s">
        <v>9</v>
      </c>
      <c r="E538" s="22" t="s">
        <v>35</v>
      </c>
      <c r="F538" s="22">
        <v>32.809</v>
      </c>
    </row>
    <row r="539" spans="1:6">
      <c r="A539" s="22" t="s">
        <v>1641</v>
      </c>
      <c r="B539" s="22" t="s">
        <v>1642</v>
      </c>
      <c r="C539" s="22" t="s">
        <v>1643</v>
      </c>
      <c r="D539" s="22" t="s">
        <v>9</v>
      </c>
      <c r="E539" s="22" t="s">
        <v>35</v>
      </c>
      <c r="F539" s="22">
        <v>3247.954</v>
      </c>
    </row>
    <row r="540" spans="1:6">
      <c r="A540" s="22" t="s">
        <v>1644</v>
      </c>
      <c r="B540" s="22" t="s">
        <v>1645</v>
      </c>
      <c r="C540" s="22" t="s">
        <v>1646</v>
      </c>
      <c r="D540" s="22" t="s">
        <v>9</v>
      </c>
      <c r="E540" s="22" t="s">
        <v>35</v>
      </c>
      <c r="F540" s="22">
        <v>166.048</v>
      </c>
    </row>
    <row r="541" spans="1:6">
      <c r="A541" s="22" t="s">
        <v>1647</v>
      </c>
      <c r="B541" s="22" t="s">
        <v>1648</v>
      </c>
      <c r="C541" s="22" t="s">
        <v>1649</v>
      </c>
      <c r="D541" s="22" t="s">
        <v>9</v>
      </c>
      <c r="E541" s="22" t="s">
        <v>93</v>
      </c>
    </row>
    <row r="542" spans="1:6">
      <c r="A542" s="22" t="s">
        <v>1650</v>
      </c>
      <c r="B542" s="22" t="s">
        <v>1559</v>
      </c>
      <c r="C542" s="22" t="s">
        <v>1651</v>
      </c>
      <c r="D542" s="22" t="s">
        <v>9</v>
      </c>
      <c r="E542" s="22" t="s">
        <v>44</v>
      </c>
      <c r="F542" s="22">
        <v>139.964</v>
      </c>
    </row>
    <row r="543" spans="1:6">
      <c r="A543" s="22" t="s">
        <v>1652</v>
      </c>
      <c r="B543" s="22" t="s">
        <v>1653</v>
      </c>
      <c r="C543" s="22" t="s">
        <v>1654</v>
      </c>
      <c r="D543" s="22" t="s">
        <v>9</v>
      </c>
      <c r="E543" s="22" t="s">
        <v>31</v>
      </c>
      <c r="F543" s="22">
        <v>567.558</v>
      </c>
    </row>
    <row r="544" spans="1:6">
      <c r="A544" s="22" t="s">
        <v>1655</v>
      </c>
      <c r="B544" s="22" t="s">
        <v>1656</v>
      </c>
      <c r="C544" s="22" t="s">
        <v>1657</v>
      </c>
      <c r="D544" s="22" t="s">
        <v>9</v>
      </c>
      <c r="E544" s="22" t="s">
        <v>35</v>
      </c>
      <c r="F544" s="22">
        <v>2292.17</v>
      </c>
    </row>
    <row r="545" spans="1:6">
      <c r="A545" s="22" t="s">
        <v>1658</v>
      </c>
      <c r="B545" s="22" t="s">
        <v>1659</v>
      </c>
      <c r="C545" s="22" t="s">
        <v>1660</v>
      </c>
      <c r="D545" s="22" t="s">
        <v>9</v>
      </c>
      <c r="E545" s="22" t="s">
        <v>27</v>
      </c>
      <c r="F545" s="22">
        <v>2142.69</v>
      </c>
    </row>
    <row r="546" spans="1:6">
      <c r="A546" s="22" t="s">
        <v>1661</v>
      </c>
      <c r="B546" s="22" t="s">
        <v>1662</v>
      </c>
      <c r="C546" s="22" t="s">
        <v>1663</v>
      </c>
      <c r="D546" s="22" t="s">
        <v>9</v>
      </c>
      <c r="E546" s="22" t="s">
        <v>14</v>
      </c>
      <c r="F546" s="22">
        <v>3.734</v>
      </c>
    </row>
    <row r="547" spans="1:6">
      <c r="A547" s="22" t="s">
        <v>1664</v>
      </c>
      <c r="B547" s="22" t="s">
        <v>1665</v>
      </c>
      <c r="C547" s="22" t="s">
        <v>1666</v>
      </c>
      <c r="D547" s="22" t="s">
        <v>9</v>
      </c>
      <c r="E547" s="22" t="s">
        <v>35</v>
      </c>
      <c r="F547" s="22">
        <v>245.434</v>
      </c>
    </row>
    <row r="548" spans="1:6">
      <c r="A548" s="22" t="s">
        <v>1667</v>
      </c>
      <c r="B548" s="22" t="s">
        <v>1668</v>
      </c>
      <c r="C548" s="22" t="s">
        <v>1669</v>
      </c>
      <c r="D548" s="22" t="s">
        <v>9</v>
      </c>
      <c r="E548" s="22" t="s">
        <v>23</v>
      </c>
      <c r="F548" s="22">
        <v>143.107</v>
      </c>
    </row>
    <row r="549" spans="1:6">
      <c r="A549" s="22" t="s">
        <v>1670</v>
      </c>
      <c r="B549" s="22" t="s">
        <v>1671</v>
      </c>
      <c r="C549" s="22" t="s">
        <v>1672</v>
      </c>
      <c r="D549" s="22" t="s">
        <v>9</v>
      </c>
      <c r="E549" s="22" t="s">
        <v>35</v>
      </c>
      <c r="F549" s="22">
        <v>395.032</v>
      </c>
    </row>
    <row r="550" spans="1:6">
      <c r="A550" s="22" t="s">
        <v>1673</v>
      </c>
      <c r="B550" s="22" t="s">
        <v>1674</v>
      </c>
      <c r="C550" s="22" t="s">
        <v>1675</v>
      </c>
      <c r="D550" s="22" t="s">
        <v>9</v>
      </c>
      <c r="E550" s="22" t="s">
        <v>23</v>
      </c>
      <c r="F550" s="22">
        <v>37.901</v>
      </c>
    </row>
    <row r="551" spans="1:6">
      <c r="A551" s="22" t="s">
        <v>1676</v>
      </c>
      <c r="B551" s="22" t="s">
        <v>1677</v>
      </c>
      <c r="C551" s="22" t="s">
        <v>1678</v>
      </c>
      <c r="D551" s="22" t="s">
        <v>9</v>
      </c>
      <c r="E551" s="22" t="s">
        <v>35</v>
      </c>
      <c r="F551" s="22">
        <v>5049.849</v>
      </c>
    </row>
    <row r="552" spans="1:6">
      <c r="A552" s="22" t="s">
        <v>1679</v>
      </c>
      <c r="B552" s="22" t="s">
        <v>1680</v>
      </c>
      <c r="C552" s="22" t="s">
        <v>1681</v>
      </c>
      <c r="D552" s="22" t="s">
        <v>9</v>
      </c>
      <c r="E552" s="22" t="s">
        <v>27</v>
      </c>
      <c r="F552" s="22">
        <v>1417.98</v>
      </c>
    </row>
    <row r="553" spans="1:6">
      <c r="A553" s="22" t="s">
        <v>1682</v>
      </c>
      <c r="B553" s="22" t="s">
        <v>1683</v>
      </c>
      <c r="C553" s="22" t="s">
        <v>1684</v>
      </c>
      <c r="D553" s="22" t="s">
        <v>9</v>
      </c>
      <c r="E553" s="22" t="s">
        <v>23</v>
      </c>
      <c r="F553" s="22">
        <v>134.97</v>
      </c>
    </row>
    <row r="554" spans="1:6">
      <c r="A554" s="22" t="s">
        <v>1685</v>
      </c>
      <c r="B554" s="22" t="s">
        <v>414</v>
      </c>
      <c r="C554" s="22" t="s">
        <v>1686</v>
      </c>
      <c r="D554" s="22" t="s">
        <v>9</v>
      </c>
      <c r="E554" s="22" t="s">
        <v>23</v>
      </c>
      <c r="F554" s="22">
        <v>22.173</v>
      </c>
    </row>
    <row r="555" spans="1:6">
      <c r="A555" s="22" t="s">
        <v>1687</v>
      </c>
      <c r="B555" s="22" t="s">
        <v>1688</v>
      </c>
      <c r="C555" s="22" t="s">
        <v>1689</v>
      </c>
      <c r="D555" s="22" t="s">
        <v>9</v>
      </c>
      <c r="E555" s="22" t="s">
        <v>23</v>
      </c>
      <c r="F555" s="22">
        <v>225.83</v>
      </c>
    </row>
    <row r="556" spans="1:6">
      <c r="A556" s="22" t="s">
        <v>1690</v>
      </c>
      <c r="B556" s="22" t="s">
        <v>1691</v>
      </c>
      <c r="C556" s="22" t="s">
        <v>1692</v>
      </c>
      <c r="D556" s="22" t="s">
        <v>9</v>
      </c>
      <c r="E556" s="22" t="s">
        <v>27</v>
      </c>
      <c r="F556" s="22">
        <v>209.627</v>
      </c>
    </row>
    <row r="557" spans="1:6">
      <c r="A557" s="22" t="s">
        <v>1693</v>
      </c>
      <c r="B557" s="22" t="s">
        <v>1694</v>
      </c>
      <c r="C557" s="22" t="s">
        <v>1695</v>
      </c>
      <c r="D557" s="22" t="s">
        <v>9</v>
      </c>
      <c r="E557" s="22" t="s">
        <v>23</v>
      </c>
      <c r="F557" s="22">
        <v>1182.254</v>
      </c>
    </row>
    <row r="558" spans="1:6">
      <c r="A558" s="22" t="s">
        <v>1696</v>
      </c>
      <c r="B558" s="22" t="s">
        <v>1697</v>
      </c>
      <c r="C558" s="22" t="s">
        <v>1698</v>
      </c>
      <c r="D558" s="22" t="s">
        <v>9</v>
      </c>
      <c r="E558" s="22" t="s">
        <v>31</v>
      </c>
      <c r="F558" s="22">
        <v>5713.238</v>
      </c>
    </row>
    <row r="559" spans="1:6">
      <c r="A559" s="22" t="s">
        <v>1699</v>
      </c>
      <c r="B559" s="22" t="s">
        <v>1700</v>
      </c>
      <c r="C559" s="22" t="s">
        <v>1701</v>
      </c>
      <c r="D559" s="22" t="s">
        <v>9</v>
      </c>
      <c r="E559" s="22" t="s">
        <v>35</v>
      </c>
      <c r="F559" s="22">
        <v>368.606</v>
      </c>
    </row>
    <row r="560" spans="1:6">
      <c r="A560" s="22" t="s">
        <v>1702</v>
      </c>
      <c r="B560" s="22" t="s">
        <v>1703</v>
      </c>
      <c r="C560" s="22" t="s">
        <v>1704</v>
      </c>
      <c r="D560" s="22" t="s">
        <v>9</v>
      </c>
      <c r="E560" s="22" t="s">
        <v>23</v>
      </c>
      <c r="F560" s="22">
        <v>317.883</v>
      </c>
    </row>
    <row r="561" spans="1:6">
      <c r="A561" s="22" t="s">
        <v>1705</v>
      </c>
      <c r="B561" s="22" t="s">
        <v>1706</v>
      </c>
      <c r="C561" s="22" t="s">
        <v>1707</v>
      </c>
      <c r="D561" s="22" t="s">
        <v>9</v>
      </c>
      <c r="E561" s="22" t="s">
        <v>27</v>
      </c>
      <c r="F561" s="22">
        <v>705.559</v>
      </c>
    </row>
    <row r="562" spans="1:6">
      <c r="A562" s="22" t="s">
        <v>1708</v>
      </c>
      <c r="B562" s="22" t="s">
        <v>1709</v>
      </c>
      <c r="C562" s="22" t="s">
        <v>1710</v>
      </c>
      <c r="D562" s="22" t="s">
        <v>9</v>
      </c>
      <c r="E562" s="22" t="s">
        <v>57</v>
      </c>
      <c r="F562" s="22">
        <v>5.312</v>
      </c>
    </row>
    <row r="563" spans="1:6">
      <c r="A563" s="22" t="s">
        <v>1711</v>
      </c>
      <c r="B563" s="22" t="s">
        <v>1712</v>
      </c>
      <c r="C563" s="22" t="s">
        <v>1713</v>
      </c>
      <c r="D563" s="22" t="s">
        <v>9</v>
      </c>
      <c r="E563" s="22" t="s">
        <v>35</v>
      </c>
      <c r="F563" s="22">
        <v>9053.107</v>
      </c>
    </row>
    <row r="564" spans="1:6">
      <c r="A564" s="22" t="s">
        <v>1714</v>
      </c>
      <c r="B564" s="22" t="s">
        <v>1715</v>
      </c>
      <c r="C564" s="22" t="s">
        <v>1716</v>
      </c>
      <c r="D564" s="22" t="s">
        <v>9</v>
      </c>
      <c r="E564" s="22" t="s">
        <v>23</v>
      </c>
      <c r="F564" s="22">
        <v>823.165</v>
      </c>
    </row>
    <row r="565" spans="1:6">
      <c r="A565" s="22" t="s">
        <v>1717</v>
      </c>
      <c r="B565" s="22" t="s">
        <v>1718</v>
      </c>
      <c r="C565" s="22" t="s">
        <v>1719</v>
      </c>
      <c r="D565" s="22" t="s">
        <v>9</v>
      </c>
      <c r="E565" s="22" t="s">
        <v>57</v>
      </c>
      <c r="F565" s="22">
        <v>78.901</v>
      </c>
    </row>
    <row r="566" spans="1:6">
      <c r="A566" s="22" t="s">
        <v>1720</v>
      </c>
      <c r="B566" s="22" t="s">
        <v>1721</v>
      </c>
      <c r="C566" s="22" t="s">
        <v>1722</v>
      </c>
      <c r="D566" s="22" t="s">
        <v>9</v>
      </c>
      <c r="E566" s="22" t="s">
        <v>50</v>
      </c>
      <c r="F566" s="22">
        <v>2.503</v>
      </c>
    </row>
    <row r="567" spans="1:6">
      <c r="A567" s="22" t="s">
        <v>1723</v>
      </c>
      <c r="B567" s="22" t="s">
        <v>1724</v>
      </c>
      <c r="C567" s="22" t="s">
        <v>1725</v>
      </c>
      <c r="D567" s="22" t="s">
        <v>9</v>
      </c>
      <c r="E567" s="22" t="s">
        <v>23</v>
      </c>
      <c r="F567" s="22">
        <v>3933.665</v>
      </c>
    </row>
    <row r="568" spans="1:6">
      <c r="A568" s="22" t="s">
        <v>1726</v>
      </c>
      <c r="B568" s="22" t="s">
        <v>1727</v>
      </c>
      <c r="C568" s="22" t="s">
        <v>1728</v>
      </c>
      <c r="D568" s="22" t="s">
        <v>9</v>
      </c>
      <c r="E568" s="22" t="s">
        <v>31</v>
      </c>
      <c r="F568" s="22">
        <v>1409.826</v>
      </c>
    </row>
    <row r="569" spans="1:6">
      <c r="A569" s="22" t="s">
        <v>1729</v>
      </c>
      <c r="B569" s="22" t="s">
        <v>1730</v>
      </c>
      <c r="C569" s="22" t="s">
        <v>1731</v>
      </c>
      <c r="D569" s="22" t="s">
        <v>9</v>
      </c>
      <c r="E569" s="22" t="s">
        <v>31</v>
      </c>
      <c r="F569" s="22">
        <v>12.087</v>
      </c>
    </row>
    <row r="570" spans="1:6">
      <c r="A570" s="22" t="s">
        <v>1732</v>
      </c>
      <c r="B570" s="22" t="s">
        <v>1733</v>
      </c>
      <c r="C570" s="22" t="s">
        <v>1734</v>
      </c>
      <c r="D570" s="22" t="s">
        <v>9</v>
      </c>
      <c r="E570" s="22" t="s">
        <v>23</v>
      </c>
      <c r="F570" s="22">
        <v>512.926</v>
      </c>
    </row>
    <row r="571" spans="1:6">
      <c r="A571" s="22" t="s">
        <v>1735</v>
      </c>
      <c r="B571" s="22" t="s">
        <v>1736</v>
      </c>
      <c r="C571" s="22" t="s">
        <v>1737</v>
      </c>
      <c r="D571" s="22" t="s">
        <v>9</v>
      </c>
      <c r="E571" s="22" t="s">
        <v>23</v>
      </c>
      <c r="F571" s="22">
        <v>6059.934</v>
      </c>
    </row>
    <row r="572" spans="1:6">
      <c r="A572" s="22" t="s">
        <v>1738</v>
      </c>
      <c r="B572" s="22" t="s">
        <v>1739</v>
      </c>
      <c r="C572" s="22" t="s">
        <v>1740</v>
      </c>
      <c r="D572" s="22" t="s">
        <v>9</v>
      </c>
      <c r="E572" s="22" t="s">
        <v>35</v>
      </c>
      <c r="F572" s="22">
        <v>74.564</v>
      </c>
    </row>
    <row r="573" spans="1:6">
      <c r="A573" s="22" t="s">
        <v>1741</v>
      </c>
      <c r="B573" s="22" t="s">
        <v>1742</v>
      </c>
      <c r="C573" s="22" t="s">
        <v>1743</v>
      </c>
      <c r="D573" s="22" t="s">
        <v>9</v>
      </c>
      <c r="E573" s="22" t="s">
        <v>23</v>
      </c>
      <c r="F573" s="22">
        <v>31.374</v>
      </c>
    </row>
    <row r="574" spans="1:6">
      <c r="A574" s="22" t="s">
        <v>1744</v>
      </c>
      <c r="B574" s="22" t="s">
        <v>1745</v>
      </c>
      <c r="C574" s="22" t="s">
        <v>1746</v>
      </c>
      <c r="D574" s="22" t="s">
        <v>9</v>
      </c>
      <c r="E574" s="22" t="s">
        <v>23</v>
      </c>
      <c r="F574" s="22">
        <v>501.833</v>
      </c>
    </row>
    <row r="575" spans="1:6">
      <c r="A575" s="22" t="s">
        <v>1747</v>
      </c>
      <c r="B575" s="22" t="s">
        <v>1748</v>
      </c>
      <c r="C575" s="22" t="s">
        <v>1749</v>
      </c>
      <c r="D575" s="22" t="s">
        <v>9</v>
      </c>
      <c r="E575" s="22" t="s">
        <v>27</v>
      </c>
      <c r="F575" s="22">
        <v>2199.06</v>
      </c>
    </row>
    <row r="576" spans="1:6">
      <c r="A576" s="22" t="s">
        <v>1750</v>
      </c>
      <c r="B576" s="22" t="s">
        <v>1751</v>
      </c>
      <c r="C576" s="22" t="s">
        <v>1752</v>
      </c>
      <c r="D576" s="22" t="s">
        <v>9</v>
      </c>
      <c r="E576" s="22" t="s">
        <v>31</v>
      </c>
      <c r="F576" s="22">
        <v>40.198</v>
      </c>
    </row>
    <row r="577" spans="1:6">
      <c r="A577" s="22" t="s">
        <v>1753</v>
      </c>
      <c r="B577" s="22" t="s">
        <v>1754</v>
      </c>
      <c r="C577" s="22" t="s">
        <v>1755</v>
      </c>
      <c r="D577" s="22" t="s">
        <v>9</v>
      </c>
      <c r="E577" s="22" t="s">
        <v>27</v>
      </c>
      <c r="F577" s="22">
        <v>3061.43</v>
      </c>
    </row>
    <row r="578" spans="1:6">
      <c r="A578" s="22" t="s">
        <v>1756</v>
      </c>
      <c r="B578" s="22" t="s">
        <v>1757</v>
      </c>
      <c r="C578" s="22" t="s">
        <v>1758</v>
      </c>
      <c r="D578" s="22" t="s">
        <v>9</v>
      </c>
      <c r="E578" s="22" t="s">
        <v>31</v>
      </c>
      <c r="F578" s="22">
        <v>847.225</v>
      </c>
    </row>
    <row r="579" spans="1:6">
      <c r="A579" s="22" t="s">
        <v>1759</v>
      </c>
      <c r="B579" s="22" t="s">
        <v>1760</v>
      </c>
      <c r="C579" s="22" t="s">
        <v>1761</v>
      </c>
      <c r="D579" s="22" t="s">
        <v>9</v>
      </c>
      <c r="E579" s="22" t="s">
        <v>44</v>
      </c>
      <c r="F579" s="22">
        <v>235.446</v>
      </c>
    </row>
    <row r="580" spans="1:6">
      <c r="A580" s="22" t="s">
        <v>1762</v>
      </c>
      <c r="B580" s="22" t="s">
        <v>1763</v>
      </c>
      <c r="C580" s="22" t="s">
        <v>1764</v>
      </c>
      <c r="D580" s="22" t="s">
        <v>9</v>
      </c>
      <c r="E580" s="22" t="s">
        <v>23</v>
      </c>
      <c r="F580" s="22">
        <v>83.909</v>
      </c>
    </row>
    <row r="581" spans="1:6">
      <c r="A581" s="22" t="s">
        <v>1765</v>
      </c>
      <c r="B581" s="22" t="s">
        <v>1766</v>
      </c>
      <c r="C581" s="22" t="s">
        <v>1767</v>
      </c>
      <c r="D581" s="22" t="s">
        <v>9</v>
      </c>
      <c r="E581" s="22" t="s">
        <v>23</v>
      </c>
      <c r="F581" s="22">
        <v>1149.887</v>
      </c>
    </row>
    <row r="582" spans="1:6">
      <c r="A582" s="22" t="s">
        <v>1768</v>
      </c>
      <c r="B582" s="22" t="s">
        <v>1769</v>
      </c>
      <c r="C582" s="22" t="s">
        <v>1770</v>
      </c>
      <c r="D582" s="22" t="s">
        <v>9</v>
      </c>
      <c r="E582" s="22" t="s">
        <v>31</v>
      </c>
      <c r="F582" s="22">
        <v>159.434</v>
      </c>
    </row>
    <row r="583" spans="1:6">
      <c r="A583" s="22" t="s">
        <v>1771</v>
      </c>
      <c r="B583" s="22" t="s">
        <v>1772</v>
      </c>
      <c r="C583" s="22" t="s">
        <v>1773</v>
      </c>
      <c r="D583" s="22" t="s">
        <v>9</v>
      </c>
      <c r="E583" s="22" t="s">
        <v>23</v>
      </c>
      <c r="F583" s="22">
        <v>18.488</v>
      </c>
    </row>
    <row r="584" spans="1:6">
      <c r="A584" s="22" t="s">
        <v>1774</v>
      </c>
      <c r="B584" s="22" t="s">
        <v>1775</v>
      </c>
      <c r="C584" s="22" t="s">
        <v>1776</v>
      </c>
      <c r="D584" s="22" t="s">
        <v>9</v>
      </c>
      <c r="E584" s="22" t="s">
        <v>27</v>
      </c>
      <c r="F584" s="22">
        <v>24.5</v>
      </c>
    </row>
    <row r="585" spans="1:6">
      <c r="A585" s="22" t="s">
        <v>1777</v>
      </c>
      <c r="B585" s="22" t="s">
        <v>1778</v>
      </c>
      <c r="C585" s="22" t="s">
        <v>1779</v>
      </c>
      <c r="D585" s="22" t="s">
        <v>9</v>
      </c>
      <c r="E585" s="22" t="s">
        <v>23</v>
      </c>
      <c r="F585" s="22">
        <v>51.45</v>
      </c>
    </row>
    <row r="586" spans="1:6">
      <c r="A586" s="22" t="s">
        <v>1780</v>
      </c>
      <c r="B586" s="22" t="s">
        <v>1781</v>
      </c>
      <c r="C586" s="22" t="s">
        <v>1782</v>
      </c>
      <c r="D586" s="22" t="s">
        <v>9</v>
      </c>
      <c r="E586" s="22" t="s">
        <v>23</v>
      </c>
      <c r="F586" s="22">
        <v>23.826</v>
      </c>
    </row>
    <row r="587" spans="1:6">
      <c r="A587" s="22" t="s">
        <v>1783</v>
      </c>
      <c r="B587" s="22" t="s">
        <v>1784</v>
      </c>
      <c r="C587" s="22" t="s">
        <v>1785</v>
      </c>
      <c r="D587" s="22" t="s">
        <v>9</v>
      </c>
      <c r="E587" s="22" t="s">
        <v>27</v>
      </c>
      <c r="F587" s="22">
        <v>759.731</v>
      </c>
    </row>
    <row r="588" spans="1:6">
      <c r="A588" s="22" t="s">
        <v>1786</v>
      </c>
      <c r="B588" s="22" t="s">
        <v>1787</v>
      </c>
      <c r="C588" s="22" t="s">
        <v>1788</v>
      </c>
      <c r="D588" s="22" t="s">
        <v>9</v>
      </c>
      <c r="E588" s="22" t="s">
        <v>23</v>
      </c>
      <c r="F588" s="22">
        <v>276.434</v>
      </c>
    </row>
    <row r="589" spans="1:6">
      <c r="A589" s="22" t="s">
        <v>1789</v>
      </c>
      <c r="B589" s="22" t="s">
        <v>1790</v>
      </c>
      <c r="C589" s="22" t="s">
        <v>1791</v>
      </c>
      <c r="D589" s="22" t="s">
        <v>9</v>
      </c>
      <c r="E589" s="22" t="s">
        <v>23</v>
      </c>
      <c r="F589" s="22">
        <v>219.725</v>
      </c>
    </row>
    <row r="590" spans="1:6">
      <c r="A590" s="22" t="s">
        <v>1792</v>
      </c>
      <c r="B590" s="22" t="s">
        <v>1793</v>
      </c>
      <c r="C590" s="22" t="s">
        <v>1794</v>
      </c>
      <c r="D590" s="22" t="s">
        <v>9</v>
      </c>
      <c r="E590" s="22" t="s">
        <v>31</v>
      </c>
      <c r="F590" s="22">
        <v>1191.841</v>
      </c>
    </row>
    <row r="591" spans="1:6">
      <c r="A591" s="22" t="s">
        <v>1795</v>
      </c>
      <c r="B591" s="22" t="s">
        <v>1796</v>
      </c>
      <c r="C591" s="22" t="s">
        <v>1797</v>
      </c>
      <c r="D591" s="22" t="s">
        <v>9</v>
      </c>
      <c r="E591" s="22" t="s">
        <v>27</v>
      </c>
      <c r="F591" s="22">
        <v>1516.431</v>
      </c>
    </row>
    <row r="592" spans="1:6">
      <c r="A592" s="22" t="s">
        <v>1798</v>
      </c>
      <c r="B592" s="22" t="s">
        <v>1799</v>
      </c>
      <c r="C592" s="22" t="s">
        <v>1800</v>
      </c>
      <c r="D592" s="22" t="s">
        <v>9</v>
      </c>
      <c r="E592" s="22" t="s">
        <v>23</v>
      </c>
      <c r="F592" s="22">
        <v>205.243</v>
      </c>
    </row>
    <row r="593" spans="1:6">
      <c r="A593" s="22" t="s">
        <v>1801</v>
      </c>
      <c r="B593" s="22" t="s">
        <v>1802</v>
      </c>
      <c r="C593" s="22" t="s">
        <v>1803</v>
      </c>
      <c r="D593" s="22" t="s">
        <v>9</v>
      </c>
      <c r="E593" s="22" t="s">
        <v>23</v>
      </c>
      <c r="F593" s="22">
        <v>129.159</v>
      </c>
    </row>
    <row r="594" spans="1:6">
      <c r="A594" s="22" t="s">
        <v>1804</v>
      </c>
      <c r="B594" s="22" t="s">
        <v>1805</v>
      </c>
      <c r="C594" s="22" t="s">
        <v>1806</v>
      </c>
      <c r="D594" s="22" t="s">
        <v>9</v>
      </c>
      <c r="E594" s="22" t="s">
        <v>23</v>
      </c>
      <c r="F594" s="22">
        <v>471.908</v>
      </c>
    </row>
    <row r="595" spans="1:6">
      <c r="A595" s="22" t="s">
        <v>1807</v>
      </c>
      <c r="B595" s="22" t="s">
        <v>1323</v>
      </c>
      <c r="C595" s="22" t="s">
        <v>1808</v>
      </c>
      <c r="D595" s="22" t="s">
        <v>9</v>
      </c>
      <c r="E595" s="22" t="s">
        <v>27</v>
      </c>
      <c r="F595" s="22">
        <v>979.368</v>
      </c>
    </row>
    <row r="596" spans="1:6">
      <c r="A596" s="22" t="s">
        <v>1809</v>
      </c>
      <c r="B596" s="22" t="s">
        <v>1810</v>
      </c>
      <c r="C596" s="22" t="s">
        <v>1811</v>
      </c>
      <c r="D596" s="22" t="s">
        <v>9</v>
      </c>
      <c r="E596" s="22" t="s">
        <v>23</v>
      </c>
      <c r="F596" s="22">
        <v>10.042</v>
      </c>
    </row>
    <row r="597" spans="1:6">
      <c r="A597" s="22" t="s">
        <v>1812</v>
      </c>
      <c r="B597" s="22" t="s">
        <v>759</v>
      </c>
      <c r="C597" s="22" t="s">
        <v>1813</v>
      </c>
      <c r="D597" s="22" t="s">
        <v>9</v>
      </c>
      <c r="E597" s="22" t="s">
        <v>31</v>
      </c>
      <c r="F597" s="22">
        <v>224.011</v>
      </c>
    </row>
    <row r="598" spans="1:6">
      <c r="A598" s="22" t="s">
        <v>1814</v>
      </c>
      <c r="B598" s="22" t="s">
        <v>1815</v>
      </c>
      <c r="C598" s="22" t="s">
        <v>1816</v>
      </c>
      <c r="D598" s="22" t="s">
        <v>9</v>
      </c>
      <c r="E598" s="22" t="s">
        <v>23</v>
      </c>
      <c r="F598" s="22">
        <v>7.938</v>
      </c>
    </row>
    <row r="599" spans="1:6">
      <c r="A599" s="22" t="s">
        <v>1817</v>
      </c>
      <c r="B599" s="22" t="s">
        <v>1818</v>
      </c>
      <c r="C599" s="22" t="s">
        <v>1819</v>
      </c>
      <c r="D599" s="22" t="s">
        <v>9</v>
      </c>
      <c r="E599" s="22" t="s">
        <v>23</v>
      </c>
      <c r="F599" s="22">
        <v>200.246</v>
      </c>
    </row>
    <row r="600" spans="1:6">
      <c r="A600" s="22" t="s">
        <v>1820</v>
      </c>
      <c r="B600" s="22" t="s">
        <v>1821</v>
      </c>
      <c r="C600" s="22" t="s">
        <v>1822</v>
      </c>
      <c r="D600" s="22" t="s">
        <v>9</v>
      </c>
      <c r="E600" s="22" t="s">
        <v>35</v>
      </c>
      <c r="F600" s="22">
        <v>116.136</v>
      </c>
    </row>
    <row r="601" spans="1:6">
      <c r="A601" s="22" t="s">
        <v>1823</v>
      </c>
      <c r="B601" s="22" t="s">
        <v>1824</v>
      </c>
      <c r="C601" s="22" t="s">
        <v>1825</v>
      </c>
      <c r="D601" s="22" t="s">
        <v>9</v>
      </c>
      <c r="E601" s="22" t="s">
        <v>35</v>
      </c>
      <c r="F601" s="22">
        <v>20.649</v>
      </c>
    </row>
    <row r="602" spans="1:6">
      <c r="A602" s="22" t="s">
        <v>1826</v>
      </c>
      <c r="B602" s="22" t="s">
        <v>1827</v>
      </c>
      <c r="C602" s="22" t="s">
        <v>1828</v>
      </c>
      <c r="D602" s="22" t="s">
        <v>9</v>
      </c>
      <c r="E602" s="22" t="s">
        <v>23</v>
      </c>
      <c r="F602" s="22">
        <v>141.954</v>
      </c>
    </row>
    <row r="603" spans="1:6">
      <c r="A603" s="22" t="s">
        <v>1829</v>
      </c>
      <c r="B603" s="22" t="s">
        <v>1830</v>
      </c>
      <c r="C603" s="22" t="s">
        <v>1831</v>
      </c>
      <c r="D603" s="22" t="s">
        <v>9</v>
      </c>
      <c r="E603" s="22" t="s">
        <v>23</v>
      </c>
      <c r="F603" s="22">
        <v>194.31</v>
      </c>
    </row>
    <row r="604" spans="1:6">
      <c r="A604" s="22" t="s">
        <v>1832</v>
      </c>
      <c r="B604" s="22" t="s">
        <v>456</v>
      </c>
      <c r="C604" s="22" t="s">
        <v>1833</v>
      </c>
      <c r="D604" s="22" t="s">
        <v>9</v>
      </c>
      <c r="E604" s="22" t="s">
        <v>27</v>
      </c>
      <c r="F604" s="22">
        <v>251.48</v>
      </c>
    </row>
    <row r="605" spans="1:6">
      <c r="A605" s="22" t="s">
        <v>1834</v>
      </c>
      <c r="B605" s="22" t="s">
        <v>1835</v>
      </c>
      <c r="C605" s="22" t="s">
        <v>1836</v>
      </c>
      <c r="D605" s="22" t="s">
        <v>9</v>
      </c>
      <c r="E605" s="22" t="s">
        <v>35</v>
      </c>
      <c r="F605" s="22">
        <v>43.243</v>
      </c>
    </row>
    <row r="606" spans="1:6">
      <c r="A606" s="22" t="s">
        <v>1837</v>
      </c>
      <c r="B606" s="22" t="s">
        <v>1838</v>
      </c>
      <c r="C606" s="22" t="s">
        <v>1839</v>
      </c>
      <c r="D606" s="22" t="s">
        <v>9</v>
      </c>
      <c r="E606" s="22" t="s">
        <v>23</v>
      </c>
      <c r="F606" s="22">
        <v>186.039</v>
      </c>
    </row>
    <row r="607" spans="1:6">
      <c r="A607" s="22" t="s">
        <v>1840</v>
      </c>
      <c r="B607" s="22" t="s">
        <v>1841</v>
      </c>
      <c r="C607" s="22" t="s">
        <v>1842</v>
      </c>
      <c r="D607" s="22" t="s">
        <v>9</v>
      </c>
      <c r="E607" s="22" t="s">
        <v>27</v>
      </c>
      <c r="F607" s="22">
        <v>327.973</v>
      </c>
    </row>
    <row r="608" spans="1:6">
      <c r="A608" s="22" t="s">
        <v>1843</v>
      </c>
      <c r="B608" s="22" t="s">
        <v>1844</v>
      </c>
      <c r="C608" s="22" t="s">
        <v>1845</v>
      </c>
      <c r="D608" s="22" t="s">
        <v>9</v>
      </c>
      <c r="E608" s="22" t="s">
        <v>89</v>
      </c>
      <c r="F608" s="22">
        <v>144.79</v>
      </c>
    </row>
    <row r="609" spans="1:6">
      <c r="A609" s="22" t="s">
        <v>1846</v>
      </c>
      <c r="B609" s="22" t="s">
        <v>1847</v>
      </c>
      <c r="C609" s="22" t="s">
        <v>1848</v>
      </c>
      <c r="D609" s="22" t="s">
        <v>9</v>
      </c>
      <c r="E609" s="22" t="s">
        <v>35</v>
      </c>
    </row>
    <row r="610" spans="1:6">
      <c r="A610" s="22" t="s">
        <v>1849</v>
      </c>
      <c r="B610" s="22" t="s">
        <v>1850</v>
      </c>
      <c r="C610" s="22" t="s">
        <v>1851</v>
      </c>
      <c r="D610" s="22" t="s">
        <v>9</v>
      </c>
      <c r="E610" s="22" t="s">
        <v>23</v>
      </c>
      <c r="F610" s="22">
        <v>11536.342</v>
      </c>
    </row>
    <row r="611" spans="1:6">
      <c r="A611" s="22" t="s">
        <v>1852</v>
      </c>
      <c r="B611" s="22" t="s">
        <v>1853</v>
      </c>
      <c r="C611" s="22" t="s">
        <v>1854</v>
      </c>
      <c r="D611" s="22" t="s">
        <v>9</v>
      </c>
      <c r="E611" s="22" t="s">
        <v>57</v>
      </c>
      <c r="F611" s="22">
        <v>13.701</v>
      </c>
    </row>
    <row r="612" spans="1:6">
      <c r="A612" s="22" t="s">
        <v>1855</v>
      </c>
      <c r="B612" s="22" t="s">
        <v>1856</v>
      </c>
      <c r="C612" s="22" t="s">
        <v>1857</v>
      </c>
      <c r="D612" s="22" t="s">
        <v>9</v>
      </c>
      <c r="E612" s="22" t="s">
        <v>23</v>
      </c>
      <c r="F612" s="22">
        <v>58.094</v>
      </c>
    </row>
    <row r="613" spans="1:6">
      <c r="A613" s="22" t="s">
        <v>1858</v>
      </c>
      <c r="B613" s="22" t="s">
        <v>1859</v>
      </c>
      <c r="C613" s="22" t="s">
        <v>1860</v>
      </c>
      <c r="D613" s="22" t="s">
        <v>9</v>
      </c>
      <c r="E613" s="22" t="s">
        <v>23</v>
      </c>
      <c r="F613" s="22">
        <v>41.55</v>
      </c>
    </row>
    <row r="614" spans="1:6">
      <c r="A614" s="22" t="s">
        <v>1861</v>
      </c>
      <c r="B614" s="22" t="s">
        <v>1862</v>
      </c>
      <c r="C614" s="22" t="s">
        <v>1863</v>
      </c>
      <c r="D614" s="22" t="s">
        <v>9</v>
      </c>
      <c r="E614" s="22" t="s">
        <v>23</v>
      </c>
      <c r="F614" s="22">
        <v>679.835</v>
      </c>
    </row>
    <row r="615" spans="1:6">
      <c r="A615" s="22" t="s">
        <v>1864</v>
      </c>
      <c r="B615" s="22" t="s">
        <v>1865</v>
      </c>
      <c r="C615" s="22" t="s">
        <v>1866</v>
      </c>
      <c r="D615" s="22" t="s">
        <v>9</v>
      </c>
      <c r="E615" s="22" t="s">
        <v>23</v>
      </c>
      <c r="F615" s="22">
        <v>1122.576</v>
      </c>
    </row>
    <row r="616" spans="1:6">
      <c r="A616" s="22" t="s">
        <v>1867</v>
      </c>
      <c r="B616" s="22" t="s">
        <v>1868</v>
      </c>
      <c r="C616" s="22" t="s">
        <v>1869</v>
      </c>
      <c r="D616" s="22" t="s">
        <v>9</v>
      </c>
      <c r="E616" s="22" t="s">
        <v>35</v>
      </c>
      <c r="F616" s="22">
        <v>82.462</v>
      </c>
    </row>
    <row r="617" spans="1:6">
      <c r="A617" s="22" t="s">
        <v>1870</v>
      </c>
      <c r="B617" s="22" t="s">
        <v>1871</v>
      </c>
      <c r="C617" s="22" t="s">
        <v>1872</v>
      </c>
      <c r="D617" s="22" t="s">
        <v>9</v>
      </c>
      <c r="E617" s="22" t="s">
        <v>23</v>
      </c>
      <c r="F617" s="22">
        <v>61.116</v>
      </c>
    </row>
    <row r="618" spans="1:6">
      <c r="A618" s="22" t="s">
        <v>1873</v>
      </c>
      <c r="B618" s="22" t="s">
        <v>1874</v>
      </c>
      <c r="C618" s="22" t="s">
        <v>1875</v>
      </c>
      <c r="D618" s="22" t="s">
        <v>9</v>
      </c>
      <c r="E618" s="22" t="s">
        <v>23</v>
      </c>
      <c r="F618" s="22">
        <v>12.597</v>
      </c>
    </row>
    <row r="619" spans="1:6">
      <c r="A619" s="22" t="s">
        <v>1876</v>
      </c>
      <c r="B619" s="22" t="s">
        <v>1877</v>
      </c>
      <c r="C619" s="22" t="s">
        <v>1878</v>
      </c>
      <c r="D619" s="22" t="s">
        <v>9</v>
      </c>
      <c r="E619" s="22" t="s">
        <v>23</v>
      </c>
      <c r="F619" s="22">
        <v>242.742</v>
      </c>
    </row>
    <row r="620" spans="1:6">
      <c r="A620" s="22" t="s">
        <v>1879</v>
      </c>
      <c r="B620" s="22" t="s">
        <v>1880</v>
      </c>
      <c r="C620" s="22" t="s">
        <v>1881</v>
      </c>
      <c r="D620" s="22" t="s">
        <v>9</v>
      </c>
      <c r="E620" s="22" t="s">
        <v>23</v>
      </c>
      <c r="F620" s="22">
        <v>621.334</v>
      </c>
    </row>
    <row r="621" spans="1:6">
      <c r="A621" s="22" t="s">
        <v>1882</v>
      </c>
      <c r="B621" s="22" t="s">
        <v>1883</v>
      </c>
      <c r="C621" s="22" t="s">
        <v>1884</v>
      </c>
      <c r="D621" s="22" t="s">
        <v>9</v>
      </c>
      <c r="E621" s="22" t="s">
        <v>23</v>
      </c>
      <c r="F621" s="22">
        <v>21.377</v>
      </c>
    </row>
    <row r="622" spans="1:6">
      <c r="A622" s="22" t="s">
        <v>1885</v>
      </c>
      <c r="B622" s="22" t="s">
        <v>1886</v>
      </c>
      <c r="C622" s="22" t="s">
        <v>1887</v>
      </c>
      <c r="D622" s="22" t="s">
        <v>9</v>
      </c>
      <c r="E622" s="22" t="s">
        <v>23</v>
      </c>
      <c r="F622" s="22">
        <v>7.636</v>
      </c>
    </row>
    <row r="623" spans="1:6">
      <c r="A623" s="22" t="s">
        <v>1888</v>
      </c>
      <c r="B623" s="22" t="s">
        <v>1889</v>
      </c>
      <c r="C623" s="22" t="s">
        <v>1890</v>
      </c>
      <c r="D623" s="22" t="s">
        <v>9</v>
      </c>
      <c r="E623" s="22" t="s">
        <v>31</v>
      </c>
      <c r="F623" s="22">
        <v>1.87</v>
      </c>
    </row>
    <row r="624" spans="1:6">
      <c r="A624" s="22" t="s">
        <v>1891</v>
      </c>
      <c r="B624" s="22" t="s">
        <v>1892</v>
      </c>
      <c r="C624" s="22" t="s">
        <v>1893</v>
      </c>
      <c r="D624" s="22" t="s">
        <v>9</v>
      </c>
      <c r="E624" s="22" t="s">
        <v>23</v>
      </c>
      <c r="F624" s="22">
        <v>24.114</v>
      </c>
    </row>
    <row r="625" spans="1:6">
      <c r="A625" s="22" t="s">
        <v>1894</v>
      </c>
      <c r="B625" s="22" t="s">
        <v>1895</v>
      </c>
      <c r="C625" s="22" t="s">
        <v>1896</v>
      </c>
      <c r="D625" s="22" t="s">
        <v>9</v>
      </c>
      <c r="E625" s="22" t="s">
        <v>23</v>
      </c>
      <c r="F625" s="22">
        <v>1068.954</v>
      </c>
    </row>
    <row r="626" spans="1:6">
      <c r="A626" s="22" t="s">
        <v>1897</v>
      </c>
      <c r="B626" s="22" t="s">
        <v>1898</v>
      </c>
      <c r="C626" s="22" t="s">
        <v>1899</v>
      </c>
      <c r="D626" s="22" t="s">
        <v>9</v>
      </c>
      <c r="E626" s="22" t="s">
        <v>27</v>
      </c>
      <c r="F626" s="22">
        <v>25.851</v>
      </c>
    </row>
    <row r="627" spans="1:6">
      <c r="A627" s="22" t="s">
        <v>1900</v>
      </c>
      <c r="B627" s="22" t="s">
        <v>1901</v>
      </c>
      <c r="C627" s="22" t="s">
        <v>1902</v>
      </c>
      <c r="D627" s="22" t="s">
        <v>9</v>
      </c>
      <c r="E627" s="22" t="s">
        <v>23</v>
      </c>
      <c r="F627" s="22">
        <v>398.678</v>
      </c>
    </row>
    <row r="628" spans="1:6">
      <c r="A628" s="22" t="s">
        <v>1903</v>
      </c>
      <c r="B628" s="22" t="s">
        <v>1904</v>
      </c>
      <c r="C628" s="22" t="s">
        <v>1905</v>
      </c>
      <c r="D628" s="22" t="s">
        <v>9</v>
      </c>
      <c r="E628" s="22" t="s">
        <v>23</v>
      </c>
      <c r="F628" s="22">
        <v>107.557</v>
      </c>
    </row>
    <row r="629" spans="1:6">
      <c r="A629" s="22" t="s">
        <v>1906</v>
      </c>
      <c r="B629" s="22" t="s">
        <v>1907</v>
      </c>
      <c r="C629" s="22" t="s">
        <v>1908</v>
      </c>
      <c r="D629" s="22" t="s">
        <v>9</v>
      </c>
      <c r="E629" s="22" t="s">
        <v>44</v>
      </c>
      <c r="F629" s="22">
        <v>195.107</v>
      </c>
    </row>
    <row r="630" spans="1:6">
      <c r="A630" s="22" t="s">
        <v>1909</v>
      </c>
      <c r="B630" s="22" t="s">
        <v>1910</v>
      </c>
      <c r="C630" s="22" t="s">
        <v>1911</v>
      </c>
      <c r="D630" s="22" t="s">
        <v>9</v>
      </c>
      <c r="E630" s="22" t="s">
        <v>31</v>
      </c>
      <c r="F630" s="22">
        <v>371.036</v>
      </c>
    </row>
    <row r="631" spans="1:6">
      <c r="A631" s="22" t="s">
        <v>1912</v>
      </c>
      <c r="B631" s="22" t="s">
        <v>1913</v>
      </c>
      <c r="C631" s="22" t="s">
        <v>1914</v>
      </c>
      <c r="D631" s="22" t="s">
        <v>9</v>
      </c>
      <c r="E631" s="22" t="s">
        <v>31</v>
      </c>
      <c r="F631" s="22">
        <v>2.701</v>
      </c>
    </row>
    <row r="632" spans="1:6">
      <c r="A632" s="22" t="s">
        <v>1915</v>
      </c>
      <c r="B632" s="22" t="s">
        <v>1916</v>
      </c>
      <c r="C632" s="22" t="s">
        <v>1917</v>
      </c>
      <c r="D632" s="22" t="s">
        <v>9</v>
      </c>
      <c r="E632" s="22" t="s">
        <v>23</v>
      </c>
      <c r="F632" s="22">
        <v>502.764</v>
      </c>
    </row>
    <row r="633" spans="1:6">
      <c r="A633" s="22" t="s">
        <v>1918</v>
      </c>
      <c r="B633" s="22" t="s">
        <v>1559</v>
      </c>
      <c r="C633" s="22" t="s">
        <v>1560</v>
      </c>
      <c r="D633" s="22" t="s">
        <v>9</v>
      </c>
      <c r="E633" s="22" t="s">
        <v>44</v>
      </c>
      <c r="F633" s="22">
        <v>142.736</v>
      </c>
    </row>
    <row r="634" spans="1:6">
      <c r="A634" s="22" t="s">
        <v>1919</v>
      </c>
      <c r="B634" s="22" t="s">
        <v>1920</v>
      </c>
      <c r="C634" s="22" t="s">
        <v>1921</v>
      </c>
      <c r="D634" s="22" t="s">
        <v>9</v>
      </c>
      <c r="E634" s="22" t="s">
        <v>35</v>
      </c>
      <c r="F634" s="22">
        <v>44.498</v>
      </c>
    </row>
    <row r="635" spans="1:6">
      <c r="A635" s="22" t="s">
        <v>1922</v>
      </c>
      <c r="B635" s="22" t="s">
        <v>1923</v>
      </c>
      <c r="C635" s="22" t="s">
        <v>1924</v>
      </c>
      <c r="D635" s="22" t="s">
        <v>9</v>
      </c>
      <c r="E635" s="22" t="s">
        <v>57</v>
      </c>
      <c r="F635" s="22">
        <v>54.188</v>
      </c>
    </row>
    <row r="636" spans="1:6">
      <c r="A636" s="22" t="s">
        <v>1925</v>
      </c>
      <c r="B636" s="22" t="s">
        <v>1926</v>
      </c>
      <c r="C636" s="22" t="s">
        <v>1927</v>
      </c>
      <c r="D636" s="22" t="s">
        <v>9</v>
      </c>
      <c r="E636" s="22" t="s">
        <v>23</v>
      </c>
      <c r="F636" s="22">
        <v>1193.643</v>
      </c>
    </row>
    <row r="637" spans="1:6">
      <c r="A637" s="22" t="s">
        <v>1928</v>
      </c>
      <c r="B637" s="22" t="s">
        <v>1929</v>
      </c>
      <c r="C637" s="22" t="s">
        <v>1930</v>
      </c>
      <c r="D637" s="22" t="s">
        <v>9</v>
      </c>
      <c r="E637" s="22" t="s">
        <v>23</v>
      </c>
      <c r="F637" s="22">
        <v>70.309</v>
      </c>
    </row>
    <row r="638" spans="1:6">
      <c r="A638" s="22" t="s">
        <v>1931</v>
      </c>
      <c r="B638" s="22" t="s">
        <v>1932</v>
      </c>
      <c r="C638" s="22" t="s">
        <v>1933</v>
      </c>
      <c r="D638" s="22" t="s">
        <v>9</v>
      </c>
      <c r="E638" s="22" t="s">
        <v>23</v>
      </c>
      <c r="F638" s="22">
        <v>2271.648</v>
      </c>
    </row>
    <row r="639" spans="1:6">
      <c r="A639" s="22" t="s">
        <v>1934</v>
      </c>
      <c r="B639" s="22" t="s">
        <v>1935</v>
      </c>
      <c r="C639" s="22" t="s">
        <v>1936</v>
      </c>
      <c r="D639" s="22" t="s">
        <v>9</v>
      </c>
      <c r="E639" s="22" t="s">
        <v>23</v>
      </c>
      <c r="F639" s="22">
        <v>151.063</v>
      </c>
    </row>
    <row r="640" spans="1:6">
      <c r="A640" s="22" t="s">
        <v>1937</v>
      </c>
      <c r="B640" s="22" t="s">
        <v>1938</v>
      </c>
      <c r="C640" s="22" t="s">
        <v>1939</v>
      </c>
      <c r="D640" s="22" t="s">
        <v>9</v>
      </c>
      <c r="E640" s="22" t="s">
        <v>23</v>
      </c>
      <c r="F640" s="22">
        <v>27.699</v>
      </c>
    </row>
    <row r="641" spans="1:6">
      <c r="A641" s="22" t="s">
        <v>1940</v>
      </c>
      <c r="B641" s="22" t="s">
        <v>1941</v>
      </c>
      <c r="C641" s="22" t="s">
        <v>1942</v>
      </c>
      <c r="D641" s="22" t="s">
        <v>9</v>
      </c>
      <c r="E641" s="22" t="s">
        <v>35</v>
      </c>
      <c r="F641" s="22">
        <v>607.845</v>
      </c>
    </row>
    <row r="642" spans="1:6">
      <c r="A642" s="22" t="s">
        <v>1943</v>
      </c>
      <c r="B642" s="22" t="s">
        <v>1944</v>
      </c>
      <c r="C642" s="22" t="s">
        <v>1945</v>
      </c>
      <c r="D642" s="22" t="s">
        <v>9</v>
      </c>
      <c r="E642" s="22" t="s">
        <v>23</v>
      </c>
      <c r="F642" s="22">
        <v>168.055</v>
      </c>
    </row>
    <row r="643" spans="1:6">
      <c r="A643" s="22" t="s">
        <v>1946</v>
      </c>
      <c r="B643" s="22" t="s">
        <v>1947</v>
      </c>
      <c r="C643" s="22" t="s">
        <v>1948</v>
      </c>
      <c r="D643" s="22" t="s">
        <v>9</v>
      </c>
      <c r="E643" s="22" t="s">
        <v>35</v>
      </c>
      <c r="F643" s="22">
        <v>16.728</v>
      </c>
    </row>
    <row r="644" spans="1:6">
      <c r="A644" s="22" t="s">
        <v>1949</v>
      </c>
      <c r="B644" s="22" t="s">
        <v>1950</v>
      </c>
      <c r="C644" s="22" t="s">
        <v>1951</v>
      </c>
      <c r="D644" s="22" t="s">
        <v>9</v>
      </c>
      <c r="E644" s="22" t="s">
        <v>27</v>
      </c>
      <c r="F644" s="22">
        <v>17078.268</v>
      </c>
    </row>
    <row r="645" spans="1:6">
      <c r="A645" s="22" t="s">
        <v>1952</v>
      </c>
      <c r="B645" s="22" t="s">
        <v>1953</v>
      </c>
      <c r="C645" s="22" t="s">
        <v>1954</v>
      </c>
      <c r="D645" s="22" t="s">
        <v>9</v>
      </c>
      <c r="E645" s="22" t="s">
        <v>23</v>
      </c>
      <c r="F645" s="22">
        <v>3002.9</v>
      </c>
    </row>
    <row r="646" spans="1:6">
      <c r="A646" s="22" t="s">
        <v>1955</v>
      </c>
      <c r="B646" s="22" t="s">
        <v>1956</v>
      </c>
      <c r="C646" s="22" t="s">
        <v>1957</v>
      </c>
      <c r="D646" s="22" t="s">
        <v>9</v>
      </c>
      <c r="E646" s="22" t="s">
        <v>23</v>
      </c>
      <c r="F646" s="22">
        <v>88.788</v>
      </c>
    </row>
    <row r="647" spans="1:6">
      <c r="A647" s="22" t="s">
        <v>1958</v>
      </c>
      <c r="B647" s="22" t="s">
        <v>1959</v>
      </c>
      <c r="C647" s="22" t="s">
        <v>1960</v>
      </c>
      <c r="D647" s="22" t="s">
        <v>9</v>
      </c>
      <c r="E647" s="22" t="s">
        <v>35</v>
      </c>
      <c r="F647" s="22">
        <v>65.226</v>
      </c>
    </row>
    <row r="648" spans="1:6">
      <c r="A648" s="22" t="s">
        <v>1961</v>
      </c>
      <c r="B648" s="22" t="s">
        <v>1962</v>
      </c>
      <c r="C648" s="22" t="s">
        <v>1963</v>
      </c>
      <c r="D648" s="22" t="s">
        <v>9</v>
      </c>
      <c r="E648" s="22" t="s">
        <v>23</v>
      </c>
      <c r="F648" s="22">
        <v>626.97</v>
      </c>
    </row>
    <row r="649" spans="1:6">
      <c r="A649" s="22" t="s">
        <v>1964</v>
      </c>
      <c r="B649" s="22" t="s">
        <v>1965</v>
      </c>
      <c r="C649" s="22" t="s">
        <v>1966</v>
      </c>
      <c r="D649" s="22" t="s">
        <v>9</v>
      </c>
      <c r="E649" s="22" t="s">
        <v>61</v>
      </c>
      <c r="F649" s="22">
        <v>10.027</v>
      </c>
    </row>
    <row r="650" spans="1:6">
      <c r="A650" s="22" t="s">
        <v>1967</v>
      </c>
      <c r="B650" s="22" t="s">
        <v>450</v>
      </c>
      <c r="C650" s="22" t="s">
        <v>1968</v>
      </c>
      <c r="D650" s="22" t="s">
        <v>9</v>
      </c>
      <c r="E650" s="22" t="s">
        <v>31</v>
      </c>
      <c r="F650" s="22">
        <v>153.517</v>
      </c>
    </row>
    <row r="651" spans="1:6">
      <c r="A651" s="22" t="s">
        <v>1969</v>
      </c>
      <c r="B651" s="22" t="s">
        <v>1970</v>
      </c>
      <c r="C651" s="22" t="s">
        <v>1971</v>
      </c>
      <c r="D651" s="22" t="s">
        <v>9</v>
      </c>
      <c r="E651" s="22" t="s">
        <v>50</v>
      </c>
      <c r="F651" s="22">
        <v>20.264</v>
      </c>
    </row>
    <row r="652" spans="1:6">
      <c r="A652" s="22" t="s">
        <v>1972</v>
      </c>
      <c r="B652" s="22" t="s">
        <v>1973</v>
      </c>
      <c r="C652" s="22" t="s">
        <v>1974</v>
      </c>
      <c r="D652" s="22" t="s">
        <v>9</v>
      </c>
      <c r="E652" s="22" t="s">
        <v>23</v>
      </c>
      <c r="F652" s="22">
        <v>39347.012</v>
      </c>
    </row>
    <row r="653" spans="1:6">
      <c r="A653" s="22" t="s">
        <v>1975</v>
      </c>
      <c r="B653" s="22" t="s">
        <v>1976</v>
      </c>
      <c r="C653" s="22" t="s">
        <v>1977</v>
      </c>
      <c r="D653" s="22" t="s">
        <v>9</v>
      </c>
      <c r="E653" s="22" t="s">
        <v>35</v>
      </c>
      <c r="F653" s="22">
        <v>15.594</v>
      </c>
    </row>
    <row r="654" spans="1:6">
      <c r="A654" s="22" t="s">
        <v>1978</v>
      </c>
      <c r="B654" s="22" t="s">
        <v>1979</v>
      </c>
      <c r="C654" s="22" t="s">
        <v>1980</v>
      </c>
      <c r="D654" s="22" t="s">
        <v>9</v>
      </c>
      <c r="E654" s="22" t="s">
        <v>27</v>
      </c>
      <c r="F654" s="22">
        <v>6760.918</v>
      </c>
    </row>
    <row r="655" spans="1:6">
      <c r="A655" s="22" t="s">
        <v>1981</v>
      </c>
      <c r="B655" s="22" t="s">
        <v>1982</v>
      </c>
      <c r="C655" s="22" t="s">
        <v>1983</v>
      </c>
      <c r="D655" s="22" t="s">
        <v>9</v>
      </c>
      <c r="E655" s="22" t="s">
        <v>61</v>
      </c>
      <c r="F655" s="22">
        <v>7.851</v>
      </c>
    </row>
    <row r="656" spans="1:6">
      <c r="A656" s="22" t="s">
        <v>1984</v>
      </c>
      <c r="B656" s="22" t="s">
        <v>1985</v>
      </c>
      <c r="C656" s="22" t="s">
        <v>1986</v>
      </c>
      <c r="D656" s="22" t="s">
        <v>9</v>
      </c>
      <c r="E656" s="22" t="s">
        <v>35</v>
      </c>
      <c r="F656" s="22">
        <v>6.354</v>
      </c>
    </row>
    <row r="657" spans="1:6">
      <c r="A657" s="22" t="s">
        <v>1987</v>
      </c>
      <c r="B657" s="22" t="s">
        <v>1988</v>
      </c>
      <c r="C657" s="22" t="s">
        <v>1989</v>
      </c>
      <c r="D657" s="22" t="s">
        <v>9</v>
      </c>
      <c r="E657" s="22" t="s">
        <v>35</v>
      </c>
      <c r="F657" s="22">
        <v>1619.249</v>
      </c>
    </row>
    <row r="658" spans="1:6">
      <c r="A658" s="22" t="s">
        <v>1990</v>
      </c>
      <c r="B658" s="22" t="s">
        <v>1991</v>
      </c>
      <c r="C658" s="22" t="s">
        <v>1992</v>
      </c>
      <c r="D658" s="22" t="s">
        <v>9</v>
      </c>
      <c r="E658" s="22" t="s">
        <v>35</v>
      </c>
      <c r="F658" s="22">
        <v>382.768</v>
      </c>
    </row>
    <row r="659" spans="1:6">
      <c r="A659" s="22" t="s">
        <v>1993</v>
      </c>
      <c r="B659" s="22" t="s">
        <v>1994</v>
      </c>
      <c r="C659" s="22" t="s">
        <v>1995</v>
      </c>
      <c r="D659" s="22" t="s">
        <v>9</v>
      </c>
      <c r="E659" s="22" t="s">
        <v>23</v>
      </c>
      <c r="F659" s="22">
        <v>61.385</v>
      </c>
    </row>
    <row r="660" spans="1:6">
      <c r="A660" s="22" t="s">
        <v>1996</v>
      </c>
      <c r="B660" s="22" t="s">
        <v>1997</v>
      </c>
      <c r="C660" s="22" t="s">
        <v>1998</v>
      </c>
      <c r="D660" s="22" t="s">
        <v>9</v>
      </c>
      <c r="E660" s="22" t="s">
        <v>23</v>
      </c>
      <c r="F660" s="22">
        <v>1447.335</v>
      </c>
    </row>
    <row r="661" spans="1:6">
      <c r="A661" s="22" t="s">
        <v>1999</v>
      </c>
      <c r="B661" s="22" t="s">
        <v>2000</v>
      </c>
      <c r="C661" s="22" t="s">
        <v>2001</v>
      </c>
      <c r="D661" s="22" t="s">
        <v>9</v>
      </c>
      <c r="E661" s="22" t="s">
        <v>23</v>
      </c>
      <c r="F661" s="22">
        <v>207.612</v>
      </c>
    </row>
    <row r="662" spans="1:6">
      <c r="A662" s="22" t="s">
        <v>2002</v>
      </c>
      <c r="B662" s="22" t="s">
        <v>2003</v>
      </c>
      <c r="C662" s="22" t="s">
        <v>2004</v>
      </c>
      <c r="D662" s="22" t="s">
        <v>9</v>
      </c>
      <c r="E662" s="22" t="s">
        <v>23</v>
      </c>
      <c r="F662" s="22">
        <v>1119.065</v>
      </c>
    </row>
    <row r="663" spans="1:6">
      <c r="A663" s="22" t="s">
        <v>2005</v>
      </c>
      <c r="B663" s="22" t="s">
        <v>2006</v>
      </c>
      <c r="C663" s="22" t="s">
        <v>2007</v>
      </c>
      <c r="D663" s="22" t="s">
        <v>9</v>
      </c>
      <c r="E663" s="22" t="s">
        <v>23</v>
      </c>
      <c r="F663" s="22">
        <v>152.16</v>
      </c>
    </row>
    <row r="664" spans="1:6">
      <c r="A664" s="22" t="s">
        <v>2008</v>
      </c>
      <c r="B664" s="22" t="s">
        <v>2009</v>
      </c>
      <c r="C664" s="22" t="s">
        <v>2010</v>
      </c>
      <c r="D664" s="22" t="s">
        <v>9</v>
      </c>
      <c r="E664" s="22" t="s">
        <v>31</v>
      </c>
      <c r="F664" s="22">
        <v>3117.732</v>
      </c>
    </row>
    <row r="665" spans="1:6">
      <c r="A665" s="22" t="s">
        <v>2011</v>
      </c>
      <c r="B665" s="22" t="s">
        <v>2012</v>
      </c>
      <c r="C665" s="22" t="s">
        <v>2013</v>
      </c>
      <c r="D665" s="22" t="s">
        <v>9</v>
      </c>
      <c r="E665" s="22" t="s">
        <v>23</v>
      </c>
      <c r="F665" s="22">
        <v>31.784</v>
      </c>
    </row>
    <row r="666" spans="1:6">
      <c r="A666" s="22" t="s">
        <v>2014</v>
      </c>
      <c r="B666" s="22" t="s">
        <v>2015</v>
      </c>
      <c r="C666" s="22" t="s">
        <v>2016</v>
      </c>
      <c r="D666" s="22" t="s">
        <v>9</v>
      </c>
      <c r="E666" s="22" t="s">
        <v>35</v>
      </c>
      <c r="F666" s="22">
        <v>1075.619</v>
      </c>
    </row>
    <row r="667" spans="1:6">
      <c r="A667" s="22" t="s">
        <v>2017</v>
      </c>
      <c r="B667" s="22" t="s">
        <v>2018</v>
      </c>
      <c r="C667" s="22" t="s">
        <v>2019</v>
      </c>
      <c r="D667" s="22" t="s">
        <v>9</v>
      </c>
      <c r="E667" s="22" t="s">
        <v>44</v>
      </c>
      <c r="F667" s="22">
        <v>203.483</v>
      </c>
    </row>
    <row r="668" spans="1:6">
      <c r="A668" s="22" t="s">
        <v>2020</v>
      </c>
      <c r="B668" s="22" t="s">
        <v>509</v>
      </c>
      <c r="C668" s="22" t="s">
        <v>2021</v>
      </c>
      <c r="D668" s="22" t="s">
        <v>9</v>
      </c>
      <c r="E668" s="22" t="s">
        <v>31</v>
      </c>
      <c r="F668" s="22">
        <v>4026.937</v>
      </c>
    </row>
    <row r="669" spans="1:6">
      <c r="A669" s="22" t="s">
        <v>2022</v>
      </c>
      <c r="B669" s="22" t="s">
        <v>2023</v>
      </c>
      <c r="C669" s="22" t="s">
        <v>2024</v>
      </c>
      <c r="D669" s="22" t="s">
        <v>9</v>
      </c>
      <c r="E669" s="22" t="s">
        <v>23</v>
      </c>
      <c r="F669" s="22">
        <v>397.709</v>
      </c>
    </row>
    <row r="670" spans="1:6">
      <c r="A670" s="22" t="s">
        <v>2025</v>
      </c>
      <c r="B670" s="22" t="s">
        <v>2026</v>
      </c>
      <c r="C670" s="22" t="s">
        <v>2027</v>
      </c>
      <c r="D670" s="22" t="s">
        <v>9</v>
      </c>
      <c r="E670" s="22" t="s">
        <v>27</v>
      </c>
      <c r="F670" s="22">
        <v>74.797</v>
      </c>
    </row>
    <row r="671" spans="1:6">
      <c r="A671" s="22" t="s">
        <v>2028</v>
      </c>
      <c r="B671" s="22" t="s">
        <v>2029</v>
      </c>
      <c r="C671" s="22" t="s">
        <v>2030</v>
      </c>
      <c r="D671" s="22" t="s">
        <v>9</v>
      </c>
      <c r="E671" s="22" t="s">
        <v>44</v>
      </c>
      <c r="F671" s="22">
        <v>456.931</v>
      </c>
    </row>
    <row r="672" spans="1:6">
      <c r="A672" s="22" t="s">
        <v>2031</v>
      </c>
      <c r="B672" s="22" t="s">
        <v>2032</v>
      </c>
      <c r="C672" s="22" t="s">
        <v>2033</v>
      </c>
      <c r="D672" s="22" t="s">
        <v>9</v>
      </c>
      <c r="E672" s="22" t="s">
        <v>23</v>
      </c>
      <c r="F672" s="22">
        <v>31.781</v>
      </c>
    </row>
    <row r="673" spans="1:6">
      <c r="A673" s="22" t="s">
        <v>2034</v>
      </c>
      <c r="B673" s="22" t="s">
        <v>2035</v>
      </c>
      <c r="C673" s="22" t="s">
        <v>2036</v>
      </c>
      <c r="D673" s="22" t="s">
        <v>9</v>
      </c>
      <c r="E673" s="22" t="s">
        <v>57</v>
      </c>
      <c r="F673" s="22">
        <v>16.195</v>
      </c>
    </row>
    <row r="674" spans="1:6">
      <c r="A674" s="22" t="s">
        <v>2037</v>
      </c>
      <c r="B674" s="22" t="s">
        <v>2038</v>
      </c>
      <c r="C674" s="22" t="s">
        <v>2039</v>
      </c>
      <c r="D674" s="22" t="s">
        <v>9</v>
      </c>
      <c r="E674" s="22" t="s">
        <v>31</v>
      </c>
      <c r="F674" s="22">
        <v>100.882</v>
      </c>
    </row>
    <row r="675" spans="1:6">
      <c r="A675" s="22" t="s">
        <v>2040</v>
      </c>
      <c r="B675" s="22" t="s">
        <v>2041</v>
      </c>
      <c r="C675" s="22" t="s">
        <v>2042</v>
      </c>
      <c r="D675" s="22" t="s">
        <v>9</v>
      </c>
      <c r="E675" s="22" t="s">
        <v>35</v>
      </c>
      <c r="F675" s="22">
        <v>343.797</v>
      </c>
    </row>
    <row r="676" spans="1:6">
      <c r="A676" s="22" t="s">
        <v>2043</v>
      </c>
      <c r="B676" s="22" t="s">
        <v>2044</v>
      </c>
      <c r="C676" s="22" t="s">
        <v>2045</v>
      </c>
      <c r="D676" s="22" t="s">
        <v>9</v>
      </c>
      <c r="E676" s="22" t="s">
        <v>23</v>
      </c>
      <c r="F676" s="22">
        <v>1934.804</v>
      </c>
    </row>
    <row r="677" spans="1:6">
      <c r="A677" s="22" t="s">
        <v>2046</v>
      </c>
      <c r="B677" s="22" t="s">
        <v>2047</v>
      </c>
      <c r="C677" s="22" t="s">
        <v>2048</v>
      </c>
      <c r="D677" s="22" t="s">
        <v>9</v>
      </c>
      <c r="E677" s="22" t="s">
        <v>57</v>
      </c>
      <c r="F677" s="22">
        <v>89.655</v>
      </c>
    </row>
    <row r="678" spans="1:6">
      <c r="A678" s="22" t="s">
        <v>2049</v>
      </c>
      <c r="B678" s="22" t="s">
        <v>2050</v>
      </c>
      <c r="C678" s="22" t="s">
        <v>2051</v>
      </c>
      <c r="D678" s="22" t="s">
        <v>9</v>
      </c>
      <c r="E678" s="22" t="s">
        <v>23</v>
      </c>
      <c r="F678" s="22">
        <v>377.85</v>
      </c>
    </row>
    <row r="679" spans="1:6">
      <c r="A679" s="22" t="s">
        <v>2052</v>
      </c>
      <c r="B679" s="22" t="s">
        <v>2053</v>
      </c>
      <c r="C679" s="22" t="s">
        <v>2054</v>
      </c>
      <c r="D679" s="22" t="s">
        <v>9</v>
      </c>
      <c r="E679" s="22" t="s">
        <v>23</v>
      </c>
      <c r="F679" s="22">
        <v>987.514</v>
      </c>
    </row>
    <row r="680" spans="1:6">
      <c r="A680" s="22" t="s">
        <v>2055</v>
      </c>
      <c r="B680" s="22" t="s">
        <v>759</v>
      </c>
      <c r="C680" s="22" t="s">
        <v>1032</v>
      </c>
      <c r="D680" s="22" t="s">
        <v>9</v>
      </c>
      <c r="E680" s="22" t="s">
        <v>31</v>
      </c>
      <c r="F680" s="22">
        <v>39.65</v>
      </c>
    </row>
    <row r="681" spans="1:6">
      <c r="A681" s="22" t="s">
        <v>2056</v>
      </c>
      <c r="B681" s="22" t="s">
        <v>2057</v>
      </c>
      <c r="C681" s="22" t="s">
        <v>2058</v>
      </c>
      <c r="D681" s="22" t="s">
        <v>9</v>
      </c>
      <c r="E681" s="22" t="s">
        <v>23</v>
      </c>
      <c r="F681" s="22">
        <v>917.959</v>
      </c>
    </row>
    <row r="682" spans="1:6">
      <c r="A682" s="22" t="s">
        <v>2059</v>
      </c>
      <c r="B682" s="22" t="s">
        <v>2060</v>
      </c>
      <c r="C682" s="22" t="s">
        <v>2061</v>
      </c>
      <c r="D682" s="22" t="s">
        <v>9</v>
      </c>
      <c r="E682" s="22" t="s">
        <v>23</v>
      </c>
      <c r="F682" s="22">
        <v>8.288</v>
      </c>
    </row>
    <row r="683" spans="1:6">
      <c r="A683" s="22" t="s">
        <v>2062</v>
      </c>
      <c r="B683" s="22" t="s">
        <v>2063</v>
      </c>
      <c r="C683" s="22" t="s">
        <v>2064</v>
      </c>
      <c r="D683" s="22" t="s">
        <v>9</v>
      </c>
      <c r="E683" s="22" t="s">
        <v>35</v>
      </c>
      <c r="F683" s="22">
        <v>37.757</v>
      </c>
    </row>
    <row r="684" spans="1:6">
      <c r="A684" s="22" t="s">
        <v>2065</v>
      </c>
      <c r="B684" s="22" t="s">
        <v>2066</v>
      </c>
      <c r="C684" s="22" t="s">
        <v>2067</v>
      </c>
      <c r="D684" s="22" t="s">
        <v>9</v>
      </c>
      <c r="E684" s="22" t="s">
        <v>27</v>
      </c>
      <c r="F684" s="22">
        <v>1308.396</v>
      </c>
    </row>
    <row r="685" spans="1:6">
      <c r="A685" s="22" t="s">
        <v>2068</v>
      </c>
      <c r="B685" s="22" t="s">
        <v>2069</v>
      </c>
      <c r="C685" s="22" t="s">
        <v>2070</v>
      </c>
      <c r="D685" s="22" t="s">
        <v>9</v>
      </c>
      <c r="E685" s="22" t="s">
        <v>27</v>
      </c>
      <c r="F685" s="22">
        <v>22.749</v>
      </c>
    </row>
    <row r="686" spans="1:6">
      <c r="A686" s="22" t="s">
        <v>2071</v>
      </c>
      <c r="B686" s="22" t="s">
        <v>2072</v>
      </c>
      <c r="C686" s="22" t="s">
        <v>2073</v>
      </c>
      <c r="D686" s="22" t="s">
        <v>9</v>
      </c>
      <c r="E686" s="22" t="s">
        <v>35</v>
      </c>
      <c r="F686" s="22">
        <v>239.741</v>
      </c>
    </row>
    <row r="687" spans="1:6">
      <c r="A687" s="22" t="s">
        <v>2074</v>
      </c>
      <c r="B687" s="22" t="s">
        <v>2075</v>
      </c>
      <c r="C687" s="22" t="s">
        <v>2076</v>
      </c>
      <c r="D687" s="22" t="s">
        <v>9</v>
      </c>
      <c r="E687" s="22" t="s">
        <v>23</v>
      </c>
      <c r="F687" s="22">
        <v>788.549</v>
      </c>
    </row>
    <row r="688" spans="1:6">
      <c r="A688" s="22" t="s">
        <v>2077</v>
      </c>
      <c r="B688" s="22" t="s">
        <v>2078</v>
      </c>
      <c r="C688" s="22" t="s">
        <v>2079</v>
      </c>
      <c r="D688" s="22" t="s">
        <v>9</v>
      </c>
      <c r="E688" s="22" t="s">
        <v>35</v>
      </c>
      <c r="F688" s="22">
        <v>187.906</v>
      </c>
    </row>
    <row r="689" spans="1:6">
      <c r="A689" s="22" t="s">
        <v>2080</v>
      </c>
      <c r="B689" s="22" t="s">
        <v>2081</v>
      </c>
      <c r="C689" s="22" t="s">
        <v>2082</v>
      </c>
      <c r="D689" s="22" t="s">
        <v>9</v>
      </c>
      <c r="E689" s="22" t="s">
        <v>23</v>
      </c>
      <c r="F689" s="22">
        <v>5811.661</v>
      </c>
    </row>
    <row r="690" spans="1:6">
      <c r="A690" s="22" t="s">
        <v>2083</v>
      </c>
      <c r="B690" s="22" t="s">
        <v>2084</v>
      </c>
      <c r="C690" s="22" t="s">
        <v>2085</v>
      </c>
      <c r="D690" s="22" t="s">
        <v>9</v>
      </c>
      <c r="E690" s="22" t="s">
        <v>35</v>
      </c>
      <c r="F690" s="22">
        <v>2589.62</v>
      </c>
    </row>
    <row r="691" spans="1:6">
      <c r="A691" s="22" t="s">
        <v>2086</v>
      </c>
      <c r="B691" s="22" t="s">
        <v>2087</v>
      </c>
      <c r="C691" s="22" t="s">
        <v>2088</v>
      </c>
      <c r="D691" s="22" t="s">
        <v>9</v>
      </c>
      <c r="E691" s="22" t="s">
        <v>27</v>
      </c>
      <c r="F691" s="22">
        <v>31.612</v>
      </c>
    </row>
    <row r="692" spans="1:6">
      <c r="A692" s="22" t="s">
        <v>2089</v>
      </c>
      <c r="B692" s="22" t="s">
        <v>2090</v>
      </c>
      <c r="C692" s="22" t="s">
        <v>2091</v>
      </c>
      <c r="D692" s="22" t="s">
        <v>9</v>
      </c>
      <c r="E692" s="22" t="s">
        <v>23</v>
      </c>
      <c r="F692" s="22">
        <v>1297.723</v>
      </c>
    </row>
    <row r="693" spans="1:6">
      <c r="A693" s="22" t="s">
        <v>2092</v>
      </c>
      <c r="B693" s="22" t="s">
        <v>2093</v>
      </c>
      <c r="C693" s="22" t="s">
        <v>2094</v>
      </c>
      <c r="D693" s="22" t="s">
        <v>9</v>
      </c>
      <c r="E693" s="22" t="s">
        <v>31</v>
      </c>
      <c r="F693" s="22">
        <v>2841.055</v>
      </c>
    </row>
    <row r="694" spans="1:6">
      <c r="A694" s="22" t="s">
        <v>2095</v>
      </c>
      <c r="B694" s="22" t="s">
        <v>2096</v>
      </c>
      <c r="C694" s="22" t="s">
        <v>2097</v>
      </c>
      <c r="D694" s="22" t="s">
        <v>9</v>
      </c>
      <c r="E694" s="22" t="s">
        <v>31</v>
      </c>
      <c r="F694" s="22">
        <v>163.441</v>
      </c>
    </row>
    <row r="695" spans="1:6">
      <c r="A695" s="22" t="s">
        <v>2098</v>
      </c>
      <c r="B695" s="22" t="s">
        <v>2099</v>
      </c>
      <c r="C695" s="22" t="s">
        <v>2100</v>
      </c>
      <c r="D695" s="22" t="s">
        <v>9</v>
      </c>
      <c r="E695" s="22" t="s">
        <v>23</v>
      </c>
      <c r="F695" s="22">
        <v>405.106</v>
      </c>
    </row>
    <row r="696" spans="1:6">
      <c r="A696" s="22" t="s">
        <v>2101</v>
      </c>
      <c r="B696" s="22" t="s">
        <v>2102</v>
      </c>
      <c r="C696" s="22" t="s">
        <v>2103</v>
      </c>
      <c r="D696" s="22" t="s">
        <v>9</v>
      </c>
      <c r="E696" s="22" t="s">
        <v>50</v>
      </c>
      <c r="F696" s="22">
        <v>384.922</v>
      </c>
    </row>
    <row r="697" spans="1:6">
      <c r="A697" s="22" t="s">
        <v>2104</v>
      </c>
      <c r="B697" s="22" t="s">
        <v>2105</v>
      </c>
      <c r="C697" s="22" t="s">
        <v>2106</v>
      </c>
      <c r="D697" s="22" t="s">
        <v>9</v>
      </c>
      <c r="E697" s="22" t="s">
        <v>23</v>
      </c>
      <c r="F697" s="22">
        <v>247.012</v>
      </c>
    </row>
    <row r="698" spans="1:6">
      <c r="A698" s="22" t="s">
        <v>2107</v>
      </c>
      <c r="B698" s="22" t="s">
        <v>1117</v>
      </c>
      <c r="C698" s="22" t="s">
        <v>2108</v>
      </c>
      <c r="D698" s="22" t="s">
        <v>9</v>
      </c>
      <c r="E698" s="22" t="s">
        <v>23</v>
      </c>
      <c r="F698" s="22">
        <v>1458.913</v>
      </c>
    </row>
    <row r="699" spans="1:6">
      <c r="A699" s="22" t="s">
        <v>2109</v>
      </c>
      <c r="B699" s="22" t="s">
        <v>2110</v>
      </c>
      <c r="C699" s="22" t="s">
        <v>2111</v>
      </c>
      <c r="D699" s="22" t="s">
        <v>9</v>
      </c>
      <c r="E699" s="22" t="s">
        <v>23</v>
      </c>
      <c r="F699" s="22">
        <v>25759.734</v>
      </c>
    </row>
    <row r="700" spans="1:6">
      <c r="A700" s="22" t="s">
        <v>2112</v>
      </c>
      <c r="B700" s="22" t="s">
        <v>2113</v>
      </c>
      <c r="C700" s="22" t="s">
        <v>2114</v>
      </c>
      <c r="D700" s="22" t="s">
        <v>9</v>
      </c>
      <c r="E700" s="22" t="s">
        <v>50</v>
      </c>
      <c r="F700" s="22">
        <v>297.98</v>
      </c>
    </row>
    <row r="701" spans="1:6">
      <c r="A701" s="22" t="s">
        <v>2115</v>
      </c>
      <c r="B701" s="22" t="s">
        <v>1559</v>
      </c>
      <c r="C701" s="22" t="s">
        <v>1560</v>
      </c>
      <c r="D701" s="22" t="s">
        <v>9</v>
      </c>
      <c r="E701" s="22" t="s">
        <v>44</v>
      </c>
      <c r="F701" s="22">
        <v>9.991</v>
      </c>
    </row>
    <row r="702" spans="1:6">
      <c r="A702" s="22" t="s">
        <v>2116</v>
      </c>
      <c r="B702" s="22" t="s">
        <v>2117</v>
      </c>
      <c r="C702" s="22" t="s">
        <v>2118</v>
      </c>
      <c r="D702" s="22" t="s">
        <v>9</v>
      </c>
      <c r="E702" s="22" t="s">
        <v>35</v>
      </c>
      <c r="F702" s="22">
        <v>592.732</v>
      </c>
    </row>
    <row r="703" spans="1:6">
      <c r="A703" s="22" t="s">
        <v>2119</v>
      </c>
      <c r="B703" s="22" t="s">
        <v>2120</v>
      </c>
      <c r="C703" s="22" t="s">
        <v>2121</v>
      </c>
      <c r="D703" s="22" t="s">
        <v>9</v>
      </c>
      <c r="E703" s="22" t="s">
        <v>23</v>
      </c>
      <c r="F703" s="22">
        <v>6806.382</v>
      </c>
    </row>
    <row r="704" spans="1:6">
      <c r="A704" s="22" t="s">
        <v>2122</v>
      </c>
      <c r="B704" s="22" t="s">
        <v>2123</v>
      </c>
      <c r="C704" s="22" t="s">
        <v>2124</v>
      </c>
      <c r="D704" s="22" t="s">
        <v>9</v>
      </c>
      <c r="E704" s="22" t="s">
        <v>23</v>
      </c>
      <c r="F704" s="22">
        <v>10.078</v>
      </c>
    </row>
    <row r="705" spans="1:6">
      <c r="A705" s="22" t="s">
        <v>2125</v>
      </c>
      <c r="B705" s="22" t="s">
        <v>2126</v>
      </c>
      <c r="C705" s="22" t="s">
        <v>2127</v>
      </c>
      <c r="D705" s="22" t="s">
        <v>9</v>
      </c>
      <c r="E705" s="22" t="s">
        <v>35</v>
      </c>
      <c r="F705" s="22">
        <v>41.785</v>
      </c>
    </row>
    <row r="706" spans="1:6">
      <c r="A706" s="22" t="s">
        <v>2128</v>
      </c>
      <c r="B706" s="22" t="s">
        <v>2129</v>
      </c>
      <c r="C706" s="22" t="s">
        <v>2130</v>
      </c>
      <c r="D706" s="22" t="s">
        <v>9</v>
      </c>
      <c r="E706" s="22" t="s">
        <v>23</v>
      </c>
      <c r="F706" s="22">
        <v>114.029</v>
      </c>
    </row>
    <row r="707" spans="1:6">
      <c r="A707" s="22" t="s">
        <v>2131</v>
      </c>
      <c r="B707" s="22" t="s">
        <v>2132</v>
      </c>
      <c r="C707" s="22" t="s">
        <v>2133</v>
      </c>
      <c r="D707" s="22" t="s">
        <v>9</v>
      </c>
      <c r="E707" s="22" t="s">
        <v>35</v>
      </c>
      <c r="F707" s="22">
        <v>435.911</v>
      </c>
    </row>
    <row r="708" spans="1:6">
      <c r="A708" s="22" t="s">
        <v>2134</v>
      </c>
      <c r="B708" s="22" t="s">
        <v>2135</v>
      </c>
      <c r="C708" s="22" t="s">
        <v>2136</v>
      </c>
      <c r="D708" s="22" t="s">
        <v>9</v>
      </c>
      <c r="E708" s="22" t="s">
        <v>35</v>
      </c>
      <c r="F708" s="22">
        <v>10.744</v>
      </c>
    </row>
    <row r="709" spans="1:6">
      <c r="A709" s="22" t="s">
        <v>2137</v>
      </c>
      <c r="B709" s="22" t="s">
        <v>2138</v>
      </c>
      <c r="C709" s="22" t="s">
        <v>2139</v>
      </c>
      <c r="D709" s="22" t="s">
        <v>9</v>
      </c>
      <c r="E709" s="22" t="s">
        <v>27</v>
      </c>
      <c r="F709" s="22">
        <v>1711.662</v>
      </c>
    </row>
    <row r="710" spans="1:6">
      <c r="A710" s="22" t="s">
        <v>2140</v>
      </c>
      <c r="B710" s="22" t="s">
        <v>2141</v>
      </c>
      <c r="C710" s="22" t="s">
        <v>2142</v>
      </c>
      <c r="D710" s="22" t="s">
        <v>9</v>
      </c>
      <c r="E710" s="22" t="s">
        <v>23</v>
      </c>
      <c r="F710" s="22">
        <v>1455.791</v>
      </c>
    </row>
    <row r="711" spans="1:6">
      <c r="A711" s="22" t="s">
        <v>2143</v>
      </c>
      <c r="B711" s="22" t="s">
        <v>2144</v>
      </c>
      <c r="C711" s="22" t="s">
        <v>2145</v>
      </c>
      <c r="D711" s="22" t="s">
        <v>9</v>
      </c>
      <c r="E711" s="22" t="s">
        <v>35</v>
      </c>
      <c r="F711" s="22">
        <v>250.641</v>
      </c>
    </row>
    <row r="712" spans="1:6">
      <c r="A712" s="22" t="s">
        <v>2146</v>
      </c>
      <c r="B712" s="22" t="s">
        <v>2147</v>
      </c>
      <c r="C712" s="22" t="s">
        <v>2148</v>
      </c>
      <c r="D712" s="22" t="s">
        <v>9</v>
      </c>
      <c r="E712" s="22" t="s">
        <v>35</v>
      </c>
      <c r="F712" s="22">
        <v>26.007</v>
      </c>
    </row>
    <row r="713" spans="1:6">
      <c r="A713" s="22" t="s">
        <v>2149</v>
      </c>
      <c r="B713" s="22" t="s">
        <v>2150</v>
      </c>
      <c r="C713" s="22" t="s">
        <v>2151</v>
      </c>
      <c r="D713" s="22" t="s">
        <v>9</v>
      </c>
      <c r="E713" s="22" t="s">
        <v>31</v>
      </c>
      <c r="F713" s="22">
        <v>234.082</v>
      </c>
    </row>
    <row r="714" spans="1:6">
      <c r="A714" s="22" t="s">
        <v>2152</v>
      </c>
      <c r="B714" s="22" t="s">
        <v>2153</v>
      </c>
      <c r="C714" s="22" t="s">
        <v>2154</v>
      </c>
      <c r="D714" s="22" t="s">
        <v>9</v>
      </c>
      <c r="E714" s="22" t="s">
        <v>23</v>
      </c>
      <c r="F714" s="22">
        <v>192.915</v>
      </c>
    </row>
    <row r="715" spans="1:6">
      <c r="A715" s="22" t="s">
        <v>2155</v>
      </c>
      <c r="B715" s="22" t="s">
        <v>2156</v>
      </c>
      <c r="C715" s="22" t="s">
        <v>2157</v>
      </c>
      <c r="D715" s="22" t="s">
        <v>9</v>
      </c>
      <c r="E715" s="22" t="s">
        <v>23</v>
      </c>
      <c r="F715" s="22">
        <v>23.131</v>
      </c>
    </row>
    <row r="716" spans="1:6">
      <c r="A716" s="22" t="s">
        <v>2158</v>
      </c>
      <c r="B716" s="22" t="s">
        <v>2159</v>
      </c>
      <c r="C716" s="22" t="s">
        <v>2160</v>
      </c>
      <c r="D716" s="22" t="s">
        <v>9</v>
      </c>
      <c r="E716" s="22" t="s">
        <v>23</v>
      </c>
      <c r="F716" s="22">
        <v>27.71</v>
      </c>
    </row>
    <row r="717" spans="1:6">
      <c r="A717" s="22" t="s">
        <v>2161</v>
      </c>
      <c r="B717" s="22" t="s">
        <v>2162</v>
      </c>
      <c r="C717" s="22" t="s">
        <v>2163</v>
      </c>
      <c r="D717" s="22" t="s">
        <v>9</v>
      </c>
      <c r="E717" s="22" t="s">
        <v>23</v>
      </c>
      <c r="F717" s="22">
        <v>163.211</v>
      </c>
    </row>
    <row r="718" spans="1:6">
      <c r="A718" s="22" t="s">
        <v>2164</v>
      </c>
      <c r="B718" s="22" t="s">
        <v>2165</v>
      </c>
      <c r="C718" s="22" t="s">
        <v>2166</v>
      </c>
      <c r="D718" s="22" t="s">
        <v>9</v>
      </c>
      <c r="E718" s="22" t="s">
        <v>31</v>
      </c>
      <c r="F718" s="22">
        <v>523.213</v>
      </c>
    </row>
    <row r="719" spans="1:6">
      <c r="A719" s="22" t="s">
        <v>2167</v>
      </c>
      <c r="B719" s="22" t="s">
        <v>2168</v>
      </c>
      <c r="C719" s="22" t="s">
        <v>2169</v>
      </c>
      <c r="D719" s="22" t="s">
        <v>9</v>
      </c>
      <c r="E719" s="22" t="s">
        <v>23</v>
      </c>
      <c r="F719" s="22">
        <v>15177.199</v>
      </c>
    </row>
    <row r="720" spans="1:6">
      <c r="A720" s="22" t="s">
        <v>2170</v>
      </c>
      <c r="B720" s="22" t="s">
        <v>2171</v>
      </c>
      <c r="C720" s="22" t="s">
        <v>2172</v>
      </c>
      <c r="D720" s="22" t="s">
        <v>9</v>
      </c>
      <c r="E720" s="22" t="s">
        <v>23</v>
      </c>
      <c r="F720" s="22">
        <v>7925.949</v>
      </c>
    </row>
    <row r="721" spans="1:6">
      <c r="A721" s="22" t="s">
        <v>2173</v>
      </c>
      <c r="B721" s="22" t="s">
        <v>2174</v>
      </c>
      <c r="C721" s="22" t="s">
        <v>2175</v>
      </c>
      <c r="D721" s="22" t="s">
        <v>9</v>
      </c>
      <c r="E721" s="22" t="s">
        <v>23</v>
      </c>
      <c r="F721" s="22">
        <v>24.504</v>
      </c>
    </row>
    <row r="722" spans="1:6">
      <c r="A722" s="22" t="s">
        <v>2176</v>
      </c>
      <c r="B722" s="22" t="s">
        <v>2177</v>
      </c>
      <c r="C722" s="22" t="s">
        <v>2178</v>
      </c>
      <c r="D722" s="22" t="s">
        <v>9</v>
      </c>
      <c r="E722" s="22" t="s">
        <v>50</v>
      </c>
      <c r="F722" s="22">
        <v>31.661</v>
      </c>
    </row>
    <row r="723" spans="1:6">
      <c r="A723" s="22" t="s">
        <v>2179</v>
      </c>
      <c r="B723" s="22" t="s">
        <v>2180</v>
      </c>
      <c r="C723" s="22" t="s">
        <v>2181</v>
      </c>
      <c r="D723" s="22" t="s">
        <v>9</v>
      </c>
      <c r="E723" s="22" t="s">
        <v>35</v>
      </c>
      <c r="F723" s="22">
        <v>10.419</v>
      </c>
    </row>
    <row r="724" spans="1:6">
      <c r="A724" s="22" t="s">
        <v>2182</v>
      </c>
      <c r="B724" s="22" t="s">
        <v>2183</v>
      </c>
      <c r="C724" s="22" t="s">
        <v>2184</v>
      </c>
      <c r="D724" s="22" t="s">
        <v>9</v>
      </c>
      <c r="E724" s="22" t="s">
        <v>23</v>
      </c>
      <c r="F724" s="22">
        <v>2160.878</v>
      </c>
    </row>
    <row r="725" spans="1:6">
      <c r="A725" s="22" t="s">
        <v>2185</v>
      </c>
      <c r="B725" s="22" t="s">
        <v>2186</v>
      </c>
      <c r="C725" s="22" t="s">
        <v>2187</v>
      </c>
      <c r="D725" s="22" t="s">
        <v>9</v>
      </c>
      <c r="E725" s="22" t="s">
        <v>35</v>
      </c>
      <c r="F725" s="22">
        <v>37.728</v>
      </c>
    </row>
    <row r="726" spans="1:6">
      <c r="A726" s="22" t="s">
        <v>2188</v>
      </c>
      <c r="B726" s="22" t="s">
        <v>2189</v>
      </c>
      <c r="C726" s="22" t="s">
        <v>2190</v>
      </c>
      <c r="D726" s="22" t="s">
        <v>9</v>
      </c>
      <c r="E726" s="22" t="s">
        <v>23</v>
      </c>
      <c r="F726" s="22">
        <v>173.126</v>
      </c>
    </row>
    <row r="727" spans="1:6">
      <c r="A727" s="22" t="s">
        <v>2191</v>
      </c>
      <c r="B727" s="22" t="s">
        <v>2192</v>
      </c>
      <c r="C727" s="22" t="s">
        <v>2193</v>
      </c>
      <c r="D727" s="22" t="s">
        <v>9</v>
      </c>
      <c r="E727" s="22" t="s">
        <v>23</v>
      </c>
      <c r="F727" s="22">
        <v>31.247</v>
      </c>
    </row>
    <row r="728" spans="1:6">
      <c r="A728" s="22" t="s">
        <v>2194</v>
      </c>
      <c r="B728" s="22" t="s">
        <v>2195</v>
      </c>
      <c r="C728" s="22" t="s">
        <v>2196</v>
      </c>
      <c r="D728" s="22" t="s">
        <v>9</v>
      </c>
      <c r="E728" s="22" t="s">
        <v>35</v>
      </c>
      <c r="F728" s="22">
        <v>43.015</v>
      </c>
    </row>
    <row r="729" spans="1:6">
      <c r="A729" s="22" t="s">
        <v>2197</v>
      </c>
      <c r="B729" s="22" t="s">
        <v>2198</v>
      </c>
      <c r="C729" s="22" t="s">
        <v>2199</v>
      </c>
      <c r="D729" s="22" t="s">
        <v>9</v>
      </c>
      <c r="E729" s="22" t="s">
        <v>31</v>
      </c>
      <c r="F729" s="22">
        <v>7172.382</v>
      </c>
    </row>
    <row r="730" spans="1:6">
      <c r="A730" s="22" t="s">
        <v>2200</v>
      </c>
      <c r="B730" s="22" t="s">
        <v>2201</v>
      </c>
      <c r="C730" s="22" t="s">
        <v>2202</v>
      </c>
      <c r="D730" s="22" t="s">
        <v>9</v>
      </c>
      <c r="E730" s="22" t="s">
        <v>50</v>
      </c>
      <c r="F730" s="22">
        <v>121.588</v>
      </c>
    </row>
    <row r="731" spans="1:6">
      <c r="A731" s="22" t="s">
        <v>2203</v>
      </c>
      <c r="B731" s="22" t="s">
        <v>2204</v>
      </c>
      <c r="C731" s="22" t="s">
        <v>2205</v>
      </c>
      <c r="D731" s="22" t="s">
        <v>9</v>
      </c>
      <c r="E731" s="22" t="s">
        <v>23</v>
      </c>
      <c r="F731" s="22">
        <v>618.627</v>
      </c>
    </row>
    <row r="732" spans="1:6">
      <c r="A732" s="22" t="s">
        <v>2206</v>
      </c>
      <c r="B732" s="22" t="s">
        <v>2207</v>
      </c>
      <c r="C732" s="22" t="s">
        <v>2208</v>
      </c>
      <c r="D732" s="22" t="s">
        <v>9</v>
      </c>
      <c r="E732" s="22" t="s">
        <v>23</v>
      </c>
      <c r="F732" s="22">
        <v>67.361</v>
      </c>
    </row>
    <row r="733" spans="1:6">
      <c r="A733" s="22" t="s">
        <v>2209</v>
      </c>
      <c r="B733" s="22" t="s">
        <v>2210</v>
      </c>
      <c r="C733" s="22" t="s">
        <v>2211</v>
      </c>
      <c r="D733" s="22" t="s">
        <v>9</v>
      </c>
      <c r="E733" s="22" t="s">
        <v>23</v>
      </c>
      <c r="F733" s="22">
        <v>712.497</v>
      </c>
    </row>
    <row r="734" spans="1:6">
      <c r="A734" s="22" t="s">
        <v>2212</v>
      </c>
      <c r="B734" s="22" t="s">
        <v>2213</v>
      </c>
      <c r="C734" s="22" t="s">
        <v>2214</v>
      </c>
      <c r="D734" s="22" t="s">
        <v>9</v>
      </c>
      <c r="E734" s="22" t="s">
        <v>27</v>
      </c>
      <c r="F734" s="22">
        <v>731.729</v>
      </c>
    </row>
    <row r="735" spans="1:6">
      <c r="A735" s="22" t="s">
        <v>2215</v>
      </c>
      <c r="B735" s="22" t="s">
        <v>1102</v>
      </c>
      <c r="C735" s="22" t="s">
        <v>2216</v>
      </c>
      <c r="D735" s="22" t="s">
        <v>9</v>
      </c>
      <c r="E735" s="22" t="s">
        <v>35</v>
      </c>
      <c r="F735" s="22">
        <v>89.486</v>
      </c>
    </row>
    <row r="736" spans="1:6">
      <c r="A736" s="22" t="s">
        <v>2217</v>
      </c>
      <c r="B736" s="22" t="s">
        <v>2218</v>
      </c>
      <c r="C736" s="22" t="s">
        <v>2219</v>
      </c>
      <c r="D736" s="22" t="s">
        <v>9</v>
      </c>
      <c r="E736" s="22" t="s">
        <v>23</v>
      </c>
      <c r="F736" s="22">
        <v>7222.981</v>
      </c>
    </row>
    <row r="737" spans="1:6">
      <c r="A737" s="22" t="s">
        <v>2220</v>
      </c>
      <c r="B737" s="22" t="s">
        <v>2221</v>
      </c>
      <c r="C737" s="22" t="s">
        <v>2222</v>
      </c>
      <c r="D737" s="22" t="s">
        <v>9</v>
      </c>
      <c r="E737" s="22" t="s">
        <v>35</v>
      </c>
      <c r="F737" s="22">
        <v>345.933</v>
      </c>
    </row>
    <row r="738" spans="1:6">
      <c r="A738" s="22" t="s">
        <v>2223</v>
      </c>
      <c r="B738" s="22" t="s">
        <v>2224</v>
      </c>
      <c r="C738" s="22" t="s">
        <v>2225</v>
      </c>
      <c r="D738" s="22" t="s">
        <v>9</v>
      </c>
      <c r="E738" s="22" t="s">
        <v>23</v>
      </c>
      <c r="F738" s="22">
        <v>94.804</v>
      </c>
    </row>
    <row r="739" spans="1:6">
      <c r="A739" s="22" t="s">
        <v>2226</v>
      </c>
      <c r="B739" s="22" t="s">
        <v>2227</v>
      </c>
      <c r="C739" s="22" t="s">
        <v>2228</v>
      </c>
      <c r="D739" s="22" t="s">
        <v>9</v>
      </c>
      <c r="E739" s="22" t="s">
        <v>31</v>
      </c>
      <c r="F739" s="22">
        <v>18.218</v>
      </c>
    </row>
    <row r="740" spans="1:6">
      <c r="A740" s="22" t="s">
        <v>2229</v>
      </c>
      <c r="B740" s="22" t="s">
        <v>2230</v>
      </c>
      <c r="C740" s="22" t="s">
        <v>2231</v>
      </c>
      <c r="D740" s="22" t="s">
        <v>9</v>
      </c>
      <c r="E740" s="22" t="s">
        <v>35</v>
      </c>
      <c r="F740" s="22">
        <v>117.457</v>
      </c>
    </row>
    <row r="741" spans="1:6">
      <c r="A741" s="22" t="s">
        <v>2232</v>
      </c>
      <c r="B741" s="22" t="s">
        <v>2233</v>
      </c>
      <c r="C741" s="22" t="s">
        <v>2234</v>
      </c>
      <c r="D741" s="22" t="s">
        <v>9</v>
      </c>
      <c r="E741" s="22" t="s">
        <v>23</v>
      </c>
      <c r="F741" s="22">
        <v>354.537</v>
      </c>
    </row>
    <row r="742" spans="1:6">
      <c r="A742" s="22" t="s">
        <v>2235</v>
      </c>
      <c r="B742" s="22" t="s">
        <v>2236</v>
      </c>
      <c r="C742" s="22" t="s">
        <v>2237</v>
      </c>
      <c r="D742" s="22" t="s">
        <v>9</v>
      </c>
      <c r="E742" s="22" t="s">
        <v>23</v>
      </c>
      <c r="F742" s="22">
        <v>13837.479</v>
      </c>
    </row>
    <row r="743" spans="1:6">
      <c r="A743" s="22" t="s">
        <v>2238</v>
      </c>
      <c r="B743" s="22" t="s">
        <v>1241</v>
      </c>
      <c r="C743" s="22" t="s">
        <v>2239</v>
      </c>
      <c r="D743" s="22" t="s">
        <v>9</v>
      </c>
      <c r="E743" s="22" t="s">
        <v>27</v>
      </c>
      <c r="F743" s="22">
        <v>726.485</v>
      </c>
    </row>
    <row r="744" spans="1:6">
      <c r="A744" s="22" t="s">
        <v>2240</v>
      </c>
      <c r="B744" s="22" t="s">
        <v>2241</v>
      </c>
      <c r="C744" s="22" t="s">
        <v>2242</v>
      </c>
      <c r="D744" s="22" t="s">
        <v>9</v>
      </c>
      <c r="E744" s="22" t="s">
        <v>23</v>
      </c>
      <c r="F744" s="22">
        <v>17.941</v>
      </c>
    </row>
    <row r="745" spans="1:6">
      <c r="A745" s="22" t="s">
        <v>2243</v>
      </c>
      <c r="B745" s="22" t="s">
        <v>2244</v>
      </c>
      <c r="C745" s="22" t="s">
        <v>2245</v>
      </c>
      <c r="D745" s="22" t="s">
        <v>9</v>
      </c>
      <c r="E745" s="22" t="s">
        <v>23</v>
      </c>
      <c r="F745" s="22">
        <v>4.346</v>
      </c>
    </row>
    <row r="746" spans="1:6">
      <c r="A746" s="22" t="s">
        <v>2246</v>
      </c>
      <c r="B746" s="22" t="s">
        <v>2247</v>
      </c>
      <c r="C746" s="22" t="s">
        <v>2248</v>
      </c>
      <c r="D746" s="22" t="s">
        <v>9</v>
      </c>
      <c r="E746" s="22" t="s">
        <v>35</v>
      </c>
      <c r="F746" s="22">
        <v>476.668</v>
      </c>
    </row>
    <row r="747" spans="1:6">
      <c r="A747" s="22" t="s">
        <v>2249</v>
      </c>
      <c r="B747" s="22" t="s">
        <v>2250</v>
      </c>
      <c r="C747" s="22" t="s">
        <v>2251</v>
      </c>
      <c r="D747" s="22" t="s">
        <v>9</v>
      </c>
      <c r="E747" s="22" t="s">
        <v>31</v>
      </c>
      <c r="F747" s="22">
        <v>30.64</v>
      </c>
    </row>
    <row r="748" spans="1:6">
      <c r="A748" s="22" t="s">
        <v>2252</v>
      </c>
      <c r="B748" s="22" t="s">
        <v>2253</v>
      </c>
      <c r="C748" s="22" t="s">
        <v>2254</v>
      </c>
      <c r="D748" s="22" t="s">
        <v>9</v>
      </c>
      <c r="E748" s="22" t="s">
        <v>35</v>
      </c>
      <c r="F748" s="22">
        <v>32.548</v>
      </c>
    </row>
    <row r="749" spans="1:6">
      <c r="A749" s="22" t="s">
        <v>2255</v>
      </c>
      <c r="B749" s="22" t="s">
        <v>2256</v>
      </c>
      <c r="C749" s="22" t="s">
        <v>2257</v>
      </c>
      <c r="D749" s="22" t="s">
        <v>9</v>
      </c>
      <c r="E749" s="22" t="s">
        <v>23</v>
      </c>
      <c r="F749" s="22">
        <v>271.871</v>
      </c>
    </row>
    <row r="750" spans="1:6">
      <c r="A750" s="22" t="s">
        <v>2258</v>
      </c>
      <c r="B750" s="22" t="s">
        <v>2259</v>
      </c>
      <c r="C750" s="22" t="s">
        <v>2260</v>
      </c>
      <c r="D750" s="22" t="s">
        <v>9</v>
      </c>
      <c r="E750" s="22" t="s">
        <v>23</v>
      </c>
      <c r="F750" s="22">
        <v>33.015</v>
      </c>
    </row>
    <row r="751" spans="1:6">
      <c r="A751" s="22" t="s">
        <v>2261</v>
      </c>
      <c r="B751" s="22" t="s">
        <v>2262</v>
      </c>
      <c r="C751" s="22" t="s">
        <v>2263</v>
      </c>
      <c r="D751" s="22" t="s">
        <v>9</v>
      </c>
      <c r="E751" s="22" t="s">
        <v>23</v>
      </c>
      <c r="F751" s="22">
        <v>42170.652</v>
      </c>
    </row>
    <row r="752" spans="1:6">
      <c r="A752" s="22" t="s">
        <v>2264</v>
      </c>
      <c r="B752" s="22" t="s">
        <v>2265</v>
      </c>
      <c r="C752" s="22" t="s">
        <v>2266</v>
      </c>
      <c r="D752" s="22" t="s">
        <v>9</v>
      </c>
      <c r="E752" s="22" t="s">
        <v>35</v>
      </c>
      <c r="F752" s="22">
        <v>48.559</v>
      </c>
    </row>
    <row r="753" spans="1:6">
      <c r="A753" s="22" t="s">
        <v>2267</v>
      </c>
      <c r="B753" s="22" t="s">
        <v>2268</v>
      </c>
      <c r="C753" s="22" t="s">
        <v>2269</v>
      </c>
      <c r="D753" s="22" t="s">
        <v>9</v>
      </c>
      <c r="E753" s="22" t="s">
        <v>23</v>
      </c>
      <c r="F753" s="22">
        <v>9.85</v>
      </c>
    </row>
    <row r="754" spans="1:6">
      <c r="A754" s="22" t="s">
        <v>2270</v>
      </c>
      <c r="B754" s="22" t="s">
        <v>2271</v>
      </c>
      <c r="C754" s="22" t="s">
        <v>2272</v>
      </c>
      <c r="D754" s="22" t="s">
        <v>9</v>
      </c>
      <c r="E754" s="22" t="s">
        <v>23</v>
      </c>
      <c r="F754" s="22">
        <v>310.16</v>
      </c>
    </row>
    <row r="755" spans="1:6">
      <c r="A755" s="22" t="s">
        <v>2273</v>
      </c>
      <c r="B755" s="22" t="s">
        <v>2274</v>
      </c>
      <c r="C755" s="22" t="s">
        <v>2275</v>
      </c>
      <c r="D755" s="22" t="s">
        <v>9</v>
      </c>
      <c r="E755" s="22" t="s">
        <v>23</v>
      </c>
      <c r="F755" s="22">
        <v>215.023</v>
      </c>
    </row>
    <row r="756" spans="1:6">
      <c r="A756" s="22" t="s">
        <v>2276</v>
      </c>
      <c r="B756" s="22" t="s">
        <v>2277</v>
      </c>
      <c r="C756" s="22" t="s">
        <v>2278</v>
      </c>
      <c r="D756" s="22" t="s">
        <v>9</v>
      </c>
      <c r="E756" s="22" t="s">
        <v>27</v>
      </c>
      <c r="F756" s="22">
        <v>350.382</v>
      </c>
    </row>
    <row r="757" spans="1:6">
      <c r="A757" s="22" t="s">
        <v>2279</v>
      </c>
      <c r="B757" s="22" t="s">
        <v>2280</v>
      </c>
      <c r="C757" s="22" t="s">
        <v>2281</v>
      </c>
      <c r="D757" s="22" t="s">
        <v>9</v>
      </c>
      <c r="E757" s="22" t="s">
        <v>23</v>
      </c>
      <c r="F757" s="22">
        <v>20.687</v>
      </c>
    </row>
    <row r="758" spans="1:6">
      <c r="A758" s="22" t="s">
        <v>2282</v>
      </c>
      <c r="B758" s="22" t="s">
        <v>2283</v>
      </c>
      <c r="C758" s="22" t="s">
        <v>2284</v>
      </c>
      <c r="D758" s="22" t="s">
        <v>9</v>
      </c>
      <c r="E758" s="22" t="s">
        <v>27</v>
      </c>
      <c r="F758" s="22">
        <v>21.287</v>
      </c>
    </row>
    <row r="759" spans="1:6">
      <c r="A759" s="22" t="s">
        <v>2285</v>
      </c>
      <c r="B759" s="22" t="s">
        <v>2286</v>
      </c>
      <c r="C759" s="22" t="s">
        <v>2287</v>
      </c>
      <c r="D759" s="22" t="s">
        <v>9</v>
      </c>
      <c r="E759" s="22" t="s">
        <v>35</v>
      </c>
      <c r="F759" s="22">
        <v>3139.228</v>
      </c>
    </row>
    <row r="760" spans="1:6">
      <c r="A760" s="22" t="s">
        <v>2288</v>
      </c>
      <c r="B760" s="22" t="s">
        <v>2289</v>
      </c>
      <c r="C760" s="22" t="s">
        <v>2290</v>
      </c>
      <c r="D760" s="22" t="s">
        <v>9</v>
      </c>
      <c r="E760" s="22" t="s">
        <v>31</v>
      </c>
      <c r="F760" s="22">
        <v>54.459</v>
      </c>
    </row>
    <row r="761" spans="1:6">
      <c r="A761" s="22" t="s">
        <v>2291</v>
      </c>
      <c r="B761" s="22" t="s">
        <v>2292</v>
      </c>
      <c r="C761" s="22" t="s">
        <v>2293</v>
      </c>
      <c r="D761" s="22" t="s">
        <v>9</v>
      </c>
      <c r="E761" s="22" t="s">
        <v>57</v>
      </c>
      <c r="F761" s="22">
        <v>281.92</v>
      </c>
    </row>
    <row r="762" spans="1:6">
      <c r="A762" s="22" t="s">
        <v>2294</v>
      </c>
      <c r="B762" s="22" t="s">
        <v>2295</v>
      </c>
      <c r="C762" s="22" t="s">
        <v>2296</v>
      </c>
      <c r="D762" s="22" t="s">
        <v>9</v>
      </c>
      <c r="E762" s="22" t="s">
        <v>35</v>
      </c>
      <c r="F762" s="22">
        <v>35.407</v>
      </c>
    </row>
    <row r="763" spans="1:6">
      <c r="A763" s="22" t="s">
        <v>2297</v>
      </c>
      <c r="B763" s="22" t="s">
        <v>2298</v>
      </c>
      <c r="C763" s="22" t="s">
        <v>2299</v>
      </c>
      <c r="D763" s="22" t="s">
        <v>9</v>
      </c>
      <c r="E763" s="22" t="s">
        <v>23</v>
      </c>
      <c r="F763" s="22">
        <v>232.008</v>
      </c>
    </row>
    <row r="764" spans="1:6">
      <c r="A764" s="22" t="s">
        <v>2300</v>
      </c>
      <c r="B764" s="22" t="s">
        <v>2301</v>
      </c>
      <c r="C764" s="22" t="s">
        <v>2302</v>
      </c>
      <c r="D764" s="22" t="s">
        <v>9</v>
      </c>
      <c r="E764" s="22" t="s">
        <v>23</v>
      </c>
      <c r="F764" s="22">
        <v>22.862</v>
      </c>
    </row>
    <row r="765" spans="1:6">
      <c r="A765" s="22" t="s">
        <v>2303</v>
      </c>
      <c r="B765" s="22" t="s">
        <v>2304</v>
      </c>
      <c r="C765" s="22" t="s">
        <v>2305</v>
      </c>
      <c r="D765" s="22" t="s">
        <v>9</v>
      </c>
      <c r="E765" s="22" t="s">
        <v>23</v>
      </c>
      <c r="F765" s="22">
        <v>4198.553</v>
      </c>
    </row>
    <row r="766" spans="1:6">
      <c r="A766" s="22" t="s">
        <v>2306</v>
      </c>
      <c r="B766" s="22" t="s">
        <v>2307</v>
      </c>
      <c r="C766" s="22" t="s">
        <v>2308</v>
      </c>
      <c r="D766" s="22" t="s">
        <v>9</v>
      </c>
      <c r="E766" s="22" t="s">
        <v>23</v>
      </c>
      <c r="F766" s="22">
        <v>967.021</v>
      </c>
    </row>
    <row r="767" spans="1:6">
      <c r="A767" s="22" t="s">
        <v>2309</v>
      </c>
      <c r="B767" s="22" t="s">
        <v>2310</v>
      </c>
      <c r="C767" s="22" t="s">
        <v>2311</v>
      </c>
      <c r="D767" s="22" t="s">
        <v>9</v>
      </c>
      <c r="E767" s="22" t="s">
        <v>27</v>
      </c>
      <c r="F767" s="22">
        <v>22.675</v>
      </c>
    </row>
    <row r="768" spans="1:6">
      <c r="A768" s="22" t="s">
        <v>2312</v>
      </c>
      <c r="B768" s="22" t="s">
        <v>2313</v>
      </c>
      <c r="C768" s="22" t="s">
        <v>2314</v>
      </c>
      <c r="D768" s="22" t="s">
        <v>9</v>
      </c>
      <c r="E768" s="22" t="s">
        <v>23</v>
      </c>
      <c r="F768" s="22">
        <v>789.355</v>
      </c>
    </row>
    <row r="769" spans="1:6">
      <c r="A769" s="22" t="s">
        <v>2315</v>
      </c>
      <c r="B769" s="22" t="s">
        <v>2316</v>
      </c>
      <c r="C769" s="22" t="s">
        <v>2317</v>
      </c>
      <c r="D769" s="22" t="s">
        <v>9</v>
      </c>
      <c r="E769" s="22" t="s">
        <v>35</v>
      </c>
      <c r="F769" s="22">
        <v>40.731</v>
      </c>
    </row>
    <row r="770" spans="1:6">
      <c r="A770" s="22" t="s">
        <v>2318</v>
      </c>
      <c r="B770" s="22" t="s">
        <v>2319</v>
      </c>
      <c r="C770" s="22" t="s">
        <v>2320</v>
      </c>
      <c r="D770" s="22" t="s">
        <v>9</v>
      </c>
      <c r="E770" s="22" t="s">
        <v>31</v>
      </c>
      <c r="F770" s="22">
        <v>72.396</v>
      </c>
    </row>
    <row r="771" spans="1:6">
      <c r="A771" s="22" t="s">
        <v>2321</v>
      </c>
      <c r="B771" s="22" t="s">
        <v>2322</v>
      </c>
      <c r="C771" s="22" t="s">
        <v>2323</v>
      </c>
      <c r="D771" s="22" t="s">
        <v>9</v>
      </c>
      <c r="E771" s="22" t="s">
        <v>93</v>
      </c>
      <c r="F771" s="22">
        <v>30.468</v>
      </c>
    </row>
    <row r="772" spans="1:6">
      <c r="A772" s="22" t="s">
        <v>2324</v>
      </c>
      <c r="B772" s="22" t="s">
        <v>2325</v>
      </c>
      <c r="C772" s="22" t="s">
        <v>2326</v>
      </c>
      <c r="D772" s="22" t="s">
        <v>9</v>
      </c>
      <c r="E772" s="22" t="s">
        <v>27</v>
      </c>
      <c r="F772" s="22">
        <v>26.527</v>
      </c>
    </row>
    <row r="773" spans="1:6">
      <c r="A773" s="22" t="s">
        <v>2327</v>
      </c>
      <c r="B773" s="22" t="s">
        <v>2328</v>
      </c>
      <c r="C773" s="22" t="s">
        <v>2329</v>
      </c>
      <c r="D773" s="22" t="s">
        <v>9</v>
      </c>
      <c r="E773" s="22" t="s">
        <v>35</v>
      </c>
      <c r="F773" s="22">
        <v>0.667</v>
      </c>
    </row>
    <row r="774" spans="1:6">
      <c r="A774" s="22" t="s">
        <v>2330</v>
      </c>
      <c r="B774" s="22" t="s">
        <v>2331</v>
      </c>
      <c r="C774" s="22" t="s">
        <v>2332</v>
      </c>
      <c r="D774" s="22" t="s">
        <v>9</v>
      </c>
      <c r="E774" s="22" t="s">
        <v>23</v>
      </c>
      <c r="F774" s="22">
        <v>232.672</v>
      </c>
    </row>
    <row r="775" spans="1:6">
      <c r="A775" s="22" t="s">
        <v>2333</v>
      </c>
      <c r="B775" s="22" t="s">
        <v>2334</v>
      </c>
      <c r="C775" s="22" t="s">
        <v>2335</v>
      </c>
      <c r="D775" s="22" t="s">
        <v>9</v>
      </c>
      <c r="E775" s="22" t="s">
        <v>23</v>
      </c>
      <c r="F775" s="22">
        <v>993.668</v>
      </c>
    </row>
    <row r="776" spans="1:6">
      <c r="A776" s="22" t="s">
        <v>2336</v>
      </c>
      <c r="B776" s="22" t="s">
        <v>1938</v>
      </c>
      <c r="C776" s="22" t="s">
        <v>2337</v>
      </c>
      <c r="D776" s="22" t="s">
        <v>9</v>
      </c>
      <c r="E776" s="22" t="s">
        <v>23</v>
      </c>
      <c r="F776" s="22">
        <v>11.791</v>
      </c>
    </row>
    <row r="777" spans="1:6">
      <c r="A777" s="22" t="s">
        <v>2338</v>
      </c>
      <c r="B777" s="22" t="s">
        <v>2339</v>
      </c>
      <c r="C777" s="22" t="s">
        <v>2340</v>
      </c>
      <c r="D777" s="22" t="s">
        <v>9</v>
      </c>
      <c r="E777" s="22" t="s">
        <v>23</v>
      </c>
      <c r="F777" s="22">
        <v>537.501</v>
      </c>
    </row>
    <row r="778" spans="1:6">
      <c r="A778" s="22" t="s">
        <v>2341</v>
      </c>
      <c r="B778" s="22" t="s">
        <v>2342</v>
      </c>
      <c r="C778" s="22" t="s">
        <v>2343</v>
      </c>
      <c r="D778" s="22" t="s">
        <v>9</v>
      </c>
      <c r="E778" s="22" t="s">
        <v>27</v>
      </c>
      <c r="F778" s="22">
        <v>61.133</v>
      </c>
    </row>
    <row r="779" spans="1:6">
      <c r="A779" s="22" t="s">
        <v>2344</v>
      </c>
      <c r="B779" s="22" t="s">
        <v>2345</v>
      </c>
      <c r="C779" s="22" t="s">
        <v>2346</v>
      </c>
      <c r="D779" s="22" t="s">
        <v>9</v>
      </c>
      <c r="E779" s="22" t="s">
        <v>35</v>
      </c>
      <c r="F779" s="22">
        <v>30.732</v>
      </c>
    </row>
    <row r="780" spans="1:6">
      <c r="A780" s="22" t="s">
        <v>2347</v>
      </c>
      <c r="B780" s="22" t="s">
        <v>2227</v>
      </c>
      <c r="C780" s="22" t="s">
        <v>2348</v>
      </c>
      <c r="D780" s="22" t="s">
        <v>9</v>
      </c>
      <c r="E780" s="22" t="s">
        <v>31</v>
      </c>
      <c r="F780" s="22">
        <v>233.85</v>
      </c>
    </row>
    <row r="781" spans="1:6">
      <c r="A781" s="22" t="s">
        <v>2349</v>
      </c>
      <c r="B781" s="22" t="s">
        <v>2350</v>
      </c>
      <c r="C781" s="22" t="s">
        <v>2351</v>
      </c>
      <c r="D781" s="22" t="s">
        <v>9</v>
      </c>
      <c r="E781" s="22" t="s">
        <v>35</v>
      </c>
      <c r="F781" s="22">
        <v>42.496</v>
      </c>
    </row>
    <row r="782" spans="1:6">
      <c r="A782" s="22" t="s">
        <v>2352</v>
      </c>
      <c r="B782" s="22" t="s">
        <v>2353</v>
      </c>
      <c r="C782" s="22" t="s">
        <v>2354</v>
      </c>
      <c r="D782" s="22" t="s">
        <v>9</v>
      </c>
      <c r="E782" s="22" t="s">
        <v>27</v>
      </c>
      <c r="F782" s="22">
        <v>107.158</v>
      </c>
    </row>
    <row r="783" spans="1:6">
      <c r="A783" s="22" t="s">
        <v>2355</v>
      </c>
      <c r="B783" s="22" t="s">
        <v>2356</v>
      </c>
      <c r="C783" s="22" t="s">
        <v>2357</v>
      </c>
      <c r="D783" s="22" t="s">
        <v>9</v>
      </c>
      <c r="E783" s="22" t="s">
        <v>23</v>
      </c>
      <c r="F783" s="22">
        <v>436.124</v>
      </c>
    </row>
    <row r="784" spans="1:6">
      <c r="A784" s="22" t="s">
        <v>2358</v>
      </c>
      <c r="B784" s="22" t="s">
        <v>2359</v>
      </c>
      <c r="C784" s="22" t="s">
        <v>2360</v>
      </c>
      <c r="D784" s="22" t="s">
        <v>9</v>
      </c>
      <c r="E784" s="22" t="s">
        <v>27</v>
      </c>
      <c r="F784" s="22">
        <v>1008.918</v>
      </c>
    </row>
    <row r="785" spans="1:6">
      <c r="A785" s="22" t="s">
        <v>2361</v>
      </c>
      <c r="B785" s="22" t="s">
        <v>2362</v>
      </c>
      <c r="C785" s="22" t="s">
        <v>2363</v>
      </c>
      <c r="D785" s="22" t="s">
        <v>9</v>
      </c>
      <c r="E785" s="22" t="s">
        <v>23</v>
      </c>
      <c r="F785" s="22">
        <v>204.173</v>
      </c>
    </row>
    <row r="786" spans="1:6">
      <c r="A786" s="22" t="s">
        <v>2364</v>
      </c>
      <c r="B786" s="22" t="s">
        <v>2365</v>
      </c>
      <c r="C786" s="22" t="s">
        <v>2366</v>
      </c>
      <c r="D786" s="22" t="s">
        <v>9</v>
      </c>
      <c r="E786" s="22" t="s">
        <v>23</v>
      </c>
      <c r="F786" s="22">
        <v>3204.393</v>
      </c>
    </row>
    <row r="787" spans="1:6">
      <c r="A787" s="22" t="s">
        <v>2367</v>
      </c>
      <c r="B787" s="22" t="s">
        <v>2368</v>
      </c>
      <c r="C787" s="22" t="s">
        <v>2369</v>
      </c>
      <c r="D787" s="22" t="s">
        <v>9</v>
      </c>
      <c r="E787" s="22" t="s">
        <v>35</v>
      </c>
      <c r="F787" s="22">
        <v>1139.103</v>
      </c>
    </row>
    <row r="788" spans="1:6">
      <c r="A788" s="22" t="s">
        <v>2370</v>
      </c>
      <c r="B788" s="22" t="s">
        <v>2371</v>
      </c>
      <c r="C788" s="22" t="s">
        <v>2372</v>
      </c>
      <c r="D788" s="22" t="s">
        <v>9</v>
      </c>
      <c r="E788" s="22" t="s">
        <v>23</v>
      </c>
      <c r="F788" s="22">
        <v>99.351</v>
      </c>
    </row>
    <row r="789" spans="1:6">
      <c r="A789" s="22" t="s">
        <v>2373</v>
      </c>
      <c r="B789" s="22" t="s">
        <v>2374</v>
      </c>
      <c r="C789" s="22" t="s">
        <v>2375</v>
      </c>
      <c r="D789" s="22" t="s">
        <v>9</v>
      </c>
      <c r="E789" s="22" t="s">
        <v>23</v>
      </c>
      <c r="F789" s="22">
        <v>2050.23</v>
      </c>
    </row>
    <row r="790" spans="1:6">
      <c r="A790" s="22" t="s">
        <v>2376</v>
      </c>
      <c r="B790" s="22" t="s">
        <v>2377</v>
      </c>
      <c r="C790" s="22" t="s">
        <v>2378</v>
      </c>
      <c r="D790" s="22" t="s">
        <v>9</v>
      </c>
      <c r="E790" s="22" t="s">
        <v>23</v>
      </c>
      <c r="F790" s="22">
        <v>288.081</v>
      </c>
    </row>
    <row r="791" spans="1:6">
      <c r="A791" s="22" t="s">
        <v>2379</v>
      </c>
      <c r="B791" s="22" t="s">
        <v>2380</v>
      </c>
      <c r="C791" s="22" t="s">
        <v>2381</v>
      </c>
      <c r="D791" s="22" t="s">
        <v>9</v>
      </c>
      <c r="E791" s="22" t="s">
        <v>57</v>
      </c>
      <c r="F791" s="22">
        <v>5.215</v>
      </c>
    </row>
    <row r="792" spans="1:6">
      <c r="A792" s="22" t="s">
        <v>2382</v>
      </c>
      <c r="B792" s="22" t="s">
        <v>2383</v>
      </c>
      <c r="C792" s="22" t="s">
        <v>2384</v>
      </c>
      <c r="D792" s="22" t="s">
        <v>9</v>
      </c>
      <c r="E792" s="22" t="s">
        <v>35</v>
      </c>
      <c r="F792" s="22">
        <v>638.356</v>
      </c>
    </row>
    <row r="793" spans="1:6">
      <c r="A793" s="22" t="s">
        <v>2385</v>
      </c>
      <c r="B793" s="22" t="s">
        <v>2386</v>
      </c>
      <c r="C793" s="22" t="s">
        <v>2387</v>
      </c>
      <c r="D793" s="22" t="s">
        <v>9</v>
      </c>
      <c r="E793" s="22" t="s">
        <v>27</v>
      </c>
      <c r="F793" s="22">
        <v>233.671</v>
      </c>
    </row>
    <row r="794" spans="1:6">
      <c r="A794" s="22" t="s">
        <v>2388</v>
      </c>
      <c r="B794" s="22" t="s">
        <v>2389</v>
      </c>
      <c r="C794" s="22" t="s">
        <v>2390</v>
      </c>
      <c r="D794" s="22" t="s">
        <v>9</v>
      </c>
      <c r="E794" s="22" t="s">
        <v>27</v>
      </c>
      <c r="F794" s="22">
        <v>273.776</v>
      </c>
    </row>
    <row r="795" spans="1:6">
      <c r="A795" s="22" t="s">
        <v>2391</v>
      </c>
      <c r="B795" s="22" t="s">
        <v>2392</v>
      </c>
      <c r="C795" s="22" t="s">
        <v>2393</v>
      </c>
      <c r="D795" s="22" t="s">
        <v>9</v>
      </c>
      <c r="E795" s="22" t="s">
        <v>23</v>
      </c>
      <c r="F795" s="22">
        <v>3.031</v>
      </c>
    </row>
    <row r="796" spans="1:6">
      <c r="A796" s="22" t="s">
        <v>2394</v>
      </c>
      <c r="B796" s="22" t="s">
        <v>2395</v>
      </c>
      <c r="C796" s="22" t="s">
        <v>2396</v>
      </c>
      <c r="D796" s="22" t="s">
        <v>9</v>
      </c>
      <c r="E796" s="22" t="s">
        <v>35</v>
      </c>
      <c r="F796" s="22">
        <v>2108.915</v>
      </c>
    </row>
    <row r="797" spans="1:6">
      <c r="A797" s="22" t="s">
        <v>2397</v>
      </c>
      <c r="B797" s="22" t="s">
        <v>2398</v>
      </c>
      <c r="C797" s="22" t="s">
        <v>2399</v>
      </c>
      <c r="D797" s="22" t="s">
        <v>9</v>
      </c>
      <c r="E797" s="22" t="s">
        <v>35</v>
      </c>
      <c r="F797" s="22">
        <v>1668.817</v>
      </c>
    </row>
    <row r="798" spans="1:6">
      <c r="A798" s="22" t="s">
        <v>2400</v>
      </c>
      <c r="B798" s="22" t="s">
        <v>2401</v>
      </c>
      <c r="C798" s="22" t="s">
        <v>2402</v>
      </c>
      <c r="D798" s="22" t="s">
        <v>9</v>
      </c>
      <c r="E798" s="22" t="s">
        <v>39</v>
      </c>
      <c r="F798" s="22">
        <v>6287.372</v>
      </c>
    </row>
    <row r="799" spans="1:6">
      <c r="A799" s="22" t="s">
        <v>2403</v>
      </c>
      <c r="B799" s="22" t="s">
        <v>2404</v>
      </c>
      <c r="C799" s="22" t="s">
        <v>2405</v>
      </c>
      <c r="D799" s="22" t="s">
        <v>9</v>
      </c>
      <c r="E799" s="22" t="s">
        <v>23</v>
      </c>
      <c r="F799" s="22">
        <v>359.991</v>
      </c>
    </row>
    <row r="800" spans="1:6">
      <c r="A800" s="22" t="s">
        <v>2406</v>
      </c>
      <c r="B800" s="22" t="s">
        <v>2407</v>
      </c>
      <c r="C800" s="22" t="s">
        <v>2408</v>
      </c>
      <c r="D800" s="22" t="s">
        <v>9</v>
      </c>
      <c r="E800" s="22" t="s">
        <v>78</v>
      </c>
      <c r="F800" s="22">
        <v>547.022</v>
      </c>
    </row>
    <row r="801" spans="1:6">
      <c r="A801" s="22" t="s">
        <v>2409</v>
      </c>
      <c r="B801" s="22" t="s">
        <v>1296</v>
      </c>
      <c r="C801" s="22" t="s">
        <v>2410</v>
      </c>
      <c r="D801" s="22" t="s">
        <v>9</v>
      </c>
      <c r="E801" s="22" t="s">
        <v>23</v>
      </c>
      <c r="F801" s="22">
        <v>690.682</v>
      </c>
    </row>
    <row r="802" spans="1:6">
      <c r="A802" s="22" t="s">
        <v>2411</v>
      </c>
      <c r="B802" s="22" t="s">
        <v>2412</v>
      </c>
      <c r="C802" s="22" t="s">
        <v>2413</v>
      </c>
      <c r="D802" s="22" t="s">
        <v>9</v>
      </c>
      <c r="E802" s="22" t="s">
        <v>31</v>
      </c>
      <c r="F802" s="22">
        <v>63.731</v>
      </c>
    </row>
    <row r="803" spans="1:6">
      <c r="A803" s="22" t="s">
        <v>2414</v>
      </c>
      <c r="B803" s="22" t="s">
        <v>2415</v>
      </c>
      <c r="C803" s="22" t="s">
        <v>2416</v>
      </c>
      <c r="D803" s="22" t="s">
        <v>9</v>
      </c>
      <c r="E803" s="22" t="s">
        <v>40</v>
      </c>
      <c r="F803" s="22">
        <v>5.041</v>
      </c>
    </row>
    <row r="804" spans="1:6">
      <c r="A804" s="22" t="s">
        <v>2417</v>
      </c>
      <c r="B804" s="22" t="s">
        <v>2418</v>
      </c>
      <c r="C804" s="22" t="s">
        <v>2419</v>
      </c>
      <c r="D804" s="22" t="s">
        <v>9</v>
      </c>
      <c r="E804" s="22" t="s">
        <v>23</v>
      </c>
      <c r="F804" s="22">
        <v>116.488</v>
      </c>
    </row>
    <row r="805" spans="1:6">
      <c r="A805" s="22" t="s">
        <v>2420</v>
      </c>
      <c r="B805" s="22" t="s">
        <v>2421</v>
      </c>
      <c r="C805" s="22" t="s">
        <v>2422</v>
      </c>
      <c r="D805" s="22" t="s">
        <v>9</v>
      </c>
      <c r="E805" s="22" t="s">
        <v>23</v>
      </c>
      <c r="F805" s="22">
        <v>4.011</v>
      </c>
    </row>
    <row r="806" spans="1:6">
      <c r="A806" s="22" t="s">
        <v>2423</v>
      </c>
      <c r="B806" s="22" t="s">
        <v>2424</v>
      </c>
      <c r="C806" s="22" t="s">
        <v>2425</v>
      </c>
      <c r="D806" s="22" t="s">
        <v>9</v>
      </c>
      <c r="E806" s="22" t="s">
        <v>35</v>
      </c>
      <c r="F806" s="22">
        <v>42.805</v>
      </c>
    </row>
    <row r="807" spans="1:6">
      <c r="A807" s="22" t="s">
        <v>2426</v>
      </c>
      <c r="B807" s="22" t="s">
        <v>2427</v>
      </c>
      <c r="C807" s="22" t="s">
        <v>2428</v>
      </c>
      <c r="D807" s="22" t="s">
        <v>9</v>
      </c>
      <c r="E807" s="22" t="s">
        <v>50</v>
      </c>
      <c r="F807" s="22">
        <v>9.504</v>
      </c>
    </row>
    <row r="808" spans="1:6">
      <c r="A808" s="22" t="s">
        <v>2429</v>
      </c>
      <c r="B808" s="22" t="s">
        <v>2430</v>
      </c>
      <c r="C808" s="22" t="s">
        <v>2431</v>
      </c>
      <c r="D808" s="22" t="s">
        <v>9</v>
      </c>
      <c r="E808" s="22" t="s">
        <v>23</v>
      </c>
      <c r="F808" s="22">
        <v>109.293</v>
      </c>
    </row>
    <row r="809" spans="1:6">
      <c r="A809" s="22" t="s">
        <v>2432</v>
      </c>
      <c r="B809" s="22" t="s">
        <v>2433</v>
      </c>
      <c r="C809" s="22" t="s">
        <v>2434</v>
      </c>
      <c r="D809" s="22" t="s">
        <v>9</v>
      </c>
      <c r="E809" s="22" t="s">
        <v>23</v>
      </c>
      <c r="F809" s="22">
        <v>3.608</v>
      </c>
    </row>
    <row r="810" spans="1:6">
      <c r="A810" s="22" t="s">
        <v>2435</v>
      </c>
      <c r="B810" s="22" t="s">
        <v>2436</v>
      </c>
      <c r="C810" s="22" t="s">
        <v>2437</v>
      </c>
      <c r="D810" s="22" t="s">
        <v>9</v>
      </c>
      <c r="E810" s="22" t="s">
        <v>50</v>
      </c>
      <c r="F810" s="22">
        <v>0.061</v>
      </c>
    </row>
    <row r="811" spans="1:6">
      <c r="A811" s="22" t="s">
        <v>2438</v>
      </c>
      <c r="B811" s="22" t="s">
        <v>2439</v>
      </c>
      <c r="C811" s="22" t="s">
        <v>2440</v>
      </c>
      <c r="D811" s="22" t="s">
        <v>9</v>
      </c>
      <c r="E811" s="22" t="s">
        <v>49</v>
      </c>
      <c r="F811" s="22">
        <v>7.051</v>
      </c>
    </row>
    <row r="812" spans="1:6">
      <c r="A812" s="22" t="s">
        <v>2441</v>
      </c>
      <c r="B812" s="22" t="s">
        <v>2442</v>
      </c>
      <c r="C812" s="22" t="s">
        <v>2443</v>
      </c>
      <c r="D812" s="22" t="s">
        <v>9</v>
      </c>
      <c r="E812" s="22" t="s">
        <v>23</v>
      </c>
      <c r="F812" s="22">
        <v>70.983</v>
      </c>
    </row>
    <row r="813" spans="1:6">
      <c r="A813" s="22" t="s">
        <v>2444</v>
      </c>
      <c r="B813" s="22" t="s">
        <v>2445</v>
      </c>
      <c r="C813" s="22" t="s">
        <v>2446</v>
      </c>
      <c r="D813" s="22" t="s">
        <v>9</v>
      </c>
      <c r="E813" s="22" t="s">
        <v>23</v>
      </c>
      <c r="F813" s="22">
        <v>614.585</v>
      </c>
    </row>
    <row r="814" spans="1:6">
      <c r="A814" s="22" t="s">
        <v>2447</v>
      </c>
      <c r="B814" s="22" t="s">
        <v>2448</v>
      </c>
      <c r="C814" s="22" t="s">
        <v>2449</v>
      </c>
      <c r="D814" s="22" t="s">
        <v>9</v>
      </c>
      <c r="E814" s="22" t="s">
        <v>23</v>
      </c>
      <c r="F814" s="22">
        <v>45461.883</v>
      </c>
    </row>
    <row r="815" spans="1:6">
      <c r="A815" s="22" t="s">
        <v>2450</v>
      </c>
      <c r="B815" s="22" t="s">
        <v>2227</v>
      </c>
      <c r="C815" s="22" t="s">
        <v>2451</v>
      </c>
      <c r="D815" s="22" t="s">
        <v>9</v>
      </c>
      <c r="E815" s="22" t="s">
        <v>31</v>
      </c>
      <c r="F815" s="22">
        <v>2.976</v>
      </c>
    </row>
    <row r="816" spans="1:6">
      <c r="A816" s="22" t="s">
        <v>2452</v>
      </c>
      <c r="B816" s="22" t="s">
        <v>2453</v>
      </c>
      <c r="C816" s="22" t="s">
        <v>2454</v>
      </c>
      <c r="D816" s="22" t="s">
        <v>9</v>
      </c>
      <c r="E816" s="22" t="s">
        <v>23</v>
      </c>
      <c r="F816" s="22">
        <v>87.548</v>
      </c>
    </row>
    <row r="817" spans="1:6">
      <c r="A817" s="22" t="s">
        <v>2455</v>
      </c>
      <c r="B817" s="22" t="s">
        <v>2456</v>
      </c>
      <c r="C817" s="22" t="s">
        <v>2457</v>
      </c>
      <c r="D817" s="22" t="s">
        <v>9</v>
      </c>
      <c r="E817" s="22" t="s">
        <v>23</v>
      </c>
      <c r="F817" s="22">
        <v>3.066</v>
      </c>
    </row>
    <row r="818" spans="1:6">
      <c r="A818" s="22" t="s">
        <v>2458</v>
      </c>
      <c r="B818" s="22" t="s">
        <v>2459</v>
      </c>
      <c r="C818" s="22" t="s">
        <v>2460</v>
      </c>
      <c r="D818" s="22" t="s">
        <v>9</v>
      </c>
      <c r="E818" s="22" t="s">
        <v>143</v>
      </c>
      <c r="F818" s="22">
        <v>5.13</v>
      </c>
    </row>
    <row r="819" spans="1:6">
      <c r="A819" s="22" t="s">
        <v>2461</v>
      </c>
      <c r="B819" s="22" t="s">
        <v>2462</v>
      </c>
      <c r="C819" s="22" t="s">
        <v>2463</v>
      </c>
      <c r="D819" s="22" t="s">
        <v>9</v>
      </c>
      <c r="E819" s="22" t="s">
        <v>23</v>
      </c>
      <c r="F819" s="22">
        <v>17.81</v>
      </c>
    </row>
    <row r="820" spans="1:6">
      <c r="A820" s="22" t="s">
        <v>2464</v>
      </c>
      <c r="B820" s="22" t="s">
        <v>2465</v>
      </c>
      <c r="C820" s="22" t="s">
        <v>2466</v>
      </c>
      <c r="D820" s="22" t="s">
        <v>9</v>
      </c>
      <c r="E820" s="22" t="s">
        <v>23</v>
      </c>
      <c r="F820" s="22">
        <v>55.608</v>
      </c>
    </row>
    <row r="821" spans="1:6">
      <c r="A821" s="22" t="s">
        <v>2467</v>
      </c>
      <c r="B821" s="22" t="s">
        <v>2468</v>
      </c>
      <c r="C821" s="22" t="s">
        <v>2469</v>
      </c>
      <c r="D821" s="22" t="s">
        <v>9</v>
      </c>
      <c r="E821" s="22" t="s">
        <v>23</v>
      </c>
      <c r="F821" s="22">
        <v>100.811</v>
      </c>
    </row>
    <row r="822" spans="1:6">
      <c r="A822" s="22" t="s">
        <v>2470</v>
      </c>
      <c r="B822" s="22" t="s">
        <v>2471</v>
      </c>
      <c r="C822" s="22" t="s">
        <v>2472</v>
      </c>
      <c r="D822" s="22" t="s">
        <v>9</v>
      </c>
      <c r="E822" s="22" t="s">
        <v>35</v>
      </c>
      <c r="F822" s="22">
        <v>132.544</v>
      </c>
    </row>
    <row r="823" spans="1:6">
      <c r="A823" s="22" t="s">
        <v>2473</v>
      </c>
      <c r="B823" s="22" t="s">
        <v>2474</v>
      </c>
      <c r="C823" s="22" t="s">
        <v>2475</v>
      </c>
      <c r="D823" s="22" t="s">
        <v>9</v>
      </c>
      <c r="E823" s="22" t="s">
        <v>23</v>
      </c>
      <c r="F823" s="22">
        <v>3034.3</v>
      </c>
    </row>
    <row r="824" spans="1:6">
      <c r="A824" s="22" t="s">
        <v>2476</v>
      </c>
      <c r="B824" s="22" t="s">
        <v>2477</v>
      </c>
      <c r="C824" s="22" t="s">
        <v>2478</v>
      </c>
      <c r="D824" s="22" t="s">
        <v>9</v>
      </c>
      <c r="E824" s="22" t="s">
        <v>23</v>
      </c>
      <c r="F824" s="22">
        <v>626.126</v>
      </c>
    </row>
    <row r="825" spans="1:6">
      <c r="A825" s="22" t="s">
        <v>2479</v>
      </c>
      <c r="B825" s="22" t="s">
        <v>2480</v>
      </c>
      <c r="C825" s="22" t="s">
        <v>2481</v>
      </c>
      <c r="D825" s="22" t="s">
        <v>9</v>
      </c>
      <c r="E825" s="22" t="s">
        <v>27</v>
      </c>
      <c r="F825" s="22">
        <v>7.72</v>
      </c>
    </row>
    <row r="826" spans="1:6">
      <c r="A826" s="22" t="s">
        <v>2482</v>
      </c>
      <c r="B826" s="22" t="s">
        <v>2483</v>
      </c>
      <c r="C826" s="22" t="s">
        <v>2484</v>
      </c>
      <c r="D826" s="22" t="s">
        <v>9</v>
      </c>
      <c r="E826" s="22" t="s">
        <v>14</v>
      </c>
      <c r="F826" s="22">
        <v>8.987</v>
      </c>
    </row>
    <row r="827" spans="1:6">
      <c r="A827" s="22" t="s">
        <v>2485</v>
      </c>
      <c r="B827" s="22" t="s">
        <v>2486</v>
      </c>
      <c r="C827" s="22" t="s">
        <v>2487</v>
      </c>
      <c r="D827" s="22" t="s">
        <v>9</v>
      </c>
      <c r="E827" s="22" t="s">
        <v>23</v>
      </c>
      <c r="F827" s="22">
        <v>1829.67</v>
      </c>
    </row>
    <row r="828" spans="1:6">
      <c r="A828" s="22" t="s">
        <v>2488</v>
      </c>
      <c r="B828" s="22" t="s">
        <v>2489</v>
      </c>
      <c r="C828" s="22" t="s">
        <v>2490</v>
      </c>
      <c r="D828" s="22" t="s">
        <v>9</v>
      </c>
      <c r="E828" s="22" t="s">
        <v>27</v>
      </c>
      <c r="F828" s="22">
        <v>95.489</v>
      </c>
    </row>
    <row r="829" spans="1:6">
      <c r="A829" s="22" t="s">
        <v>2491</v>
      </c>
      <c r="B829" s="22" t="s">
        <v>2492</v>
      </c>
      <c r="C829" s="22" t="s">
        <v>2493</v>
      </c>
      <c r="D829" s="22" t="s">
        <v>9</v>
      </c>
      <c r="E829" s="22" t="s">
        <v>23</v>
      </c>
      <c r="F829" s="22">
        <v>382.438</v>
      </c>
    </row>
    <row r="830" spans="1:6">
      <c r="A830" s="22" t="s">
        <v>2494</v>
      </c>
      <c r="B830" s="22" t="s">
        <v>2495</v>
      </c>
      <c r="C830" s="22" t="s">
        <v>2496</v>
      </c>
      <c r="D830" s="22" t="s">
        <v>9</v>
      </c>
      <c r="E830" s="22" t="s">
        <v>23</v>
      </c>
      <c r="F830" s="22">
        <v>402.268</v>
      </c>
    </row>
    <row r="831" spans="1:6">
      <c r="A831" s="22" t="s">
        <v>2497</v>
      </c>
      <c r="B831" s="22" t="s">
        <v>2498</v>
      </c>
      <c r="C831" s="22" t="s">
        <v>2499</v>
      </c>
      <c r="D831" s="22" t="s">
        <v>9</v>
      </c>
      <c r="E831" s="22" t="s">
        <v>39</v>
      </c>
      <c r="F831" s="22">
        <v>216.555</v>
      </c>
    </row>
    <row r="832" spans="1:6">
      <c r="A832" s="22" t="s">
        <v>2500</v>
      </c>
      <c r="B832" s="22" t="s">
        <v>2501</v>
      </c>
      <c r="C832" s="22" t="s">
        <v>2502</v>
      </c>
      <c r="D832" s="22" t="s">
        <v>9</v>
      </c>
      <c r="E832" s="22" t="s">
        <v>23</v>
      </c>
      <c r="F832" s="22">
        <v>534.454</v>
      </c>
    </row>
    <row r="833" spans="1:6">
      <c r="A833" s="22" t="s">
        <v>2503</v>
      </c>
      <c r="B833" s="22" t="s">
        <v>2504</v>
      </c>
      <c r="C833" s="22" t="s">
        <v>2505</v>
      </c>
      <c r="D833" s="22" t="s">
        <v>9</v>
      </c>
      <c r="E833" s="22" t="s">
        <v>23</v>
      </c>
      <c r="F833" s="22">
        <v>34.8</v>
      </c>
    </row>
    <row r="834" spans="1:6">
      <c r="A834" s="22" t="s">
        <v>2506</v>
      </c>
      <c r="B834" s="22" t="s">
        <v>2507</v>
      </c>
      <c r="C834" s="22" t="s">
        <v>2508</v>
      </c>
      <c r="D834" s="22" t="s">
        <v>9</v>
      </c>
      <c r="E834" s="22" t="s">
        <v>23</v>
      </c>
      <c r="F834" s="22">
        <v>108.956</v>
      </c>
    </row>
    <row r="835" spans="1:6">
      <c r="A835" s="22" t="s">
        <v>2509</v>
      </c>
      <c r="B835" s="22" t="s">
        <v>2510</v>
      </c>
      <c r="C835" s="22" t="s">
        <v>2511</v>
      </c>
      <c r="D835" s="22" t="s">
        <v>9</v>
      </c>
      <c r="E835" s="22" t="s">
        <v>23</v>
      </c>
      <c r="F835" s="22">
        <v>339.76</v>
      </c>
    </row>
    <row r="836" spans="1:6">
      <c r="A836" s="22" t="s">
        <v>2512</v>
      </c>
      <c r="B836" s="22" t="s">
        <v>2513</v>
      </c>
      <c r="C836" s="22" t="s">
        <v>2514</v>
      </c>
      <c r="D836" s="22" t="s">
        <v>9</v>
      </c>
      <c r="E836" s="22" t="s">
        <v>35</v>
      </c>
      <c r="F836" s="22">
        <v>1427.313</v>
      </c>
    </row>
    <row r="837" spans="1:6">
      <c r="A837" s="22" t="s">
        <v>2515</v>
      </c>
      <c r="B837" s="22" t="s">
        <v>2516</v>
      </c>
      <c r="C837" s="22" t="s">
        <v>2517</v>
      </c>
      <c r="D837" s="22" t="s">
        <v>9</v>
      </c>
      <c r="E837" s="22" t="s">
        <v>44</v>
      </c>
      <c r="F837" s="22">
        <v>502.813</v>
      </c>
    </row>
    <row r="838" spans="1:6">
      <c r="A838" s="22" t="s">
        <v>2518</v>
      </c>
      <c r="B838" s="22" t="s">
        <v>2519</v>
      </c>
      <c r="C838" s="22" t="s">
        <v>2520</v>
      </c>
      <c r="D838" s="22" t="s">
        <v>9</v>
      </c>
      <c r="E838" s="22" t="s">
        <v>23</v>
      </c>
      <c r="F838" s="22">
        <v>3523.764</v>
      </c>
    </row>
    <row r="839" spans="1:6">
      <c r="A839" s="22" t="s">
        <v>2521</v>
      </c>
      <c r="B839" s="22" t="s">
        <v>2522</v>
      </c>
      <c r="C839" s="22" t="s">
        <v>2523</v>
      </c>
      <c r="D839" s="22" t="s">
        <v>9</v>
      </c>
      <c r="E839" s="22" t="s">
        <v>31</v>
      </c>
      <c r="F839" s="22">
        <v>100.496</v>
      </c>
    </row>
    <row r="840" spans="1:6">
      <c r="A840" s="22" t="s">
        <v>2524</v>
      </c>
      <c r="B840" s="22" t="s">
        <v>2525</v>
      </c>
      <c r="C840" s="22" t="s">
        <v>2526</v>
      </c>
      <c r="D840" s="22" t="s">
        <v>9</v>
      </c>
      <c r="E840" s="22" t="s">
        <v>27</v>
      </c>
      <c r="F840" s="22">
        <v>390.094</v>
      </c>
    </row>
    <row r="841" spans="1:6">
      <c r="A841" s="22" t="s">
        <v>2527</v>
      </c>
      <c r="B841" s="22" t="s">
        <v>2528</v>
      </c>
      <c r="C841" s="22" t="s">
        <v>2529</v>
      </c>
      <c r="D841" s="22" t="s">
        <v>9</v>
      </c>
      <c r="E841" s="22" t="s">
        <v>31</v>
      </c>
      <c r="F841" s="22">
        <v>3.62</v>
      </c>
    </row>
    <row r="842" spans="1:6">
      <c r="A842" s="22" t="s">
        <v>2530</v>
      </c>
      <c r="B842" s="22" t="s">
        <v>2531</v>
      </c>
      <c r="C842" s="22" t="s">
        <v>2532</v>
      </c>
      <c r="D842" s="22" t="s">
        <v>9</v>
      </c>
      <c r="E842" s="22" t="s">
        <v>23</v>
      </c>
      <c r="F842" s="22">
        <v>3541.683</v>
      </c>
    </row>
    <row r="843" spans="1:6">
      <c r="A843" s="22" t="s">
        <v>2533</v>
      </c>
      <c r="B843" s="22" t="s">
        <v>2534</v>
      </c>
      <c r="C843" s="22" t="s">
        <v>2535</v>
      </c>
      <c r="D843" s="22" t="s">
        <v>9</v>
      </c>
      <c r="E843" s="22" t="s">
        <v>23</v>
      </c>
      <c r="F843" s="22">
        <v>109.413</v>
      </c>
    </row>
    <row r="844" spans="1:6">
      <c r="A844" s="22" t="s">
        <v>2536</v>
      </c>
      <c r="B844" s="22" t="s">
        <v>2537</v>
      </c>
      <c r="C844" s="22" t="s">
        <v>2145</v>
      </c>
      <c r="D844" s="22" t="s">
        <v>9</v>
      </c>
      <c r="E844" s="22" t="s">
        <v>35</v>
      </c>
      <c r="F844" s="22">
        <v>477.251</v>
      </c>
    </row>
    <row r="845" spans="1:6">
      <c r="A845" s="22" t="s">
        <v>2538</v>
      </c>
      <c r="B845" s="22" t="s">
        <v>2539</v>
      </c>
      <c r="C845" s="22" t="s">
        <v>2540</v>
      </c>
      <c r="D845" s="22" t="s">
        <v>9</v>
      </c>
      <c r="E845" s="22" t="s">
        <v>23</v>
      </c>
      <c r="F845" s="22">
        <v>1696.563</v>
      </c>
    </row>
    <row r="846" spans="1:6">
      <c r="A846" s="22" t="s">
        <v>2541</v>
      </c>
      <c r="B846" s="22" t="s">
        <v>2542</v>
      </c>
      <c r="C846" s="22" t="s">
        <v>2543</v>
      </c>
      <c r="D846" s="22" t="s">
        <v>9</v>
      </c>
      <c r="E846" s="22" t="s">
        <v>27</v>
      </c>
      <c r="F846" s="22">
        <v>25.362</v>
      </c>
    </row>
    <row r="847" spans="1:6">
      <c r="A847" s="22" t="s">
        <v>2544</v>
      </c>
      <c r="B847" s="22" t="s">
        <v>934</v>
      </c>
      <c r="C847" s="22" t="s">
        <v>2545</v>
      </c>
      <c r="D847" s="22" t="s">
        <v>9</v>
      </c>
      <c r="E847" s="22" t="s">
        <v>31</v>
      </c>
      <c r="F847" s="22">
        <v>108.84</v>
      </c>
    </row>
    <row r="848" spans="1:6">
      <c r="A848" s="22" t="s">
        <v>2546</v>
      </c>
      <c r="B848" s="22" t="s">
        <v>2547</v>
      </c>
      <c r="C848" s="22" t="s">
        <v>2548</v>
      </c>
      <c r="D848" s="22" t="s">
        <v>9</v>
      </c>
      <c r="E848" s="22" t="s">
        <v>35</v>
      </c>
      <c r="F848" s="22">
        <v>76.024</v>
      </c>
    </row>
    <row r="849" spans="1:6">
      <c r="A849" s="22" t="s">
        <v>2549</v>
      </c>
      <c r="B849" s="22" t="s">
        <v>2550</v>
      </c>
      <c r="C849" s="22" t="s">
        <v>2551</v>
      </c>
      <c r="D849" s="22" t="s">
        <v>9</v>
      </c>
      <c r="E849" s="22" t="s">
        <v>50</v>
      </c>
      <c r="F849" s="22">
        <v>11.158</v>
      </c>
    </row>
    <row r="850" spans="1:6">
      <c r="A850" s="22" t="s">
        <v>2552</v>
      </c>
      <c r="B850" s="22" t="s">
        <v>2553</v>
      </c>
      <c r="C850" s="22" t="s">
        <v>2554</v>
      </c>
      <c r="D850" s="22" t="s">
        <v>9</v>
      </c>
      <c r="E850" s="22" t="s">
        <v>23</v>
      </c>
      <c r="F850" s="22">
        <v>1512.631</v>
      </c>
    </row>
    <row r="851" spans="1:6">
      <c r="A851" s="22" t="s">
        <v>2555</v>
      </c>
      <c r="B851" s="22" t="s">
        <v>2556</v>
      </c>
      <c r="C851" s="22" t="s">
        <v>2557</v>
      </c>
      <c r="D851" s="22" t="s">
        <v>9</v>
      </c>
      <c r="E851" s="22" t="s">
        <v>27</v>
      </c>
      <c r="F851" s="22">
        <v>168.037</v>
      </c>
    </row>
    <row r="852" spans="1:6">
      <c r="A852" s="22" t="s">
        <v>2558</v>
      </c>
      <c r="B852" s="22" t="s">
        <v>2559</v>
      </c>
      <c r="C852" s="22" t="s">
        <v>2560</v>
      </c>
      <c r="D852" s="22" t="s">
        <v>9</v>
      </c>
      <c r="E852" s="22" t="s">
        <v>23</v>
      </c>
      <c r="F852" s="22">
        <v>26.796</v>
      </c>
    </row>
    <row r="853" spans="1:6">
      <c r="A853" s="22" t="s">
        <v>2561</v>
      </c>
      <c r="B853" s="22" t="s">
        <v>2562</v>
      </c>
      <c r="C853" s="22" t="s">
        <v>2563</v>
      </c>
      <c r="D853" s="22" t="s">
        <v>9</v>
      </c>
      <c r="E853" s="22" t="s">
        <v>23</v>
      </c>
      <c r="F853" s="22">
        <v>10.598</v>
      </c>
    </row>
    <row r="854" spans="1:6">
      <c r="A854" s="22" t="s">
        <v>2564</v>
      </c>
      <c r="B854" s="22" t="s">
        <v>2565</v>
      </c>
      <c r="C854" s="22" t="s">
        <v>2566</v>
      </c>
      <c r="D854" s="22" t="s">
        <v>9</v>
      </c>
      <c r="E854" s="22" t="s">
        <v>23</v>
      </c>
      <c r="F854" s="22">
        <v>153.292</v>
      </c>
    </row>
    <row r="855" spans="1:6">
      <c r="A855" s="22" t="s">
        <v>2567</v>
      </c>
      <c r="B855" s="22" t="s">
        <v>2568</v>
      </c>
      <c r="C855" s="22" t="s">
        <v>2569</v>
      </c>
      <c r="D855" s="22" t="s">
        <v>9</v>
      </c>
      <c r="E855" s="22" t="s">
        <v>23</v>
      </c>
      <c r="F855" s="22">
        <v>240.668</v>
      </c>
    </row>
    <row r="856" spans="1:6">
      <c r="A856" s="22" t="s">
        <v>2570</v>
      </c>
      <c r="B856" s="22" t="s">
        <v>2571</v>
      </c>
      <c r="C856" s="22" t="s">
        <v>2572</v>
      </c>
      <c r="D856" s="22" t="s">
        <v>9</v>
      </c>
      <c r="E856" s="22" t="s">
        <v>57</v>
      </c>
      <c r="F856" s="22">
        <v>165.868</v>
      </c>
    </row>
    <row r="857" spans="1:6">
      <c r="A857" s="22" t="s">
        <v>2573</v>
      </c>
      <c r="B857" s="22" t="s">
        <v>2574</v>
      </c>
      <c r="C857" s="22" t="s">
        <v>2575</v>
      </c>
      <c r="D857" s="22" t="s">
        <v>9</v>
      </c>
      <c r="E857" s="22" t="s">
        <v>23</v>
      </c>
      <c r="F857" s="22">
        <v>70.58</v>
      </c>
    </row>
    <row r="858" spans="1:6">
      <c r="A858" s="22" t="s">
        <v>2576</v>
      </c>
      <c r="B858" s="22" t="s">
        <v>2577</v>
      </c>
      <c r="C858" s="22" t="s">
        <v>2578</v>
      </c>
      <c r="D858" s="22" t="s">
        <v>9</v>
      </c>
      <c r="E858" s="22" t="s">
        <v>23</v>
      </c>
      <c r="F858" s="22">
        <v>3615.67</v>
      </c>
    </row>
    <row r="859" spans="1:6">
      <c r="A859" s="22" t="s">
        <v>2579</v>
      </c>
      <c r="B859" s="22" t="s">
        <v>2580</v>
      </c>
      <c r="C859" s="22" t="s">
        <v>2581</v>
      </c>
      <c r="D859" s="22" t="s">
        <v>9</v>
      </c>
      <c r="E859" s="22" t="s">
        <v>50</v>
      </c>
      <c r="F859" s="22">
        <v>1320.683</v>
      </c>
    </row>
    <row r="860" spans="1:6">
      <c r="A860" s="22" t="s">
        <v>2582</v>
      </c>
      <c r="B860" s="22" t="s">
        <v>2583</v>
      </c>
      <c r="C860" s="22" t="s">
        <v>2584</v>
      </c>
      <c r="D860" s="22" t="s">
        <v>9</v>
      </c>
      <c r="E860" s="22" t="s">
        <v>23</v>
      </c>
      <c r="F860" s="22">
        <v>12.869</v>
      </c>
    </row>
    <row r="861" spans="1:6">
      <c r="A861" s="22" t="s">
        <v>2585</v>
      </c>
      <c r="B861" s="22" t="s">
        <v>2586</v>
      </c>
      <c r="C861" s="22" t="s">
        <v>2587</v>
      </c>
      <c r="D861" s="22" t="s">
        <v>9</v>
      </c>
      <c r="E861" s="22" t="s">
        <v>62</v>
      </c>
      <c r="F861" s="22">
        <v>133.29</v>
      </c>
    </row>
    <row r="862" spans="1:6">
      <c r="A862" s="22" t="s">
        <v>2588</v>
      </c>
      <c r="B862" s="22" t="s">
        <v>2589</v>
      </c>
      <c r="C862" s="22" t="s">
        <v>2589</v>
      </c>
      <c r="D862" s="22" t="s">
        <v>9</v>
      </c>
      <c r="E862" s="22" t="s">
        <v>23</v>
      </c>
      <c r="F862" s="22">
        <v>352.641</v>
      </c>
    </row>
    <row r="863" spans="1:6">
      <c r="A863" s="22" t="s">
        <v>2590</v>
      </c>
      <c r="B863" s="22" t="s">
        <v>2591</v>
      </c>
      <c r="C863" s="22" t="s">
        <v>2592</v>
      </c>
      <c r="D863" s="22" t="s">
        <v>9</v>
      </c>
      <c r="E863" s="22" t="s">
        <v>23</v>
      </c>
      <c r="F863" s="22">
        <v>10520.562</v>
      </c>
    </row>
    <row r="864" spans="1:6">
      <c r="A864" s="22" t="s">
        <v>2593</v>
      </c>
      <c r="B864" s="22" t="s">
        <v>2594</v>
      </c>
      <c r="C864" s="22" t="s">
        <v>2595</v>
      </c>
      <c r="D864" s="22" t="s">
        <v>9</v>
      </c>
      <c r="E864" s="22" t="s">
        <v>27</v>
      </c>
      <c r="F864" s="22">
        <v>2772.095</v>
      </c>
    </row>
    <row r="865" spans="1:6">
      <c r="A865" s="22" t="s">
        <v>2596</v>
      </c>
      <c r="B865" s="22" t="s">
        <v>2597</v>
      </c>
      <c r="C865" s="22" t="s">
        <v>2598</v>
      </c>
      <c r="D865" s="22" t="s">
        <v>9</v>
      </c>
      <c r="E865" s="22" t="s">
        <v>23</v>
      </c>
      <c r="F865" s="22">
        <v>690.825</v>
      </c>
    </row>
    <row r="866" spans="1:6">
      <c r="A866" s="22" t="s">
        <v>2599</v>
      </c>
      <c r="B866" s="22" t="s">
        <v>2600</v>
      </c>
      <c r="C866" s="22" t="s">
        <v>2601</v>
      </c>
      <c r="D866" s="22" t="s">
        <v>9</v>
      </c>
      <c r="E866" s="22" t="s">
        <v>23</v>
      </c>
      <c r="F866" s="22">
        <v>154.954</v>
      </c>
    </row>
    <row r="867" spans="1:6">
      <c r="A867" s="22" t="s">
        <v>2602</v>
      </c>
      <c r="B867" s="22" t="s">
        <v>2603</v>
      </c>
      <c r="C867" s="22" t="s">
        <v>2604</v>
      </c>
      <c r="D867" s="22" t="s">
        <v>9</v>
      </c>
      <c r="E867" s="22" t="s">
        <v>23</v>
      </c>
      <c r="F867" s="22">
        <v>181.432</v>
      </c>
    </row>
    <row r="868" spans="1:6">
      <c r="A868" s="22" t="s">
        <v>2605</v>
      </c>
      <c r="B868" s="22" t="s">
        <v>414</v>
      </c>
      <c r="C868" s="22" t="s">
        <v>2606</v>
      </c>
      <c r="D868" s="22" t="s">
        <v>9</v>
      </c>
      <c r="E868" s="22" t="s">
        <v>23</v>
      </c>
      <c r="F868" s="22">
        <v>37.485</v>
      </c>
    </row>
    <row r="869" spans="1:6">
      <c r="A869" s="22" t="s">
        <v>2607</v>
      </c>
      <c r="B869" s="22" t="s">
        <v>2608</v>
      </c>
      <c r="C869" s="22" t="s">
        <v>2609</v>
      </c>
      <c r="D869" s="22" t="s">
        <v>9</v>
      </c>
      <c r="E869" s="22" t="s">
        <v>70</v>
      </c>
      <c r="F869" s="22">
        <v>43.977</v>
      </c>
    </row>
    <row r="870" spans="1:6">
      <c r="A870" s="22" t="s">
        <v>2610</v>
      </c>
      <c r="B870" s="22" t="s">
        <v>2611</v>
      </c>
      <c r="C870" s="22" t="s">
        <v>2612</v>
      </c>
      <c r="D870" s="22" t="s">
        <v>9</v>
      </c>
      <c r="E870" s="22" t="s">
        <v>44</v>
      </c>
      <c r="F870" s="22">
        <v>212.859</v>
      </c>
    </row>
    <row r="871" spans="1:6">
      <c r="A871" s="22" t="s">
        <v>2613</v>
      </c>
      <c r="B871" s="22" t="s">
        <v>2614</v>
      </c>
      <c r="C871" s="22" t="s">
        <v>2615</v>
      </c>
      <c r="D871" s="22" t="s">
        <v>9</v>
      </c>
      <c r="E871" s="22" t="s">
        <v>27</v>
      </c>
      <c r="F871" s="22">
        <v>1225.679</v>
      </c>
    </row>
    <row r="872" spans="1:6">
      <c r="A872" s="22" t="s">
        <v>2616</v>
      </c>
      <c r="B872" s="22" t="s">
        <v>2617</v>
      </c>
      <c r="C872" s="22" t="s">
        <v>2618</v>
      </c>
      <c r="D872" s="22" t="s">
        <v>9</v>
      </c>
      <c r="E872" s="22" t="s">
        <v>23</v>
      </c>
      <c r="F872" s="22">
        <v>85.556</v>
      </c>
    </row>
    <row r="873" spans="1:6">
      <c r="A873" s="22" t="s">
        <v>2619</v>
      </c>
      <c r="B873" s="22" t="s">
        <v>2620</v>
      </c>
      <c r="C873" s="22" t="s">
        <v>2621</v>
      </c>
      <c r="D873" s="22" t="s">
        <v>9</v>
      </c>
      <c r="E873" s="22" t="s">
        <v>23</v>
      </c>
      <c r="F873" s="22">
        <v>21.355</v>
      </c>
    </row>
    <row r="874" spans="1:6">
      <c r="A874" s="22" t="s">
        <v>2622</v>
      </c>
      <c r="B874" s="22" t="s">
        <v>2623</v>
      </c>
      <c r="C874" s="22" t="s">
        <v>2624</v>
      </c>
      <c r="D874" s="22" t="s">
        <v>9</v>
      </c>
      <c r="E874" s="22" t="s">
        <v>23</v>
      </c>
      <c r="F874" s="22">
        <v>5552.338</v>
      </c>
    </row>
    <row r="875" spans="1:6">
      <c r="A875" s="22" t="s">
        <v>2625</v>
      </c>
      <c r="B875" s="22" t="s">
        <v>2626</v>
      </c>
      <c r="C875" s="22" t="s">
        <v>2627</v>
      </c>
      <c r="D875" s="22" t="s">
        <v>9</v>
      </c>
      <c r="E875" s="22" t="s">
        <v>35</v>
      </c>
      <c r="F875" s="22">
        <v>4.21</v>
      </c>
    </row>
    <row r="876" spans="1:6">
      <c r="A876" s="22" t="s">
        <v>2628</v>
      </c>
      <c r="B876" s="22" t="s">
        <v>2629</v>
      </c>
      <c r="C876" s="22" t="s">
        <v>2630</v>
      </c>
      <c r="D876" s="22" t="s">
        <v>9</v>
      </c>
      <c r="E876" s="22" t="s">
        <v>23</v>
      </c>
      <c r="F876" s="22">
        <v>1610.57</v>
      </c>
    </row>
    <row r="877" spans="1:6">
      <c r="A877" s="22" t="s">
        <v>2631</v>
      </c>
      <c r="B877" s="22" t="s">
        <v>2632</v>
      </c>
      <c r="C877" s="22" t="s">
        <v>2633</v>
      </c>
      <c r="D877" s="22" t="s">
        <v>9</v>
      </c>
      <c r="E877" s="22" t="s">
        <v>27</v>
      </c>
      <c r="F877" s="22">
        <v>705.346</v>
      </c>
    </row>
    <row r="878" spans="1:6">
      <c r="A878" s="22" t="s">
        <v>2634</v>
      </c>
      <c r="B878" s="22" t="s">
        <v>2635</v>
      </c>
      <c r="C878" s="22" t="s">
        <v>2636</v>
      </c>
      <c r="D878" s="22" t="s">
        <v>9</v>
      </c>
      <c r="E878" s="22" t="s">
        <v>44</v>
      </c>
      <c r="F878" s="22">
        <v>57.711</v>
      </c>
    </row>
    <row r="879" spans="1:6">
      <c r="A879" s="22" t="s">
        <v>2637</v>
      </c>
      <c r="B879" s="22" t="s">
        <v>2638</v>
      </c>
      <c r="C879" s="22" t="s">
        <v>2639</v>
      </c>
      <c r="D879" s="22" t="s">
        <v>9</v>
      </c>
      <c r="E879" s="22" t="s">
        <v>35</v>
      </c>
      <c r="F879" s="22">
        <v>5.21</v>
      </c>
    </row>
    <row r="880" spans="1:6">
      <c r="A880" s="22" t="s">
        <v>2640</v>
      </c>
      <c r="B880" s="22" t="s">
        <v>2641</v>
      </c>
      <c r="C880" s="22" t="s">
        <v>2642</v>
      </c>
      <c r="D880" s="22" t="s">
        <v>9</v>
      </c>
      <c r="E880" s="22" t="s">
        <v>35</v>
      </c>
      <c r="F880" s="22">
        <v>635.716</v>
      </c>
    </row>
    <row r="881" spans="1:6">
      <c r="A881" s="22" t="s">
        <v>2643</v>
      </c>
      <c r="B881" s="22" t="s">
        <v>2644</v>
      </c>
      <c r="C881" s="22" t="s">
        <v>2645</v>
      </c>
      <c r="D881" s="22" t="s">
        <v>9</v>
      </c>
      <c r="E881" s="22" t="s">
        <v>35</v>
      </c>
      <c r="F881" s="22">
        <v>5.96</v>
      </c>
    </row>
    <row r="882" spans="1:6">
      <c r="A882" s="22" t="s">
        <v>2646</v>
      </c>
      <c r="B882" s="22" t="s">
        <v>2647</v>
      </c>
      <c r="C882" s="22" t="s">
        <v>2648</v>
      </c>
      <c r="D882" s="22" t="s">
        <v>9</v>
      </c>
      <c r="E882" s="22" t="s">
        <v>35</v>
      </c>
      <c r="F882" s="22">
        <v>32.324</v>
      </c>
    </row>
    <row r="883" spans="1:6">
      <c r="A883" s="22" t="s">
        <v>2649</v>
      </c>
      <c r="B883" s="22" t="s">
        <v>2650</v>
      </c>
      <c r="C883" s="22" t="s">
        <v>2651</v>
      </c>
      <c r="D883" s="22" t="s">
        <v>9</v>
      </c>
      <c r="E883" s="22" t="s">
        <v>23</v>
      </c>
      <c r="F883" s="22">
        <v>3.035</v>
      </c>
    </row>
    <row r="884" spans="1:6">
      <c r="A884" s="22" t="s">
        <v>2652</v>
      </c>
      <c r="B884" s="22" t="s">
        <v>2653</v>
      </c>
      <c r="C884" s="22" t="s">
        <v>2654</v>
      </c>
      <c r="D884" s="22" t="s">
        <v>9</v>
      </c>
      <c r="E884" s="22" t="s">
        <v>23</v>
      </c>
      <c r="F884" s="22">
        <v>10732.69</v>
      </c>
    </row>
    <row r="885" spans="1:6">
      <c r="A885" s="22" t="s">
        <v>2655</v>
      </c>
      <c r="B885" s="22" t="s">
        <v>2656</v>
      </c>
      <c r="C885" s="22" t="s">
        <v>2657</v>
      </c>
      <c r="D885" s="22" t="s">
        <v>9</v>
      </c>
      <c r="E885" s="22" t="s">
        <v>23</v>
      </c>
      <c r="F885" s="22">
        <v>109.948</v>
      </c>
    </row>
    <row r="886" spans="1:6">
      <c r="A886" s="22" t="s">
        <v>2658</v>
      </c>
      <c r="B886" s="22" t="s">
        <v>2659</v>
      </c>
      <c r="C886" s="22" t="s">
        <v>2660</v>
      </c>
      <c r="D886" s="22" t="s">
        <v>9</v>
      </c>
      <c r="E886" s="22" t="s">
        <v>23</v>
      </c>
      <c r="F886" s="22">
        <v>72.756</v>
      </c>
    </row>
    <row r="887" spans="1:6">
      <c r="A887" s="22" t="s">
        <v>2661</v>
      </c>
      <c r="B887" s="22" t="s">
        <v>2662</v>
      </c>
      <c r="C887" s="22" t="s">
        <v>2663</v>
      </c>
      <c r="D887" s="22" t="s">
        <v>9</v>
      </c>
      <c r="E887" s="22" t="s">
        <v>23</v>
      </c>
      <c r="F887" s="22">
        <v>17985.328</v>
      </c>
    </row>
    <row r="888" spans="1:6">
      <c r="A888" s="22" t="s">
        <v>2664</v>
      </c>
      <c r="B888" s="22" t="s">
        <v>2665</v>
      </c>
      <c r="C888" s="22" t="s">
        <v>2666</v>
      </c>
      <c r="D888" s="22" t="s">
        <v>9</v>
      </c>
      <c r="E888" s="22" t="s">
        <v>27</v>
      </c>
      <c r="F888" s="22">
        <v>18.611</v>
      </c>
    </row>
    <row r="889" spans="1:6">
      <c r="A889" s="22" t="s">
        <v>2667</v>
      </c>
      <c r="B889" s="22" t="s">
        <v>2668</v>
      </c>
      <c r="C889" s="22" t="s">
        <v>2669</v>
      </c>
      <c r="D889" s="22" t="s">
        <v>9</v>
      </c>
      <c r="E889" s="22" t="s">
        <v>35</v>
      </c>
      <c r="F889" s="22">
        <v>47.057</v>
      </c>
    </row>
    <row r="890" spans="1:6">
      <c r="A890" s="22" t="s">
        <v>2670</v>
      </c>
      <c r="B890" s="22" t="s">
        <v>2671</v>
      </c>
      <c r="C890" s="22" t="s">
        <v>2672</v>
      </c>
      <c r="D890" s="22" t="s">
        <v>9</v>
      </c>
      <c r="E890" s="22" t="s">
        <v>35</v>
      </c>
      <c r="F890" s="22">
        <v>591.927</v>
      </c>
    </row>
    <row r="891" spans="1:6">
      <c r="A891" s="22" t="s">
        <v>2673</v>
      </c>
      <c r="B891" s="22" t="s">
        <v>2674</v>
      </c>
      <c r="C891" s="22" t="s">
        <v>2675</v>
      </c>
      <c r="D891" s="22" t="s">
        <v>9</v>
      </c>
      <c r="E891" s="22" t="s">
        <v>44</v>
      </c>
      <c r="F891" s="22">
        <v>303.708</v>
      </c>
    </row>
    <row r="892" spans="1:6">
      <c r="A892" s="22" t="s">
        <v>2676</v>
      </c>
      <c r="B892" s="22" t="s">
        <v>2677</v>
      </c>
      <c r="C892" s="22" t="s">
        <v>2678</v>
      </c>
      <c r="D892" s="22" t="s">
        <v>9</v>
      </c>
      <c r="E892" s="22" t="s">
        <v>23</v>
      </c>
      <c r="F892" s="22">
        <v>175.412</v>
      </c>
    </row>
    <row r="893" spans="1:6">
      <c r="A893" s="22" t="s">
        <v>2679</v>
      </c>
      <c r="B893" s="22" t="s">
        <v>2680</v>
      </c>
      <c r="C893" s="22" t="s">
        <v>2681</v>
      </c>
      <c r="D893" s="22" t="s">
        <v>9</v>
      </c>
      <c r="E893" s="22" t="s">
        <v>23</v>
      </c>
      <c r="F893" s="22">
        <v>6.009</v>
      </c>
    </row>
    <row r="894" spans="1:6">
      <c r="A894" s="22" t="s">
        <v>2682</v>
      </c>
      <c r="B894" s="22" t="s">
        <v>2683</v>
      </c>
      <c r="C894" s="22" t="s">
        <v>2684</v>
      </c>
      <c r="D894" s="22" t="s">
        <v>9</v>
      </c>
      <c r="E894" s="22" t="s">
        <v>23</v>
      </c>
      <c r="F894" s="22">
        <v>87.561</v>
      </c>
    </row>
    <row r="895" spans="1:6">
      <c r="A895" s="22" t="s">
        <v>2685</v>
      </c>
      <c r="B895" s="22" t="s">
        <v>2686</v>
      </c>
      <c r="C895" s="22" t="s">
        <v>2687</v>
      </c>
      <c r="D895" s="22" t="s">
        <v>9</v>
      </c>
      <c r="E895" s="22" t="s">
        <v>23</v>
      </c>
      <c r="F895" s="22">
        <v>490.464</v>
      </c>
    </row>
    <row r="896" spans="1:6">
      <c r="A896" s="22" t="s">
        <v>2688</v>
      </c>
      <c r="B896" s="22" t="s">
        <v>2689</v>
      </c>
      <c r="C896" s="22" t="s">
        <v>2690</v>
      </c>
      <c r="D896" s="22" t="s">
        <v>9</v>
      </c>
      <c r="E896" s="22" t="s">
        <v>35</v>
      </c>
      <c r="F896" s="22">
        <v>29.16</v>
      </c>
    </row>
    <row r="897" spans="1:6">
      <c r="A897" s="22" t="s">
        <v>2691</v>
      </c>
      <c r="B897" s="22" t="s">
        <v>2692</v>
      </c>
      <c r="C897" s="22" t="s">
        <v>2693</v>
      </c>
      <c r="D897" s="22" t="s">
        <v>9</v>
      </c>
      <c r="E897" s="22" t="s">
        <v>35</v>
      </c>
      <c r="F897" s="22">
        <v>259.718</v>
      </c>
    </row>
    <row r="898" spans="1:6">
      <c r="A898" s="22" t="s">
        <v>2694</v>
      </c>
      <c r="B898" s="22" t="s">
        <v>2695</v>
      </c>
      <c r="C898" s="22" t="s">
        <v>2696</v>
      </c>
      <c r="D898" s="22" t="s">
        <v>9</v>
      </c>
      <c r="E898" s="22" t="s">
        <v>23</v>
      </c>
      <c r="F898" s="22">
        <v>25.291</v>
      </c>
    </row>
    <row r="899" spans="1:6">
      <c r="A899" s="22" t="s">
        <v>2697</v>
      </c>
      <c r="B899" s="22" t="s">
        <v>2698</v>
      </c>
      <c r="C899" s="22" t="s">
        <v>2699</v>
      </c>
      <c r="D899" s="22" t="s">
        <v>9</v>
      </c>
      <c r="E899" s="22" t="s">
        <v>23</v>
      </c>
      <c r="F899" s="22">
        <v>3.025</v>
      </c>
    </row>
    <row r="900" spans="1:6">
      <c r="A900" s="22" t="s">
        <v>2700</v>
      </c>
      <c r="B900" s="22" t="s">
        <v>2701</v>
      </c>
      <c r="C900" s="22" t="s">
        <v>2702</v>
      </c>
      <c r="D900" s="22" t="s">
        <v>9</v>
      </c>
      <c r="E900" s="22" t="s">
        <v>23</v>
      </c>
      <c r="F900" s="22">
        <v>2.334</v>
      </c>
    </row>
    <row r="901" spans="1:6">
      <c r="A901" s="22" t="s">
        <v>2703</v>
      </c>
      <c r="B901" s="22" t="s">
        <v>2704</v>
      </c>
      <c r="C901" s="22" t="s">
        <v>2705</v>
      </c>
      <c r="D901" s="22" t="s">
        <v>9</v>
      </c>
      <c r="E901" s="22" t="s">
        <v>27</v>
      </c>
      <c r="F901" s="22">
        <v>499.572</v>
      </c>
    </row>
    <row r="902" spans="1:6">
      <c r="A902" s="22" t="s">
        <v>2706</v>
      </c>
      <c r="B902" s="22" t="s">
        <v>2707</v>
      </c>
      <c r="C902" s="22" t="s">
        <v>2708</v>
      </c>
      <c r="D902" s="22" t="s">
        <v>9</v>
      </c>
      <c r="E902" s="22" t="s">
        <v>23</v>
      </c>
      <c r="F902" s="22">
        <v>266.866</v>
      </c>
    </row>
    <row r="903" spans="1:6">
      <c r="A903" s="22" t="s">
        <v>2709</v>
      </c>
      <c r="B903" s="22" t="s">
        <v>2710</v>
      </c>
      <c r="C903" s="22" t="s">
        <v>2711</v>
      </c>
      <c r="D903" s="22" t="s">
        <v>9</v>
      </c>
      <c r="E903" s="22" t="s">
        <v>23</v>
      </c>
      <c r="F903" s="22">
        <v>5970.465</v>
      </c>
    </row>
    <row r="904" spans="1:6">
      <c r="A904" s="22" t="s">
        <v>2712</v>
      </c>
      <c r="B904" s="22" t="s">
        <v>2713</v>
      </c>
      <c r="C904" s="22" t="s">
        <v>2714</v>
      </c>
      <c r="D904" s="22" t="s">
        <v>9</v>
      </c>
      <c r="E904" s="22" t="s">
        <v>23</v>
      </c>
      <c r="F904" s="22">
        <v>185.378</v>
      </c>
    </row>
    <row r="905" spans="1:6">
      <c r="A905" s="22" t="s">
        <v>2715</v>
      </c>
      <c r="B905" s="22" t="s">
        <v>2716</v>
      </c>
      <c r="C905" s="22" t="s">
        <v>2717</v>
      </c>
      <c r="D905" s="22" t="s">
        <v>9</v>
      </c>
      <c r="E905" s="22" t="s">
        <v>23</v>
      </c>
      <c r="F905" s="22">
        <v>48.704</v>
      </c>
    </row>
    <row r="906" spans="1:6">
      <c r="A906" s="22" t="s">
        <v>2718</v>
      </c>
      <c r="B906" s="22" t="s">
        <v>2719</v>
      </c>
      <c r="C906" s="22" t="s">
        <v>2720</v>
      </c>
      <c r="D906" s="22" t="s">
        <v>9</v>
      </c>
      <c r="E906" s="22" t="s">
        <v>35</v>
      </c>
      <c r="F906" s="22">
        <v>187.678</v>
      </c>
    </row>
    <row r="907" spans="1:6">
      <c r="A907" s="22" t="s">
        <v>2721</v>
      </c>
      <c r="B907" s="22" t="s">
        <v>2722</v>
      </c>
      <c r="C907" s="22" t="s">
        <v>2723</v>
      </c>
      <c r="D907" s="22" t="s">
        <v>9</v>
      </c>
      <c r="E907" s="22" t="s">
        <v>27</v>
      </c>
      <c r="F907" s="22">
        <v>2079.955</v>
      </c>
    </row>
    <row r="908" spans="1:6">
      <c r="A908" s="22" t="s">
        <v>2724</v>
      </c>
      <c r="B908" s="22" t="s">
        <v>2725</v>
      </c>
      <c r="C908" s="22" t="s">
        <v>2726</v>
      </c>
      <c r="D908" s="22" t="s">
        <v>9</v>
      </c>
      <c r="E908" s="22" t="s">
        <v>57</v>
      </c>
      <c r="F908" s="22">
        <v>275.377</v>
      </c>
    </row>
    <row r="909" spans="1:6">
      <c r="A909" s="22" t="s">
        <v>2727</v>
      </c>
      <c r="B909" s="22" t="s">
        <v>2728</v>
      </c>
      <c r="C909" s="22" t="s">
        <v>2729</v>
      </c>
      <c r="D909" s="22" t="s">
        <v>9</v>
      </c>
      <c r="E909" s="22" t="s">
        <v>14</v>
      </c>
      <c r="F909" s="22">
        <v>8.075</v>
      </c>
    </row>
    <row r="910" spans="1:6">
      <c r="A910" s="22" t="s">
        <v>2730</v>
      </c>
      <c r="B910" s="22" t="s">
        <v>2731</v>
      </c>
      <c r="C910" s="22" t="s">
        <v>2732</v>
      </c>
      <c r="D910" s="22" t="s">
        <v>9</v>
      </c>
      <c r="E910" s="22" t="s">
        <v>23</v>
      </c>
      <c r="F910" s="22">
        <v>6.037</v>
      </c>
    </row>
    <row r="911" spans="1:6">
      <c r="A911" s="22" t="s">
        <v>2733</v>
      </c>
      <c r="B911" s="22" t="s">
        <v>2734</v>
      </c>
      <c r="C911" s="22" t="s">
        <v>2735</v>
      </c>
      <c r="D911" s="22" t="s">
        <v>9</v>
      </c>
      <c r="E911" s="22" t="s">
        <v>35</v>
      </c>
      <c r="F911" s="22">
        <v>78.681</v>
      </c>
    </row>
    <row r="912" spans="1:6">
      <c r="A912" s="22" t="s">
        <v>2736</v>
      </c>
      <c r="B912" s="22" t="s">
        <v>2737</v>
      </c>
      <c r="C912" s="22" t="s">
        <v>2738</v>
      </c>
      <c r="D912" s="22" t="s">
        <v>9</v>
      </c>
      <c r="E912" s="22" t="s">
        <v>23</v>
      </c>
      <c r="F912" s="22">
        <v>376.15</v>
      </c>
    </row>
    <row r="913" spans="1:6">
      <c r="A913" s="22" t="s">
        <v>2739</v>
      </c>
      <c r="B913" s="22" t="s">
        <v>2740</v>
      </c>
      <c r="C913" s="22" t="s">
        <v>2741</v>
      </c>
      <c r="D913" s="22" t="s">
        <v>9</v>
      </c>
      <c r="E913" s="22" t="s">
        <v>35</v>
      </c>
      <c r="F913" s="22">
        <v>27.79</v>
      </c>
    </row>
    <row r="914" spans="1:6">
      <c r="A914" s="22" t="s">
        <v>2742</v>
      </c>
      <c r="B914" s="22" t="s">
        <v>2743</v>
      </c>
      <c r="C914" s="22" t="s">
        <v>2744</v>
      </c>
      <c r="D914" s="22" t="s">
        <v>9</v>
      </c>
      <c r="E914" s="22" t="s">
        <v>23</v>
      </c>
      <c r="F914" s="22">
        <v>265.618</v>
      </c>
    </row>
    <row r="915" spans="1:6">
      <c r="A915" s="22" t="s">
        <v>2745</v>
      </c>
      <c r="B915" s="22" t="s">
        <v>2746</v>
      </c>
      <c r="C915" s="22" t="s">
        <v>2747</v>
      </c>
      <c r="D915" s="22" t="s">
        <v>9</v>
      </c>
      <c r="E915" s="22" t="s">
        <v>35</v>
      </c>
      <c r="F915" s="22">
        <v>19.963</v>
      </c>
    </row>
    <row r="916" spans="1:6">
      <c r="A916" s="22" t="s">
        <v>2748</v>
      </c>
      <c r="B916" s="22" t="s">
        <v>2749</v>
      </c>
      <c r="C916" s="22" t="s">
        <v>2750</v>
      </c>
      <c r="D916" s="22" t="s">
        <v>9</v>
      </c>
      <c r="E916" s="22" t="s">
        <v>57</v>
      </c>
      <c r="F916" s="22">
        <v>364.352</v>
      </c>
    </row>
    <row r="917" spans="1:6">
      <c r="A917" s="22" t="s">
        <v>2751</v>
      </c>
      <c r="B917" s="22" t="s">
        <v>2752</v>
      </c>
      <c r="C917" s="22" t="s">
        <v>2753</v>
      </c>
      <c r="D917" s="22" t="s">
        <v>9</v>
      </c>
      <c r="E917" s="22" t="s">
        <v>23</v>
      </c>
      <c r="F917" s="22">
        <v>24.438</v>
      </c>
    </row>
    <row r="918" spans="1:6">
      <c r="A918" s="22" t="s">
        <v>2754</v>
      </c>
      <c r="B918" s="22" t="s">
        <v>2755</v>
      </c>
      <c r="C918" s="22" t="s">
        <v>2756</v>
      </c>
      <c r="D918" s="22" t="s">
        <v>9</v>
      </c>
      <c r="E918" s="22" t="s">
        <v>23</v>
      </c>
      <c r="F918" s="22">
        <v>1965.976</v>
      </c>
    </row>
    <row r="919" spans="1:6">
      <c r="A919" s="22" t="s">
        <v>2757</v>
      </c>
      <c r="B919" s="22" t="s">
        <v>2758</v>
      </c>
      <c r="C919" s="22" t="s">
        <v>2759</v>
      </c>
      <c r="D919" s="22" t="s">
        <v>9</v>
      </c>
      <c r="E919" s="22" t="s">
        <v>57</v>
      </c>
      <c r="F919" s="22">
        <v>3.142</v>
      </c>
    </row>
    <row r="920" spans="1:6">
      <c r="A920" s="22" t="s">
        <v>2760</v>
      </c>
      <c r="B920" s="22" t="s">
        <v>2761</v>
      </c>
      <c r="C920" s="22" t="s">
        <v>2762</v>
      </c>
      <c r="D920" s="22" t="s">
        <v>9</v>
      </c>
      <c r="E920" s="22" t="s">
        <v>23</v>
      </c>
      <c r="F920" s="22">
        <v>70.377</v>
      </c>
    </row>
    <row r="921" spans="1:6">
      <c r="A921" s="22" t="s">
        <v>2763</v>
      </c>
      <c r="B921" s="22" t="s">
        <v>2764</v>
      </c>
      <c r="C921" s="22" t="s">
        <v>2765</v>
      </c>
      <c r="D921" s="22" t="s">
        <v>9</v>
      </c>
      <c r="E921" s="22" t="s">
        <v>31</v>
      </c>
      <c r="F921" s="22">
        <v>3.526</v>
      </c>
    </row>
    <row r="922" spans="1:6">
      <c r="A922" s="22" t="s">
        <v>2766</v>
      </c>
      <c r="B922" s="22" t="s">
        <v>2767</v>
      </c>
      <c r="C922" s="22" t="s">
        <v>2768</v>
      </c>
      <c r="D922" s="22" t="s">
        <v>9</v>
      </c>
      <c r="E922" s="22" t="s">
        <v>23</v>
      </c>
      <c r="F922" s="22">
        <v>4370.636</v>
      </c>
    </row>
    <row r="923" spans="1:6">
      <c r="A923" s="22" t="s">
        <v>2769</v>
      </c>
      <c r="B923" s="22" t="s">
        <v>2770</v>
      </c>
      <c r="C923" s="22" t="s">
        <v>2771</v>
      </c>
      <c r="D923" s="22" t="s">
        <v>9</v>
      </c>
      <c r="E923" s="22" t="s">
        <v>35</v>
      </c>
      <c r="F923" s="22">
        <v>14.981</v>
      </c>
    </row>
    <row r="924" spans="1:6">
      <c r="A924" s="22" t="s">
        <v>2772</v>
      </c>
      <c r="B924" s="22" t="s">
        <v>2773</v>
      </c>
      <c r="C924" s="22" t="s">
        <v>2774</v>
      </c>
      <c r="D924" s="22" t="s">
        <v>9</v>
      </c>
      <c r="E924" s="22" t="s">
        <v>23</v>
      </c>
      <c r="F924" s="22">
        <v>1571.37</v>
      </c>
    </row>
    <row r="925" spans="1:6">
      <c r="A925" s="22" t="s">
        <v>2775</v>
      </c>
      <c r="B925" s="22" t="s">
        <v>2776</v>
      </c>
      <c r="C925" s="22" t="s">
        <v>2777</v>
      </c>
      <c r="D925" s="22" t="s">
        <v>9</v>
      </c>
      <c r="E925" s="22" t="s">
        <v>23</v>
      </c>
      <c r="F925" s="22">
        <v>903.905</v>
      </c>
    </row>
    <row r="926" spans="1:6">
      <c r="A926" s="22" t="s">
        <v>2778</v>
      </c>
      <c r="B926" s="22" t="s">
        <v>2779</v>
      </c>
      <c r="C926" s="22" t="s">
        <v>2780</v>
      </c>
      <c r="D926" s="22" t="s">
        <v>9</v>
      </c>
      <c r="E926" s="22" t="s">
        <v>23</v>
      </c>
      <c r="F926" s="22">
        <v>238.197</v>
      </c>
    </row>
    <row r="927" spans="1:6">
      <c r="A927" s="22" t="s">
        <v>2781</v>
      </c>
      <c r="B927" s="22" t="s">
        <v>2782</v>
      </c>
      <c r="C927" s="22" t="s">
        <v>2783</v>
      </c>
      <c r="D927" s="22" t="s">
        <v>9</v>
      </c>
      <c r="E927" s="22" t="s">
        <v>31</v>
      </c>
      <c r="F927" s="22">
        <v>2709.004</v>
      </c>
    </row>
    <row r="928" spans="1:6">
      <c r="A928" s="22" t="s">
        <v>2784</v>
      </c>
      <c r="B928" s="22" t="s">
        <v>2785</v>
      </c>
      <c r="C928" s="22" t="s">
        <v>2786</v>
      </c>
      <c r="D928" s="22" t="s">
        <v>9</v>
      </c>
      <c r="E928" s="22" t="s">
        <v>23</v>
      </c>
      <c r="F928" s="22">
        <v>76.894</v>
      </c>
    </row>
    <row r="929" spans="1:6">
      <c r="A929" s="22" t="s">
        <v>2787</v>
      </c>
      <c r="B929" s="22" t="s">
        <v>2788</v>
      </c>
      <c r="C929" s="22" t="s">
        <v>2789</v>
      </c>
      <c r="D929" s="22" t="s">
        <v>9</v>
      </c>
      <c r="E929" s="22" t="s">
        <v>57</v>
      </c>
      <c r="F929" s="22">
        <v>81.881</v>
      </c>
    </row>
    <row r="930" spans="1:6">
      <c r="A930" s="22" t="s">
        <v>2790</v>
      </c>
      <c r="B930" s="22" t="s">
        <v>2791</v>
      </c>
      <c r="C930" s="22" t="s">
        <v>2792</v>
      </c>
      <c r="D930" s="22" t="s">
        <v>9</v>
      </c>
      <c r="E930" s="22" t="s">
        <v>23</v>
      </c>
      <c r="F930" s="22">
        <v>1354.783</v>
      </c>
    </row>
    <row r="931" spans="1:6">
      <c r="A931" s="22" t="s">
        <v>2793</v>
      </c>
      <c r="B931" s="22" t="s">
        <v>2794</v>
      </c>
      <c r="C931" s="22" t="s">
        <v>2795</v>
      </c>
      <c r="D931" s="22" t="s">
        <v>9</v>
      </c>
      <c r="E931" s="22" t="s">
        <v>35</v>
      </c>
      <c r="F931" s="22">
        <v>430.005</v>
      </c>
    </row>
    <row r="932" spans="1:6">
      <c r="A932" s="22" t="s">
        <v>2796</v>
      </c>
      <c r="B932" s="22" t="s">
        <v>2797</v>
      </c>
      <c r="C932" s="22" t="s">
        <v>2798</v>
      </c>
      <c r="D932" s="22" t="s">
        <v>9</v>
      </c>
      <c r="E932" s="22" t="s">
        <v>35</v>
      </c>
      <c r="F932" s="22">
        <v>864.804</v>
      </c>
    </row>
    <row r="933" spans="1:6">
      <c r="A933" s="22" t="s">
        <v>2799</v>
      </c>
      <c r="B933" s="22" t="s">
        <v>2800</v>
      </c>
      <c r="C933" s="22" t="s">
        <v>2801</v>
      </c>
      <c r="D933" s="22" t="s">
        <v>9</v>
      </c>
      <c r="E933" s="22" t="s">
        <v>27</v>
      </c>
      <c r="F933" s="22">
        <v>37.306</v>
      </c>
    </row>
    <row r="934" spans="1:6">
      <c r="A934" s="22" t="s">
        <v>2802</v>
      </c>
      <c r="B934" s="22" t="s">
        <v>2803</v>
      </c>
      <c r="C934" s="22" t="s">
        <v>2804</v>
      </c>
      <c r="D934" s="22" t="s">
        <v>9</v>
      </c>
      <c r="E934" s="22" t="s">
        <v>93</v>
      </c>
      <c r="F934" s="22">
        <v>14.223</v>
      </c>
    </row>
    <row r="935" spans="1:6">
      <c r="A935" s="22" t="s">
        <v>2805</v>
      </c>
      <c r="B935" s="22" t="s">
        <v>2806</v>
      </c>
      <c r="C935" s="22" t="s">
        <v>2807</v>
      </c>
      <c r="D935" s="22" t="s">
        <v>9</v>
      </c>
      <c r="E935" s="22" t="s">
        <v>23</v>
      </c>
      <c r="F935" s="22">
        <v>25525.959</v>
      </c>
    </row>
    <row r="936" spans="1:6">
      <c r="A936" s="22" t="s">
        <v>2808</v>
      </c>
      <c r="B936" s="22" t="s">
        <v>2809</v>
      </c>
      <c r="C936" s="22" t="s">
        <v>2145</v>
      </c>
      <c r="D936" s="22" t="s">
        <v>9</v>
      </c>
      <c r="E936" s="22" t="s">
        <v>35</v>
      </c>
      <c r="F936" s="22">
        <v>834.933</v>
      </c>
    </row>
    <row r="937" spans="1:6">
      <c r="A937" s="22" t="s">
        <v>2810</v>
      </c>
      <c r="B937" s="22" t="s">
        <v>2811</v>
      </c>
      <c r="C937" s="22" t="s">
        <v>2812</v>
      </c>
      <c r="D937" s="22" t="s">
        <v>9</v>
      </c>
      <c r="E937" s="22" t="s">
        <v>35</v>
      </c>
      <c r="F937" s="22">
        <v>3.769</v>
      </c>
    </row>
    <row r="938" spans="1:6">
      <c r="A938" s="22" t="s">
        <v>2813</v>
      </c>
      <c r="B938" s="22" t="s">
        <v>2814</v>
      </c>
      <c r="C938" s="22" t="s">
        <v>2815</v>
      </c>
      <c r="D938" s="22" t="s">
        <v>9</v>
      </c>
      <c r="E938" s="22" t="s">
        <v>23</v>
      </c>
      <c r="F938" s="22">
        <v>55.012</v>
      </c>
    </row>
    <row r="939" spans="1:6">
      <c r="A939" s="22" t="s">
        <v>2816</v>
      </c>
      <c r="B939" s="22" t="s">
        <v>2817</v>
      </c>
      <c r="C939" s="22" t="s">
        <v>2818</v>
      </c>
      <c r="D939" s="22" t="s">
        <v>9</v>
      </c>
      <c r="E939" s="22" t="s">
        <v>23</v>
      </c>
      <c r="F939" s="22">
        <v>877.282</v>
      </c>
    </row>
    <row r="940" spans="1:6">
      <c r="A940" s="22" t="s">
        <v>2819</v>
      </c>
      <c r="B940" s="22" t="s">
        <v>2820</v>
      </c>
      <c r="C940" s="22" t="s">
        <v>2821</v>
      </c>
      <c r="D940" s="22" t="s">
        <v>9</v>
      </c>
      <c r="E940" s="22" t="s">
        <v>35</v>
      </c>
      <c r="F940" s="22">
        <v>74.858</v>
      </c>
    </row>
    <row r="941" spans="1:6">
      <c r="A941" s="22" t="s">
        <v>2822</v>
      </c>
      <c r="B941" s="22" t="s">
        <v>1226</v>
      </c>
      <c r="C941" s="22" t="s">
        <v>2823</v>
      </c>
      <c r="D941" s="22" t="s">
        <v>9</v>
      </c>
      <c r="E941" s="22" t="s">
        <v>27</v>
      </c>
      <c r="F941" s="22">
        <v>313.396</v>
      </c>
    </row>
    <row r="942" spans="1:6">
      <c r="A942" s="22" t="s">
        <v>2824</v>
      </c>
      <c r="B942" s="22" t="s">
        <v>2825</v>
      </c>
      <c r="C942" s="22" t="s">
        <v>2826</v>
      </c>
      <c r="D942" s="22" t="s">
        <v>9</v>
      </c>
      <c r="E942" s="22" t="s">
        <v>35</v>
      </c>
      <c r="F942" s="22">
        <v>475.368</v>
      </c>
    </row>
    <row r="943" spans="1:6">
      <c r="A943" s="22" t="s">
        <v>2827</v>
      </c>
      <c r="B943" s="22" t="s">
        <v>2828</v>
      </c>
      <c r="C943" s="22" t="s">
        <v>2829</v>
      </c>
      <c r="D943" s="22" t="s">
        <v>9</v>
      </c>
      <c r="E943" s="22" t="s">
        <v>50</v>
      </c>
      <c r="F943" s="22">
        <v>2187.823</v>
      </c>
    </row>
    <row r="944" spans="1:6">
      <c r="A944" s="22" t="s">
        <v>2830</v>
      </c>
      <c r="B944" s="22" t="s">
        <v>2831</v>
      </c>
      <c r="C944" s="22" t="s">
        <v>2832</v>
      </c>
      <c r="D944" s="22" t="s">
        <v>9</v>
      </c>
      <c r="E944" s="22" t="s">
        <v>27</v>
      </c>
      <c r="F944" s="22">
        <v>173.029</v>
      </c>
    </row>
    <row r="945" spans="1:6">
      <c r="A945" s="22" t="s">
        <v>2833</v>
      </c>
      <c r="B945" s="22" t="s">
        <v>2834</v>
      </c>
      <c r="C945" s="22" t="s">
        <v>2835</v>
      </c>
      <c r="D945" s="22" t="s">
        <v>9</v>
      </c>
      <c r="E945" s="22" t="s">
        <v>35</v>
      </c>
      <c r="F945" s="22">
        <v>333.283</v>
      </c>
    </row>
    <row r="946" spans="1:6">
      <c r="A946" s="22" t="s">
        <v>2836</v>
      </c>
      <c r="B946" s="22" t="s">
        <v>2837</v>
      </c>
      <c r="C946" s="22" t="s">
        <v>2838</v>
      </c>
      <c r="D946" s="22" t="s">
        <v>9</v>
      </c>
      <c r="E946" s="22" t="s">
        <v>23</v>
      </c>
      <c r="F946" s="22">
        <v>12624.211</v>
      </c>
    </row>
    <row r="947" spans="1:6">
      <c r="A947" s="22" t="s">
        <v>2839</v>
      </c>
      <c r="B947" s="22" t="s">
        <v>776</v>
      </c>
      <c r="C947" s="22" t="s">
        <v>2840</v>
      </c>
      <c r="D947" s="22" t="s">
        <v>9</v>
      </c>
      <c r="E947" s="22" t="s">
        <v>31</v>
      </c>
      <c r="F947" s="22">
        <v>662.637</v>
      </c>
    </row>
    <row r="948" spans="1:6">
      <c r="A948" s="22" t="s">
        <v>2841</v>
      </c>
      <c r="B948" s="22" t="s">
        <v>2842</v>
      </c>
      <c r="C948" s="22" t="s">
        <v>2842</v>
      </c>
      <c r="D948" s="22" t="s">
        <v>9</v>
      </c>
      <c r="E948" s="22" t="s">
        <v>23</v>
      </c>
      <c r="F948" s="22">
        <v>6840.309</v>
      </c>
    </row>
    <row r="949" spans="1:6">
      <c r="A949" s="22" t="s">
        <v>2843</v>
      </c>
      <c r="B949" s="22" t="s">
        <v>2844</v>
      </c>
      <c r="C949" s="22" t="s">
        <v>2845</v>
      </c>
      <c r="D949" s="22" t="s">
        <v>9</v>
      </c>
      <c r="E949" s="22" t="s">
        <v>31</v>
      </c>
      <c r="F949" s="22">
        <v>479.063</v>
      </c>
    </row>
    <row r="950" spans="1:6">
      <c r="A950" s="22" t="s">
        <v>2846</v>
      </c>
      <c r="B950" s="22" t="s">
        <v>2847</v>
      </c>
      <c r="C950" s="22" t="s">
        <v>2848</v>
      </c>
      <c r="D950" s="22" t="s">
        <v>9</v>
      </c>
      <c r="E950" s="22" t="s">
        <v>23</v>
      </c>
      <c r="F950" s="22">
        <v>21.05</v>
      </c>
    </row>
    <row r="951" spans="1:6">
      <c r="A951" s="22" t="s">
        <v>2849</v>
      </c>
      <c r="B951" s="22" t="s">
        <v>2850</v>
      </c>
      <c r="C951" s="22" t="s">
        <v>2851</v>
      </c>
      <c r="D951" s="22" t="s">
        <v>9</v>
      </c>
      <c r="E951" s="22" t="s">
        <v>27</v>
      </c>
      <c r="F951" s="22">
        <v>57.466</v>
      </c>
    </row>
    <row r="952" spans="1:6">
      <c r="A952" s="22" t="s">
        <v>2852</v>
      </c>
      <c r="B952" s="22" t="s">
        <v>2853</v>
      </c>
      <c r="C952" s="22" t="s">
        <v>2854</v>
      </c>
      <c r="D952" s="22" t="s">
        <v>9</v>
      </c>
      <c r="E952" s="22" t="s">
        <v>35</v>
      </c>
      <c r="F952" s="22">
        <v>62.08</v>
      </c>
    </row>
    <row r="953" spans="1:6">
      <c r="A953" s="22" t="s">
        <v>2855</v>
      </c>
      <c r="B953" s="22" t="s">
        <v>2856</v>
      </c>
      <c r="C953" s="22" t="s">
        <v>2857</v>
      </c>
      <c r="D953" s="22" t="s">
        <v>9</v>
      </c>
      <c r="E953" s="22" t="s">
        <v>23</v>
      </c>
      <c r="F953" s="22">
        <v>8118.477</v>
      </c>
    </row>
    <row r="954" spans="1:6">
      <c r="A954" s="22" t="s">
        <v>2858</v>
      </c>
      <c r="B954" s="22" t="s">
        <v>2859</v>
      </c>
      <c r="C954" s="22" t="s">
        <v>2860</v>
      </c>
      <c r="D954" s="22" t="s">
        <v>9</v>
      </c>
      <c r="E954" s="22" t="s">
        <v>23</v>
      </c>
      <c r="F954" s="22">
        <v>2198.557</v>
      </c>
    </row>
    <row r="955" spans="1:6">
      <c r="A955" s="22" t="s">
        <v>2861</v>
      </c>
      <c r="B955" s="22" t="s">
        <v>2862</v>
      </c>
      <c r="C955" s="22" t="s">
        <v>2863</v>
      </c>
      <c r="D955" s="22" t="s">
        <v>9</v>
      </c>
      <c r="E955" s="22" t="s">
        <v>27</v>
      </c>
      <c r="F955" s="22">
        <v>63.835</v>
      </c>
    </row>
    <row r="956" spans="1:6">
      <c r="A956" s="22" t="s">
        <v>2864</v>
      </c>
      <c r="B956" s="22" t="s">
        <v>2865</v>
      </c>
      <c r="C956" s="22" t="s">
        <v>2866</v>
      </c>
      <c r="D956" s="22" t="s">
        <v>9</v>
      </c>
      <c r="E956" s="22" t="s">
        <v>50</v>
      </c>
      <c r="F956" s="22">
        <v>1159.973</v>
      </c>
    </row>
    <row r="957" spans="1:6">
      <c r="A957" s="22" t="s">
        <v>2867</v>
      </c>
      <c r="B957" s="22" t="s">
        <v>2868</v>
      </c>
      <c r="C957" s="22" t="s">
        <v>2869</v>
      </c>
      <c r="D957" s="22" t="s">
        <v>9</v>
      </c>
      <c r="E957" s="22" t="s">
        <v>23</v>
      </c>
      <c r="F957" s="22">
        <v>3483.079</v>
      </c>
    </row>
    <row r="958" spans="1:6">
      <c r="A958" s="22" t="s">
        <v>2870</v>
      </c>
      <c r="B958" s="22" t="s">
        <v>2871</v>
      </c>
      <c r="C958" s="22" t="s">
        <v>2872</v>
      </c>
      <c r="D958" s="22" t="s">
        <v>9</v>
      </c>
      <c r="E958" s="22" t="s">
        <v>23</v>
      </c>
      <c r="F958" s="22">
        <v>836.134</v>
      </c>
    </row>
    <row r="959" spans="1:6">
      <c r="A959" s="22" t="s">
        <v>2873</v>
      </c>
      <c r="B959" s="22" t="s">
        <v>2874</v>
      </c>
      <c r="C959" s="22" t="s">
        <v>2875</v>
      </c>
      <c r="D959" s="22" t="s">
        <v>9</v>
      </c>
      <c r="E959" s="22" t="s">
        <v>35</v>
      </c>
      <c r="F959" s="22">
        <v>15.913</v>
      </c>
    </row>
    <row r="960" spans="1:6">
      <c r="A960" s="22" t="s">
        <v>2876</v>
      </c>
      <c r="B960" s="22" t="s">
        <v>2877</v>
      </c>
      <c r="C960" s="22" t="s">
        <v>2878</v>
      </c>
      <c r="D960" s="22" t="s">
        <v>9</v>
      </c>
      <c r="E960" s="22" t="s">
        <v>35</v>
      </c>
      <c r="F960" s="22">
        <v>140.532</v>
      </c>
    </row>
    <row r="961" spans="1:6">
      <c r="A961" s="22" t="s">
        <v>2879</v>
      </c>
      <c r="B961" s="22" t="s">
        <v>2880</v>
      </c>
      <c r="C961" s="22" t="s">
        <v>2881</v>
      </c>
      <c r="D961" s="22" t="s">
        <v>9</v>
      </c>
      <c r="E961" s="22" t="s">
        <v>23</v>
      </c>
      <c r="F961" s="22">
        <v>629.104</v>
      </c>
    </row>
    <row r="962" spans="1:6">
      <c r="A962" s="22" t="s">
        <v>2882</v>
      </c>
      <c r="B962" s="22" t="s">
        <v>2883</v>
      </c>
      <c r="C962" s="22" t="s">
        <v>2884</v>
      </c>
      <c r="D962" s="22" t="s">
        <v>9</v>
      </c>
      <c r="E962" s="22" t="s">
        <v>35</v>
      </c>
      <c r="F962" s="22">
        <v>6989.997</v>
      </c>
    </row>
    <row r="963" spans="1:6">
      <c r="A963" s="22" t="s">
        <v>2885</v>
      </c>
      <c r="B963" s="22" t="s">
        <v>2886</v>
      </c>
      <c r="C963" s="22" t="s">
        <v>2887</v>
      </c>
      <c r="D963" s="22" t="s">
        <v>9</v>
      </c>
      <c r="E963" s="22" t="s">
        <v>31</v>
      </c>
      <c r="F963" s="22">
        <v>698.87</v>
      </c>
    </row>
    <row r="964" spans="1:6">
      <c r="A964" s="22" t="s">
        <v>2888</v>
      </c>
      <c r="B964" s="22" t="s">
        <v>2889</v>
      </c>
      <c r="C964" s="22" t="s">
        <v>2890</v>
      </c>
      <c r="D964" s="22" t="s">
        <v>9</v>
      </c>
      <c r="E964" s="22" t="s">
        <v>39</v>
      </c>
      <c r="F964" s="22">
        <v>882.613</v>
      </c>
    </row>
    <row r="965" spans="1:6">
      <c r="A965" s="22" t="s">
        <v>2891</v>
      </c>
      <c r="B965" s="22" t="s">
        <v>2892</v>
      </c>
      <c r="C965" s="22" t="s">
        <v>2893</v>
      </c>
      <c r="D965" s="22" t="s">
        <v>9</v>
      </c>
      <c r="E965" s="22" t="s">
        <v>23</v>
      </c>
      <c r="F965" s="22">
        <v>106.088</v>
      </c>
    </row>
    <row r="966" spans="1:6">
      <c r="A966" s="22" t="s">
        <v>2894</v>
      </c>
      <c r="B966" s="22" t="s">
        <v>2895</v>
      </c>
      <c r="C966" s="22" t="s">
        <v>2896</v>
      </c>
      <c r="D966" s="22" t="s">
        <v>9</v>
      </c>
      <c r="E966" s="22" t="s">
        <v>23</v>
      </c>
      <c r="F966" s="22">
        <v>81.939</v>
      </c>
    </row>
    <row r="967" spans="1:6">
      <c r="A967" s="22" t="s">
        <v>2897</v>
      </c>
      <c r="B967" s="22" t="s">
        <v>934</v>
      </c>
      <c r="C967" s="22" t="s">
        <v>2898</v>
      </c>
      <c r="D967" s="22" t="s">
        <v>9</v>
      </c>
      <c r="E967" s="22" t="s">
        <v>31</v>
      </c>
      <c r="F967" s="22">
        <v>39.774</v>
      </c>
    </row>
    <row r="968" spans="1:6">
      <c r="A968" s="22" t="s">
        <v>2899</v>
      </c>
      <c r="B968" s="22" t="s">
        <v>2900</v>
      </c>
      <c r="C968" s="22" t="s">
        <v>2901</v>
      </c>
      <c r="D968" s="22" t="s">
        <v>9</v>
      </c>
      <c r="E968" s="22" t="s">
        <v>35</v>
      </c>
      <c r="F968" s="22">
        <v>13.424</v>
      </c>
    </row>
    <row r="969" spans="1:6">
      <c r="A969" s="22" t="s">
        <v>2902</v>
      </c>
      <c r="B969" s="22" t="s">
        <v>2903</v>
      </c>
      <c r="C969" s="22" t="s">
        <v>2904</v>
      </c>
      <c r="D969" s="22" t="s">
        <v>9</v>
      </c>
      <c r="E969" s="22" t="s">
        <v>23</v>
      </c>
      <c r="F969" s="22">
        <v>43594.383</v>
      </c>
    </row>
    <row r="970" spans="1:6">
      <c r="A970" s="22" t="s">
        <v>2905</v>
      </c>
      <c r="B970" s="22" t="s">
        <v>2906</v>
      </c>
      <c r="C970" s="22" t="s">
        <v>2907</v>
      </c>
      <c r="D970" s="22" t="s">
        <v>9</v>
      </c>
      <c r="E970" s="22" t="s">
        <v>23</v>
      </c>
      <c r="F970" s="22">
        <v>91.634</v>
      </c>
    </row>
    <row r="971" spans="1:6">
      <c r="A971" s="22" t="s">
        <v>2908</v>
      </c>
      <c r="B971" s="22" t="s">
        <v>2909</v>
      </c>
      <c r="C971" s="22" t="s">
        <v>2910</v>
      </c>
      <c r="D971" s="22" t="s">
        <v>9</v>
      </c>
      <c r="E971" s="22" t="s">
        <v>23</v>
      </c>
      <c r="F971" s="22">
        <v>2512.069</v>
      </c>
    </row>
    <row r="972" spans="1:6">
      <c r="A972" s="22" t="s">
        <v>2911</v>
      </c>
      <c r="B972" s="22" t="s">
        <v>2912</v>
      </c>
      <c r="C972" s="22" t="s">
        <v>2913</v>
      </c>
      <c r="D972" s="22" t="s">
        <v>9</v>
      </c>
      <c r="E972" s="22" t="s">
        <v>23</v>
      </c>
      <c r="F972" s="22">
        <v>4.585</v>
      </c>
    </row>
    <row r="973" spans="1:6">
      <c r="A973" s="22" t="s">
        <v>2914</v>
      </c>
      <c r="B973" s="22" t="s">
        <v>2915</v>
      </c>
      <c r="C973" s="22" t="s">
        <v>2916</v>
      </c>
      <c r="D973" s="22" t="s">
        <v>9</v>
      </c>
      <c r="E973" s="22" t="s">
        <v>23</v>
      </c>
      <c r="F973" s="22">
        <v>205.886</v>
      </c>
    </row>
    <row r="974" spans="1:6">
      <c r="A974" s="22" t="s">
        <v>2917</v>
      </c>
      <c r="B974" s="22" t="s">
        <v>2918</v>
      </c>
      <c r="C974" s="22" t="s">
        <v>2919</v>
      </c>
      <c r="D974" s="22" t="s">
        <v>9</v>
      </c>
      <c r="E974" s="22" t="s">
        <v>101</v>
      </c>
      <c r="F974" s="22">
        <v>38.688</v>
      </c>
    </row>
    <row r="975" spans="1:6">
      <c r="A975" s="22" t="s">
        <v>2920</v>
      </c>
      <c r="B975" s="22" t="s">
        <v>2921</v>
      </c>
      <c r="C975" s="22" t="s">
        <v>2922</v>
      </c>
      <c r="D975" s="22" t="s">
        <v>9</v>
      </c>
      <c r="E975" s="22" t="s">
        <v>23</v>
      </c>
      <c r="F975" s="22">
        <v>111.661</v>
      </c>
    </row>
    <row r="976" spans="1:6">
      <c r="A976" s="22" t="s">
        <v>2923</v>
      </c>
      <c r="B976" s="22" t="s">
        <v>2924</v>
      </c>
      <c r="C976" s="22" t="s">
        <v>2925</v>
      </c>
      <c r="D976" s="22" t="s">
        <v>9</v>
      </c>
      <c r="E976" s="22" t="s">
        <v>23</v>
      </c>
      <c r="F976" s="22">
        <v>247.75</v>
      </c>
    </row>
    <row r="977" spans="1:6">
      <c r="A977" s="22" t="s">
        <v>2926</v>
      </c>
      <c r="B977" s="22" t="s">
        <v>2927</v>
      </c>
      <c r="C977" s="22" t="s">
        <v>2928</v>
      </c>
      <c r="D977" s="22" t="s">
        <v>9</v>
      </c>
      <c r="E977" s="22" t="s">
        <v>35</v>
      </c>
      <c r="F977" s="22">
        <v>589.975</v>
      </c>
    </row>
    <row r="978" spans="1:6">
      <c r="A978" s="22" t="s">
        <v>2929</v>
      </c>
      <c r="B978" s="22" t="s">
        <v>2930</v>
      </c>
      <c r="C978" s="22" t="s">
        <v>2931</v>
      </c>
      <c r="D978" s="22" t="s">
        <v>9</v>
      </c>
      <c r="E978" s="22" t="s">
        <v>27</v>
      </c>
      <c r="F978" s="22">
        <v>1.042</v>
      </c>
    </row>
    <row r="979" spans="1:6">
      <c r="A979" s="22" t="s">
        <v>2932</v>
      </c>
      <c r="B979" s="22" t="s">
        <v>2933</v>
      </c>
      <c r="C979" s="22" t="s">
        <v>2934</v>
      </c>
      <c r="D979" s="22" t="s">
        <v>9</v>
      </c>
      <c r="E979" s="22" t="s">
        <v>35</v>
      </c>
      <c r="F979" s="22">
        <v>387.024</v>
      </c>
    </row>
    <row r="980" spans="1:6">
      <c r="A980" s="22" t="s">
        <v>2935</v>
      </c>
      <c r="B980" s="22" t="s">
        <v>759</v>
      </c>
      <c r="C980" s="22" t="s">
        <v>2936</v>
      </c>
      <c r="D980" s="22" t="s">
        <v>9</v>
      </c>
      <c r="E980" s="22" t="s">
        <v>31</v>
      </c>
      <c r="F980" s="22">
        <v>263.099</v>
      </c>
    </row>
    <row r="981" spans="1:6">
      <c r="A981" s="22" t="s">
        <v>2937</v>
      </c>
      <c r="B981" s="22" t="s">
        <v>2938</v>
      </c>
      <c r="C981" s="22" t="s">
        <v>2939</v>
      </c>
      <c r="D981" s="22" t="s">
        <v>9</v>
      </c>
      <c r="E981" s="22" t="s">
        <v>23</v>
      </c>
      <c r="F981" s="22">
        <v>166.014</v>
      </c>
    </row>
    <row r="982" spans="1:6">
      <c r="A982" s="22" t="s">
        <v>2940</v>
      </c>
      <c r="B982" s="22" t="s">
        <v>2941</v>
      </c>
      <c r="C982" s="22" t="s">
        <v>2942</v>
      </c>
      <c r="D982" s="22" t="s">
        <v>9</v>
      </c>
      <c r="E982" s="22" t="s">
        <v>23</v>
      </c>
      <c r="F982" s="22">
        <v>104.514</v>
      </c>
    </row>
    <row r="983" spans="1:6">
      <c r="A983" s="22" t="s">
        <v>2943</v>
      </c>
      <c r="B983" s="22" t="s">
        <v>2944</v>
      </c>
      <c r="C983" s="22" t="s">
        <v>2945</v>
      </c>
      <c r="D983" s="22" t="s">
        <v>9</v>
      </c>
      <c r="E983" s="22" t="s">
        <v>35</v>
      </c>
      <c r="F983" s="22">
        <v>1.172</v>
      </c>
    </row>
    <row r="984" spans="1:6">
      <c r="A984" s="22" t="s">
        <v>2946</v>
      </c>
      <c r="B984" s="22" t="s">
        <v>2947</v>
      </c>
      <c r="C984" s="22" t="s">
        <v>2948</v>
      </c>
      <c r="D984" s="22" t="s">
        <v>9</v>
      </c>
      <c r="E984" s="22" t="s">
        <v>35</v>
      </c>
      <c r="F984" s="22">
        <v>117.647</v>
      </c>
    </row>
    <row r="985" spans="1:6">
      <c r="A985" s="22" t="s">
        <v>2949</v>
      </c>
      <c r="B985" s="22" t="s">
        <v>2950</v>
      </c>
      <c r="C985" s="22" t="s">
        <v>2951</v>
      </c>
      <c r="D985" s="22" t="s">
        <v>9</v>
      </c>
      <c r="E985" s="22" t="s">
        <v>23</v>
      </c>
      <c r="F985" s="22">
        <v>406.499</v>
      </c>
    </row>
    <row r="986" spans="1:6">
      <c r="A986" s="22" t="s">
        <v>2952</v>
      </c>
      <c r="B986" s="22" t="s">
        <v>2953</v>
      </c>
      <c r="C986" s="22" t="s">
        <v>2954</v>
      </c>
      <c r="D986" s="22" t="s">
        <v>9</v>
      </c>
      <c r="E986" s="22" t="s">
        <v>23</v>
      </c>
      <c r="F986" s="22">
        <v>49.171</v>
      </c>
    </row>
    <row r="987" spans="1:6">
      <c r="A987" s="22" t="s">
        <v>2955</v>
      </c>
      <c r="B987" s="22" t="s">
        <v>2956</v>
      </c>
      <c r="C987" s="22" t="s">
        <v>2957</v>
      </c>
      <c r="D987" s="22" t="s">
        <v>9</v>
      </c>
      <c r="E987" s="22" t="s">
        <v>27</v>
      </c>
      <c r="F987" s="22">
        <v>9.386</v>
      </c>
    </row>
    <row r="988" spans="1:6">
      <c r="A988" s="22" t="s">
        <v>2958</v>
      </c>
      <c r="B988" s="22" t="s">
        <v>2959</v>
      </c>
      <c r="C988" s="22" t="s">
        <v>2960</v>
      </c>
      <c r="D988" s="22" t="s">
        <v>9</v>
      </c>
      <c r="E988" s="22" t="s">
        <v>93</v>
      </c>
      <c r="F988" s="22">
        <v>22.915</v>
      </c>
    </row>
    <row r="989" spans="1:6">
      <c r="A989" s="22" t="s">
        <v>2961</v>
      </c>
      <c r="B989" s="22" t="s">
        <v>2962</v>
      </c>
      <c r="C989" s="22" t="s">
        <v>2963</v>
      </c>
      <c r="D989" s="22" t="s">
        <v>9</v>
      </c>
      <c r="E989" s="22" t="s">
        <v>23</v>
      </c>
      <c r="F989" s="22">
        <v>185.342</v>
      </c>
    </row>
    <row r="990" spans="1:6">
      <c r="A990" s="22" t="s">
        <v>2964</v>
      </c>
      <c r="B990" s="22" t="s">
        <v>2965</v>
      </c>
      <c r="C990" s="22" t="s">
        <v>2966</v>
      </c>
      <c r="D990" s="22" t="s">
        <v>9</v>
      </c>
      <c r="E990" s="22" t="s">
        <v>35</v>
      </c>
      <c r="F990" s="22">
        <v>941.424</v>
      </c>
    </row>
    <row r="991" spans="1:6">
      <c r="A991" s="22" t="s">
        <v>2967</v>
      </c>
      <c r="B991" s="22" t="s">
        <v>2968</v>
      </c>
      <c r="C991" s="22" t="s">
        <v>2969</v>
      </c>
      <c r="D991" s="22" t="s">
        <v>9</v>
      </c>
      <c r="E991" s="22" t="s">
        <v>23</v>
      </c>
      <c r="F991" s="22">
        <v>801.197</v>
      </c>
    </row>
    <row r="992" spans="1:6">
      <c r="A992" s="22" t="s">
        <v>2970</v>
      </c>
      <c r="B992" s="22" t="s">
        <v>2971</v>
      </c>
      <c r="C992" s="22" t="s">
        <v>2972</v>
      </c>
      <c r="D992" s="22" t="s">
        <v>9</v>
      </c>
      <c r="E992" s="22" t="s">
        <v>23</v>
      </c>
      <c r="F992" s="22">
        <v>22.792</v>
      </c>
    </row>
    <row r="993" spans="1:6">
      <c r="A993" s="22" t="s">
        <v>2973</v>
      </c>
      <c r="B993" s="22" t="s">
        <v>2974</v>
      </c>
      <c r="C993" s="22" t="s">
        <v>2975</v>
      </c>
      <c r="D993" s="22" t="s">
        <v>9</v>
      </c>
      <c r="E993" s="22" t="s">
        <v>23</v>
      </c>
      <c r="F993" s="22">
        <v>48.075</v>
      </c>
    </row>
    <row r="994" spans="1:6">
      <c r="A994" s="22" t="s">
        <v>2976</v>
      </c>
      <c r="B994" s="22" t="s">
        <v>2977</v>
      </c>
      <c r="C994" s="22" t="s">
        <v>2978</v>
      </c>
      <c r="D994" s="22" t="s">
        <v>9</v>
      </c>
      <c r="E994" s="22" t="s">
        <v>23</v>
      </c>
      <c r="F994" s="22">
        <v>6.18</v>
      </c>
    </row>
    <row r="995" spans="1:6">
      <c r="A995" s="22" t="s">
        <v>2979</v>
      </c>
      <c r="B995" s="22" t="s">
        <v>2980</v>
      </c>
      <c r="C995" s="22" t="s">
        <v>2981</v>
      </c>
      <c r="D995" s="22" t="s">
        <v>9</v>
      </c>
      <c r="E995" s="22" t="s">
        <v>23</v>
      </c>
      <c r="F995" s="22">
        <v>14804.126</v>
      </c>
    </row>
    <row r="996" spans="1:6">
      <c r="A996" s="22" t="s">
        <v>2982</v>
      </c>
      <c r="B996" s="22" t="s">
        <v>2983</v>
      </c>
      <c r="C996" s="22" t="s">
        <v>2984</v>
      </c>
      <c r="D996" s="22" t="s">
        <v>9</v>
      </c>
      <c r="E996" s="22" t="s">
        <v>23</v>
      </c>
      <c r="F996" s="22">
        <v>170.662</v>
      </c>
    </row>
    <row r="997" spans="1:6">
      <c r="A997" s="22" t="s">
        <v>2985</v>
      </c>
      <c r="B997" s="22" t="s">
        <v>2986</v>
      </c>
      <c r="C997" s="22" t="s">
        <v>2987</v>
      </c>
      <c r="D997" s="22" t="s">
        <v>9</v>
      </c>
      <c r="E997" s="22" t="s">
        <v>35</v>
      </c>
      <c r="F997" s="22">
        <v>393.211</v>
      </c>
    </row>
    <row r="998" spans="1:6">
      <c r="A998" s="22" t="s">
        <v>2988</v>
      </c>
      <c r="B998" s="22" t="s">
        <v>2989</v>
      </c>
      <c r="C998" s="22" t="s">
        <v>2990</v>
      </c>
      <c r="D998" s="22" t="s">
        <v>9</v>
      </c>
      <c r="E998" s="22" t="s">
        <v>23</v>
      </c>
      <c r="F998" s="22">
        <v>5876.665</v>
      </c>
    </row>
    <row r="999" spans="1:6">
      <c r="A999" s="22" t="s">
        <v>2991</v>
      </c>
      <c r="B999" s="22" t="s">
        <v>2992</v>
      </c>
      <c r="C999" s="22" t="s">
        <v>2993</v>
      </c>
      <c r="D999" s="22" t="s">
        <v>9</v>
      </c>
      <c r="E999" s="22" t="s">
        <v>35</v>
      </c>
      <c r="F999" s="22">
        <v>2170.938</v>
      </c>
    </row>
    <row r="1000" spans="1:6">
      <c r="A1000" s="22" t="s">
        <v>2994</v>
      </c>
      <c r="B1000" s="22" t="s">
        <v>2995</v>
      </c>
      <c r="C1000" s="22" t="s">
        <v>2996</v>
      </c>
      <c r="D1000" s="22" t="s">
        <v>9</v>
      </c>
      <c r="E1000" s="22" t="s">
        <v>23</v>
      </c>
      <c r="F1000" s="22">
        <v>28831.77</v>
      </c>
    </row>
    <row r="1001" spans="1:6">
      <c r="A1001" s="22" t="s">
        <v>2997</v>
      </c>
      <c r="B1001" s="22" t="s">
        <v>2998</v>
      </c>
      <c r="C1001" s="22" t="s">
        <v>2999</v>
      </c>
      <c r="D1001" s="22" t="s">
        <v>9</v>
      </c>
      <c r="E1001" s="22" t="s">
        <v>23</v>
      </c>
      <c r="F1001" s="22">
        <v>366.018</v>
      </c>
    </row>
    <row r="1002" spans="1:6">
      <c r="A1002" s="22" t="s">
        <v>3000</v>
      </c>
      <c r="B1002" s="22" t="s">
        <v>3001</v>
      </c>
      <c r="C1002" s="22" t="s">
        <v>3002</v>
      </c>
      <c r="D1002" s="22" t="s">
        <v>9</v>
      </c>
      <c r="E1002" s="22" t="s">
        <v>23</v>
      </c>
      <c r="F1002" s="22">
        <v>357.853</v>
      </c>
    </row>
    <row r="1003" spans="1:6">
      <c r="A1003" s="22" t="s">
        <v>3003</v>
      </c>
      <c r="B1003" s="22" t="s">
        <v>3004</v>
      </c>
      <c r="C1003" s="22" t="s">
        <v>3005</v>
      </c>
      <c r="D1003" s="22" t="s">
        <v>9</v>
      </c>
      <c r="E1003" s="22" t="s">
        <v>23</v>
      </c>
      <c r="F1003" s="22">
        <v>103.199</v>
      </c>
    </row>
    <row r="1004" spans="1:6">
      <c r="A1004" s="22" t="s">
        <v>3006</v>
      </c>
      <c r="B1004" s="22" t="s">
        <v>3007</v>
      </c>
      <c r="C1004" s="22" t="s">
        <v>3008</v>
      </c>
      <c r="D1004" s="22" t="s">
        <v>9</v>
      </c>
      <c r="E1004" s="22" t="s">
        <v>23</v>
      </c>
      <c r="F1004" s="22">
        <v>115.557</v>
      </c>
    </row>
    <row r="1005" spans="1:6">
      <c r="A1005" s="22" t="s">
        <v>3009</v>
      </c>
      <c r="B1005" s="22" t="s">
        <v>3010</v>
      </c>
      <c r="C1005" s="22" t="s">
        <v>3011</v>
      </c>
      <c r="D1005" s="22" t="s">
        <v>9</v>
      </c>
      <c r="E1005" s="22" t="s">
        <v>27</v>
      </c>
      <c r="F1005" s="22">
        <v>196.467</v>
      </c>
    </row>
    <row r="1006" spans="1:6">
      <c r="A1006" s="22" t="s">
        <v>3012</v>
      </c>
      <c r="B1006" s="22" t="s">
        <v>3013</v>
      </c>
      <c r="C1006" s="22" t="s">
        <v>3014</v>
      </c>
      <c r="D1006" s="22" t="s">
        <v>9</v>
      </c>
      <c r="E1006" s="22" t="s">
        <v>44</v>
      </c>
      <c r="F1006" s="22">
        <v>224.802</v>
      </c>
    </row>
    <row r="1007" spans="1:6">
      <c r="A1007" s="22" t="s">
        <v>3015</v>
      </c>
      <c r="B1007" s="22" t="s">
        <v>3016</v>
      </c>
      <c r="C1007" s="22" t="s">
        <v>3017</v>
      </c>
      <c r="D1007" s="22" t="s">
        <v>9</v>
      </c>
      <c r="E1007" s="22" t="s">
        <v>35</v>
      </c>
      <c r="F1007" s="22">
        <v>254.88</v>
      </c>
    </row>
    <row r="1008" spans="1:6">
      <c r="A1008" s="22" t="s">
        <v>3018</v>
      </c>
      <c r="B1008" s="22" t="s">
        <v>3019</v>
      </c>
      <c r="C1008" s="22" t="s">
        <v>3020</v>
      </c>
      <c r="D1008" s="22" t="s">
        <v>9</v>
      </c>
      <c r="E1008" s="22" t="s">
        <v>23</v>
      </c>
      <c r="F1008" s="22">
        <v>1837.222</v>
      </c>
    </row>
    <row r="1009" spans="1:6">
      <c r="A1009" s="22" t="s">
        <v>3021</v>
      </c>
      <c r="B1009" s="22" t="s">
        <v>3022</v>
      </c>
      <c r="C1009" s="22" t="s">
        <v>3023</v>
      </c>
      <c r="D1009" s="22" t="s">
        <v>9</v>
      </c>
      <c r="E1009" s="22" t="s">
        <v>35</v>
      </c>
      <c r="F1009" s="22">
        <v>655.4</v>
      </c>
    </row>
    <row r="1010" spans="1:6">
      <c r="A1010" s="22" t="s">
        <v>3024</v>
      </c>
      <c r="B1010" s="22" t="s">
        <v>3025</v>
      </c>
      <c r="C1010" s="22" t="s">
        <v>3026</v>
      </c>
      <c r="D1010" s="22" t="s">
        <v>9</v>
      </c>
      <c r="E1010" s="22" t="s">
        <v>23</v>
      </c>
      <c r="F1010" s="22">
        <v>90.419</v>
      </c>
    </row>
    <row r="1011" spans="1:6">
      <c r="A1011" s="22" t="s">
        <v>3027</v>
      </c>
      <c r="B1011" s="22" t="s">
        <v>3028</v>
      </c>
      <c r="C1011" s="22" t="s">
        <v>2399</v>
      </c>
      <c r="D1011" s="22" t="s">
        <v>9</v>
      </c>
      <c r="E1011" s="22" t="s">
        <v>35</v>
      </c>
      <c r="F1011" s="22">
        <v>2687.74</v>
      </c>
    </row>
    <row r="1012" spans="1:6">
      <c r="A1012" s="22" t="s">
        <v>3029</v>
      </c>
      <c r="B1012" s="22" t="s">
        <v>3030</v>
      </c>
      <c r="C1012" s="22" t="s">
        <v>3031</v>
      </c>
      <c r="D1012" s="22" t="s">
        <v>9</v>
      </c>
      <c r="E1012" s="22" t="s">
        <v>44</v>
      </c>
      <c r="F1012" s="22">
        <v>115.108</v>
      </c>
    </row>
    <row r="1013" spans="1:6">
      <c r="A1013" s="22" t="s">
        <v>3032</v>
      </c>
      <c r="B1013" s="22" t="s">
        <v>3033</v>
      </c>
      <c r="C1013" s="22" t="s">
        <v>3034</v>
      </c>
      <c r="D1013" s="22" t="s">
        <v>9</v>
      </c>
      <c r="E1013" s="22" t="s">
        <v>23</v>
      </c>
      <c r="F1013" s="22">
        <v>28.803</v>
      </c>
    </row>
    <row r="1014" spans="1:6">
      <c r="A1014" s="22" t="s">
        <v>3035</v>
      </c>
      <c r="B1014" s="22" t="s">
        <v>3036</v>
      </c>
      <c r="C1014" s="22" t="s">
        <v>3037</v>
      </c>
      <c r="D1014" s="22" t="s">
        <v>9</v>
      </c>
      <c r="E1014" s="22" t="s">
        <v>57</v>
      </c>
      <c r="F1014" s="22">
        <v>5.54</v>
      </c>
    </row>
    <row r="1015" spans="1:6">
      <c r="A1015" s="22" t="s">
        <v>3038</v>
      </c>
      <c r="B1015" s="22" t="s">
        <v>3039</v>
      </c>
      <c r="C1015" s="22" t="s">
        <v>3040</v>
      </c>
      <c r="D1015" s="22" t="s">
        <v>9</v>
      </c>
      <c r="E1015" s="22" t="s">
        <v>44</v>
      </c>
      <c r="F1015" s="22">
        <v>79.594</v>
      </c>
    </row>
    <row r="1016" spans="1:6">
      <c r="A1016" s="22" t="s">
        <v>3041</v>
      </c>
      <c r="B1016" s="22" t="s">
        <v>3042</v>
      </c>
      <c r="C1016" s="22" t="s">
        <v>3043</v>
      </c>
      <c r="D1016" s="22" t="s">
        <v>9</v>
      </c>
      <c r="E1016" s="22" t="s">
        <v>31</v>
      </c>
      <c r="F1016" s="22">
        <v>40.657</v>
      </c>
    </row>
    <row r="1017" spans="1:6">
      <c r="A1017" s="22" t="s">
        <v>3044</v>
      </c>
      <c r="B1017" s="22" t="s">
        <v>3045</v>
      </c>
      <c r="C1017" s="22" t="s">
        <v>3046</v>
      </c>
      <c r="D1017" s="22" t="s">
        <v>9</v>
      </c>
      <c r="E1017" s="22" t="s">
        <v>35</v>
      </c>
      <c r="F1017" s="22">
        <v>54.038</v>
      </c>
    </row>
    <row r="1018" spans="1:6">
      <c r="A1018" s="22" t="s">
        <v>3047</v>
      </c>
      <c r="B1018" s="22" t="s">
        <v>3048</v>
      </c>
      <c r="C1018" s="22" t="s">
        <v>3049</v>
      </c>
      <c r="D1018" s="22" t="s">
        <v>9</v>
      </c>
      <c r="E1018" s="22" t="s">
        <v>23</v>
      </c>
      <c r="F1018" s="22">
        <v>29.04</v>
      </c>
    </row>
    <row r="1019" spans="1:6">
      <c r="A1019" s="22" t="s">
        <v>3050</v>
      </c>
      <c r="B1019" s="22" t="s">
        <v>3051</v>
      </c>
      <c r="C1019" s="22" t="s">
        <v>3052</v>
      </c>
      <c r="D1019" s="22" t="s">
        <v>9</v>
      </c>
      <c r="E1019" s="22" t="s">
        <v>27</v>
      </c>
      <c r="F1019" s="22">
        <v>5488.782</v>
      </c>
    </row>
    <row r="1020" spans="1:6">
      <c r="A1020" s="22" t="s">
        <v>3053</v>
      </c>
      <c r="B1020" s="22" t="s">
        <v>3054</v>
      </c>
      <c r="C1020" s="22" t="s">
        <v>3055</v>
      </c>
      <c r="D1020" s="22" t="s">
        <v>9</v>
      </c>
      <c r="E1020" s="22" t="s">
        <v>23</v>
      </c>
      <c r="F1020" s="22">
        <v>1179.439</v>
      </c>
    </row>
    <row r="1021" spans="1:6">
      <c r="A1021" s="22" t="s">
        <v>3056</v>
      </c>
      <c r="B1021" s="22" t="s">
        <v>3057</v>
      </c>
      <c r="C1021" s="22" t="s">
        <v>3058</v>
      </c>
      <c r="D1021" s="22" t="s">
        <v>9</v>
      </c>
      <c r="E1021" s="22" t="s">
        <v>35</v>
      </c>
      <c r="F1021" s="22">
        <v>255.366</v>
      </c>
    </row>
    <row r="1022" spans="1:6">
      <c r="A1022" s="22" t="s">
        <v>3059</v>
      </c>
      <c r="B1022" s="22" t="s">
        <v>3060</v>
      </c>
      <c r="C1022" s="22" t="s">
        <v>3061</v>
      </c>
      <c r="D1022" s="22" t="s">
        <v>9</v>
      </c>
      <c r="E1022" s="22" t="s">
        <v>35</v>
      </c>
      <c r="F1022" s="22">
        <v>312.56</v>
      </c>
    </row>
    <row r="1023" spans="1:6">
      <c r="A1023" s="22" t="s">
        <v>3062</v>
      </c>
      <c r="B1023" s="22" t="s">
        <v>3063</v>
      </c>
      <c r="C1023" s="22" t="s">
        <v>3064</v>
      </c>
      <c r="D1023" s="22" t="s">
        <v>9</v>
      </c>
      <c r="E1023" s="22" t="s">
        <v>23</v>
      </c>
      <c r="F1023" s="22">
        <v>4.863</v>
      </c>
    </row>
    <row r="1024" spans="1:6">
      <c r="A1024" s="22" t="s">
        <v>3065</v>
      </c>
      <c r="B1024" s="22" t="s">
        <v>3066</v>
      </c>
      <c r="C1024" s="22" t="s">
        <v>3067</v>
      </c>
      <c r="D1024" s="22" t="s">
        <v>9</v>
      </c>
      <c r="E1024" s="22" t="s">
        <v>27</v>
      </c>
      <c r="F1024" s="22">
        <v>18.91</v>
      </c>
    </row>
    <row r="1025" spans="1:6">
      <c r="A1025" s="22" t="s">
        <v>3068</v>
      </c>
      <c r="B1025" s="22" t="s">
        <v>3069</v>
      </c>
      <c r="C1025" s="22" t="s">
        <v>3070</v>
      </c>
      <c r="D1025" s="22" t="s">
        <v>9</v>
      </c>
      <c r="E1025" s="22" t="s">
        <v>35</v>
      </c>
      <c r="F1025" s="22">
        <v>268.113</v>
      </c>
    </row>
    <row r="1026" spans="1:6">
      <c r="A1026" s="22" t="s">
        <v>3071</v>
      </c>
      <c r="B1026" s="22" t="s">
        <v>3072</v>
      </c>
      <c r="C1026" s="22" t="s">
        <v>3073</v>
      </c>
      <c r="D1026" s="22" t="s">
        <v>9</v>
      </c>
      <c r="E1026" s="22" t="s">
        <v>57</v>
      </c>
    </row>
    <row r="1027" spans="1:6">
      <c r="A1027" s="22" t="s">
        <v>3074</v>
      </c>
      <c r="B1027" s="22" t="s">
        <v>3075</v>
      </c>
      <c r="C1027" s="22" t="s">
        <v>3076</v>
      </c>
      <c r="D1027" s="22" t="s">
        <v>9</v>
      </c>
      <c r="E1027" s="22" t="s">
        <v>35</v>
      </c>
      <c r="F1027" s="22">
        <v>150.968</v>
      </c>
    </row>
    <row r="1028" spans="1:6">
      <c r="A1028" s="22" t="s">
        <v>3077</v>
      </c>
      <c r="B1028" s="22" t="s">
        <v>3078</v>
      </c>
      <c r="C1028" s="22" t="s">
        <v>3079</v>
      </c>
      <c r="D1028" s="22" t="s">
        <v>9</v>
      </c>
      <c r="E1028" s="22" t="s">
        <v>27</v>
      </c>
      <c r="F1028" s="22">
        <v>4588.128</v>
      </c>
    </row>
    <row r="1029" spans="1:6">
      <c r="A1029" s="22" t="s">
        <v>3080</v>
      </c>
      <c r="B1029" s="22" t="s">
        <v>3081</v>
      </c>
      <c r="C1029" s="22" t="s">
        <v>3082</v>
      </c>
      <c r="D1029" s="22" t="s">
        <v>9</v>
      </c>
      <c r="E1029" s="22" t="s">
        <v>23</v>
      </c>
      <c r="F1029" s="22">
        <v>2618.439</v>
      </c>
    </row>
    <row r="1030" spans="1:6">
      <c r="A1030" s="22" t="s">
        <v>3083</v>
      </c>
      <c r="B1030" s="22" t="s">
        <v>3084</v>
      </c>
      <c r="C1030" s="22" t="s">
        <v>3085</v>
      </c>
      <c r="D1030" s="22" t="s">
        <v>9</v>
      </c>
      <c r="E1030" s="22" t="s">
        <v>23</v>
      </c>
      <c r="F1030" s="22">
        <v>178.479</v>
      </c>
    </row>
    <row r="1031" spans="1:6">
      <c r="A1031" s="22" t="s">
        <v>3086</v>
      </c>
      <c r="B1031" s="22" t="s">
        <v>3087</v>
      </c>
      <c r="C1031" s="22" t="s">
        <v>3088</v>
      </c>
      <c r="D1031" s="22" t="s">
        <v>9</v>
      </c>
      <c r="E1031" s="22" t="s">
        <v>50</v>
      </c>
      <c r="F1031" s="22">
        <v>48.121</v>
      </c>
    </row>
    <row r="1032" spans="1:6">
      <c r="A1032" s="22" t="s">
        <v>3089</v>
      </c>
      <c r="B1032" s="22" t="s">
        <v>3090</v>
      </c>
      <c r="C1032" s="22" t="s">
        <v>3091</v>
      </c>
      <c r="D1032" s="22" t="s">
        <v>9</v>
      </c>
      <c r="E1032" s="22" t="s">
        <v>23</v>
      </c>
      <c r="F1032" s="22">
        <v>123.094</v>
      </c>
    </row>
    <row r="1033" spans="1:6">
      <c r="A1033" s="22" t="s">
        <v>3092</v>
      </c>
      <c r="B1033" s="22" t="s">
        <v>3093</v>
      </c>
      <c r="C1033" s="22" t="s">
        <v>3094</v>
      </c>
      <c r="D1033" s="22" t="s">
        <v>9</v>
      </c>
      <c r="E1033" s="22" t="s">
        <v>23</v>
      </c>
      <c r="F1033" s="22">
        <v>290.461</v>
      </c>
    </row>
    <row r="1034" spans="1:6">
      <c r="A1034" s="22" t="s">
        <v>3095</v>
      </c>
      <c r="B1034" s="22" t="s">
        <v>3096</v>
      </c>
      <c r="C1034" s="22" t="s">
        <v>3097</v>
      </c>
      <c r="D1034" s="22" t="s">
        <v>9</v>
      </c>
      <c r="E1034" s="22" t="s">
        <v>23</v>
      </c>
      <c r="F1034" s="22">
        <v>1466.775</v>
      </c>
    </row>
    <row r="1035" spans="1:6">
      <c r="A1035" s="22" t="s">
        <v>3098</v>
      </c>
      <c r="B1035" s="22" t="s">
        <v>3099</v>
      </c>
      <c r="C1035" s="22" t="s">
        <v>3100</v>
      </c>
      <c r="D1035" s="22" t="s">
        <v>9</v>
      </c>
      <c r="E1035" s="22" t="s">
        <v>23</v>
      </c>
      <c r="F1035" s="22">
        <v>431.764</v>
      </c>
    </row>
    <row r="1036" spans="1:6">
      <c r="A1036" s="22" t="s">
        <v>3101</v>
      </c>
      <c r="B1036" s="22" t="s">
        <v>3102</v>
      </c>
      <c r="C1036" s="22" t="s">
        <v>3103</v>
      </c>
      <c r="D1036" s="22" t="s">
        <v>9</v>
      </c>
      <c r="E1036" s="22" t="s">
        <v>23</v>
      </c>
      <c r="F1036" s="22">
        <v>122.334</v>
      </c>
    </row>
    <row r="1037" spans="1:6">
      <c r="A1037" s="22" t="s">
        <v>3104</v>
      </c>
      <c r="B1037" s="22" t="s">
        <v>3105</v>
      </c>
      <c r="C1037" s="22" t="s">
        <v>3106</v>
      </c>
      <c r="D1037" s="22" t="s">
        <v>9</v>
      </c>
      <c r="E1037" s="22" t="s">
        <v>35</v>
      </c>
      <c r="F1037" s="22">
        <v>1018.805</v>
      </c>
    </row>
    <row r="1038" spans="1:6">
      <c r="A1038" s="22" t="s">
        <v>3107</v>
      </c>
      <c r="B1038" s="22" t="s">
        <v>3108</v>
      </c>
      <c r="C1038" s="22" t="s">
        <v>2145</v>
      </c>
      <c r="D1038" s="22" t="s">
        <v>9</v>
      </c>
      <c r="E1038" s="22" t="s">
        <v>35</v>
      </c>
    </row>
    <row r="1039" spans="1:6">
      <c r="A1039" s="22" t="s">
        <v>3109</v>
      </c>
      <c r="B1039" s="22" t="s">
        <v>3110</v>
      </c>
      <c r="C1039" s="22" t="s">
        <v>3111</v>
      </c>
      <c r="D1039" s="22" t="s">
        <v>9</v>
      </c>
      <c r="E1039" s="22" t="s">
        <v>57</v>
      </c>
      <c r="F1039" s="22">
        <v>36.115</v>
      </c>
    </row>
    <row r="1040" spans="1:6">
      <c r="A1040" s="22" t="s">
        <v>3112</v>
      </c>
      <c r="B1040" s="22" t="s">
        <v>3113</v>
      </c>
      <c r="C1040" s="22" t="s">
        <v>3114</v>
      </c>
      <c r="D1040" s="22" t="s">
        <v>9</v>
      </c>
      <c r="E1040" s="22" t="s">
        <v>23</v>
      </c>
      <c r="F1040" s="22">
        <v>154.374</v>
      </c>
    </row>
    <row r="1041" spans="1:6">
      <c r="A1041" s="22" t="s">
        <v>3115</v>
      </c>
      <c r="B1041" s="22" t="s">
        <v>3116</v>
      </c>
      <c r="C1041" s="22" t="s">
        <v>3117</v>
      </c>
      <c r="D1041" s="22" t="s">
        <v>9</v>
      </c>
      <c r="E1041" s="22" t="s">
        <v>57</v>
      </c>
      <c r="F1041" s="22">
        <v>8.713</v>
      </c>
    </row>
    <row r="1042" spans="1:6">
      <c r="A1042" s="22" t="s">
        <v>3118</v>
      </c>
      <c r="B1042" s="22" t="s">
        <v>3119</v>
      </c>
      <c r="C1042" s="22" t="s">
        <v>3120</v>
      </c>
      <c r="D1042" s="22" t="s">
        <v>9</v>
      </c>
      <c r="E1042" s="22" t="s">
        <v>23</v>
      </c>
      <c r="F1042" s="22">
        <v>17258.633</v>
      </c>
    </row>
    <row r="1043" spans="1:6">
      <c r="A1043" s="22" t="s">
        <v>3121</v>
      </c>
      <c r="B1043" s="22" t="s">
        <v>3122</v>
      </c>
      <c r="C1043" s="22" t="s">
        <v>3123</v>
      </c>
      <c r="D1043" s="22" t="s">
        <v>9</v>
      </c>
      <c r="E1043" s="22" t="s">
        <v>23</v>
      </c>
      <c r="F1043" s="22">
        <v>300.725</v>
      </c>
    </row>
    <row r="1044" spans="1:6">
      <c r="A1044" s="22" t="s">
        <v>3124</v>
      </c>
      <c r="B1044" s="22" t="s">
        <v>3125</v>
      </c>
      <c r="C1044" s="22" t="s">
        <v>3126</v>
      </c>
      <c r="D1044" s="22" t="s">
        <v>9</v>
      </c>
      <c r="E1044" s="22" t="s">
        <v>23</v>
      </c>
      <c r="F1044" s="22">
        <v>60.52</v>
      </c>
    </row>
    <row r="1045" spans="1:6">
      <c r="A1045" s="22" t="s">
        <v>3127</v>
      </c>
      <c r="B1045" s="22" t="s">
        <v>3128</v>
      </c>
      <c r="C1045" s="22" t="s">
        <v>3129</v>
      </c>
      <c r="D1045" s="22" t="s">
        <v>9</v>
      </c>
      <c r="E1045" s="22" t="s">
        <v>23</v>
      </c>
      <c r="F1045" s="22">
        <v>834.635</v>
      </c>
    </row>
    <row r="1046" spans="1:6">
      <c r="A1046" s="22" t="s">
        <v>3130</v>
      </c>
      <c r="B1046" s="22" t="s">
        <v>3131</v>
      </c>
      <c r="C1046" s="22" t="s">
        <v>3132</v>
      </c>
      <c r="D1046" s="22" t="s">
        <v>9</v>
      </c>
      <c r="E1046" s="22" t="s">
        <v>23</v>
      </c>
      <c r="F1046" s="22">
        <v>142.429</v>
      </c>
    </row>
    <row r="1047" spans="1:6">
      <c r="A1047" s="22" t="s">
        <v>3133</v>
      </c>
      <c r="B1047" s="22" t="s">
        <v>2971</v>
      </c>
      <c r="C1047" s="22" t="s">
        <v>3134</v>
      </c>
      <c r="D1047" s="22" t="s">
        <v>9</v>
      </c>
      <c r="E1047" s="22" t="s">
        <v>23</v>
      </c>
      <c r="F1047" s="22">
        <v>192.559</v>
      </c>
    </row>
    <row r="1048" spans="1:6">
      <c r="A1048" s="22" t="s">
        <v>3135</v>
      </c>
      <c r="B1048" s="22" t="s">
        <v>1700</v>
      </c>
      <c r="C1048" s="22" t="s">
        <v>3136</v>
      </c>
      <c r="D1048" s="22" t="s">
        <v>9</v>
      </c>
      <c r="E1048" s="22" t="s">
        <v>35</v>
      </c>
      <c r="F1048" s="22">
        <v>187.891</v>
      </c>
    </row>
    <row r="1049" spans="1:6">
      <c r="A1049" s="22" t="s">
        <v>3137</v>
      </c>
      <c r="B1049" s="22" t="s">
        <v>3138</v>
      </c>
      <c r="C1049" s="22" t="s">
        <v>3139</v>
      </c>
      <c r="D1049" s="22" t="s">
        <v>9</v>
      </c>
      <c r="E1049" s="22" t="s">
        <v>35</v>
      </c>
      <c r="F1049" s="22">
        <v>118.387</v>
      </c>
    </row>
    <row r="1050" spans="1:6">
      <c r="A1050" s="22" t="s">
        <v>3140</v>
      </c>
      <c r="B1050" s="22" t="s">
        <v>3141</v>
      </c>
      <c r="C1050" s="22" t="s">
        <v>3142</v>
      </c>
      <c r="D1050" s="22" t="s">
        <v>9</v>
      </c>
      <c r="E1050" s="22" t="s">
        <v>23</v>
      </c>
      <c r="F1050" s="22">
        <v>77.231</v>
      </c>
    </row>
    <row r="1051" spans="1:6">
      <c r="A1051" s="22" t="s">
        <v>3143</v>
      </c>
      <c r="B1051" s="22" t="s">
        <v>3144</v>
      </c>
      <c r="C1051" s="22" t="s">
        <v>3145</v>
      </c>
      <c r="D1051" s="22" t="s">
        <v>9</v>
      </c>
      <c r="E1051" s="22" t="s">
        <v>35</v>
      </c>
      <c r="F1051" s="22">
        <v>107.249</v>
      </c>
    </row>
    <row r="1052" spans="1:6">
      <c r="A1052" s="22" t="s">
        <v>3146</v>
      </c>
      <c r="B1052" s="22" t="s">
        <v>3147</v>
      </c>
      <c r="C1052" s="22" t="s">
        <v>3148</v>
      </c>
      <c r="D1052" s="22" t="s">
        <v>9</v>
      </c>
      <c r="E1052" s="22" t="s">
        <v>23</v>
      </c>
      <c r="F1052" s="22">
        <v>531.976</v>
      </c>
    </row>
    <row r="1053" spans="1:6">
      <c r="A1053" s="22" t="s">
        <v>3149</v>
      </c>
      <c r="B1053" s="22" t="s">
        <v>3150</v>
      </c>
      <c r="C1053" s="22" t="s">
        <v>3151</v>
      </c>
      <c r="D1053" s="22" t="s">
        <v>9</v>
      </c>
      <c r="E1053" s="22" t="s">
        <v>23</v>
      </c>
      <c r="F1053" s="22">
        <v>17.53</v>
      </c>
    </row>
    <row r="1054" spans="1:6">
      <c r="A1054" s="22" t="s">
        <v>3152</v>
      </c>
      <c r="B1054" s="22" t="s">
        <v>3153</v>
      </c>
      <c r="C1054" s="22" t="s">
        <v>3154</v>
      </c>
      <c r="D1054" s="22" t="s">
        <v>9</v>
      </c>
      <c r="E1054" s="22" t="s">
        <v>23</v>
      </c>
      <c r="F1054" s="22">
        <v>56.968</v>
      </c>
    </row>
    <row r="1055" spans="1:6">
      <c r="A1055" s="22" t="s">
        <v>3155</v>
      </c>
      <c r="B1055" s="22" t="s">
        <v>3156</v>
      </c>
      <c r="C1055" s="22" t="s">
        <v>3157</v>
      </c>
      <c r="D1055" s="22" t="s">
        <v>9</v>
      </c>
      <c r="E1055" s="22" t="s">
        <v>39</v>
      </c>
    </row>
    <row r="1056" spans="1:6">
      <c r="A1056" s="22" t="s">
        <v>3158</v>
      </c>
      <c r="B1056" s="22" t="s">
        <v>3159</v>
      </c>
      <c r="C1056" s="22" t="s">
        <v>3160</v>
      </c>
      <c r="D1056" s="22" t="s">
        <v>9</v>
      </c>
      <c r="E1056" s="22" t="s">
        <v>39</v>
      </c>
      <c r="F1056" s="22">
        <v>2017.898</v>
      </c>
    </row>
    <row r="1057" spans="1:6">
      <c r="A1057" s="22" t="s">
        <v>3161</v>
      </c>
      <c r="B1057" s="22" t="s">
        <v>3162</v>
      </c>
      <c r="C1057" s="22" t="s">
        <v>3163</v>
      </c>
      <c r="D1057" s="22" t="s">
        <v>9</v>
      </c>
      <c r="E1057" s="22" t="s">
        <v>35</v>
      </c>
      <c r="F1057" s="22">
        <v>71.606</v>
      </c>
    </row>
    <row r="1058" spans="1:6">
      <c r="A1058" s="22" t="s">
        <v>3164</v>
      </c>
      <c r="B1058" s="22" t="s">
        <v>3165</v>
      </c>
      <c r="C1058" s="22" t="s">
        <v>3166</v>
      </c>
      <c r="D1058" s="22" t="s">
        <v>9</v>
      </c>
      <c r="E1058" s="22" t="s">
        <v>39</v>
      </c>
      <c r="F1058" s="22">
        <v>1497.626</v>
      </c>
    </row>
    <row r="1059" spans="1:6">
      <c r="A1059" s="22" t="s">
        <v>3167</v>
      </c>
      <c r="B1059" s="22" t="s">
        <v>3168</v>
      </c>
      <c r="C1059" s="22" t="s">
        <v>3169</v>
      </c>
      <c r="D1059" s="22" t="s">
        <v>9</v>
      </c>
      <c r="E1059" s="22" t="s">
        <v>23</v>
      </c>
      <c r="F1059" s="22">
        <v>1346.707</v>
      </c>
    </row>
    <row r="1060" spans="1:6">
      <c r="A1060" s="22" t="s">
        <v>3170</v>
      </c>
      <c r="B1060" s="22" t="s">
        <v>3171</v>
      </c>
      <c r="C1060" s="22" t="s">
        <v>3172</v>
      </c>
      <c r="D1060" s="22" t="s">
        <v>9</v>
      </c>
      <c r="E1060" s="22" t="s">
        <v>31</v>
      </c>
      <c r="F1060" s="22">
        <v>2604.46</v>
      </c>
    </row>
    <row r="1061" spans="1:6">
      <c r="A1061" s="22" t="s">
        <v>3173</v>
      </c>
      <c r="B1061" s="22" t="s">
        <v>3174</v>
      </c>
      <c r="C1061" s="22" t="s">
        <v>3175</v>
      </c>
      <c r="D1061" s="22" t="s">
        <v>9</v>
      </c>
      <c r="E1061" s="22" t="s">
        <v>23</v>
      </c>
      <c r="F1061" s="22">
        <v>17.461</v>
      </c>
    </row>
    <row r="1062" spans="1:6">
      <c r="A1062" s="22" t="s">
        <v>3176</v>
      </c>
      <c r="B1062" s="22" t="s">
        <v>3177</v>
      </c>
      <c r="C1062" s="22" t="s">
        <v>3178</v>
      </c>
      <c r="D1062" s="22" t="s">
        <v>9</v>
      </c>
      <c r="E1062" s="22" t="s">
        <v>23</v>
      </c>
      <c r="F1062" s="22">
        <v>202.441</v>
      </c>
    </row>
    <row r="1063" spans="1:6">
      <c r="A1063" s="22" t="s">
        <v>3179</v>
      </c>
      <c r="B1063" s="22" t="s">
        <v>3180</v>
      </c>
      <c r="C1063" s="22" t="s">
        <v>3181</v>
      </c>
      <c r="D1063" s="22" t="s">
        <v>9</v>
      </c>
      <c r="E1063" s="22" t="s">
        <v>44</v>
      </c>
      <c r="F1063" s="22">
        <v>312.737</v>
      </c>
    </row>
    <row r="1064" spans="1:6">
      <c r="A1064" s="22" t="s">
        <v>3182</v>
      </c>
      <c r="B1064" s="22" t="s">
        <v>3183</v>
      </c>
      <c r="C1064" s="22" t="s">
        <v>3184</v>
      </c>
      <c r="D1064" s="22" t="s">
        <v>9</v>
      </c>
      <c r="E1064" s="22" t="s">
        <v>35</v>
      </c>
      <c r="F1064" s="22">
        <v>49.505</v>
      </c>
    </row>
    <row r="1065" spans="1:6">
      <c r="A1065" s="22" t="s">
        <v>3185</v>
      </c>
      <c r="B1065" s="22" t="s">
        <v>3186</v>
      </c>
      <c r="C1065" s="22" t="s">
        <v>3187</v>
      </c>
      <c r="D1065" s="22" t="s">
        <v>9</v>
      </c>
      <c r="E1065" s="22" t="s">
        <v>35</v>
      </c>
      <c r="F1065" s="22">
        <v>71.037</v>
      </c>
    </row>
    <row r="1066" spans="1:6">
      <c r="A1066" s="22" t="s">
        <v>3188</v>
      </c>
      <c r="B1066" s="22" t="s">
        <v>3189</v>
      </c>
      <c r="C1066" s="22" t="s">
        <v>3190</v>
      </c>
      <c r="D1066" s="22" t="s">
        <v>9</v>
      </c>
      <c r="E1066" s="22" t="s">
        <v>23</v>
      </c>
      <c r="F1066" s="22">
        <v>323.475</v>
      </c>
    </row>
    <row r="1067" spans="1:6">
      <c r="A1067" s="22" t="s">
        <v>3191</v>
      </c>
      <c r="B1067" s="22" t="s">
        <v>3192</v>
      </c>
      <c r="C1067" s="22" t="s">
        <v>3193</v>
      </c>
      <c r="D1067" s="22" t="s">
        <v>9</v>
      </c>
      <c r="E1067" s="22" t="s">
        <v>23</v>
      </c>
      <c r="F1067" s="22">
        <v>1598.139</v>
      </c>
    </row>
    <row r="1068" spans="1:6">
      <c r="A1068" s="22" t="s">
        <v>3194</v>
      </c>
      <c r="B1068" s="22" t="s">
        <v>3195</v>
      </c>
      <c r="C1068" s="22" t="s">
        <v>3196</v>
      </c>
      <c r="D1068" s="22" t="s">
        <v>9</v>
      </c>
      <c r="E1068" s="22" t="s">
        <v>35</v>
      </c>
      <c r="F1068" s="22">
        <v>10.838</v>
      </c>
    </row>
    <row r="1069" spans="1:6">
      <c r="A1069" s="22" t="s">
        <v>3197</v>
      </c>
      <c r="B1069" s="22" t="s">
        <v>3198</v>
      </c>
      <c r="C1069" s="22" t="s">
        <v>3199</v>
      </c>
      <c r="D1069" s="22" t="s">
        <v>9</v>
      </c>
      <c r="E1069" s="22" t="s">
        <v>35</v>
      </c>
      <c r="F1069" s="22">
        <v>986.296</v>
      </c>
    </row>
    <row r="1070" spans="1:6">
      <c r="A1070" s="22" t="s">
        <v>3200</v>
      </c>
      <c r="B1070" s="22" t="s">
        <v>3201</v>
      </c>
      <c r="C1070" s="22" t="s">
        <v>3202</v>
      </c>
      <c r="D1070" s="22" t="s">
        <v>9</v>
      </c>
      <c r="E1070" s="22" t="s">
        <v>23</v>
      </c>
      <c r="F1070" s="22">
        <v>6499.387</v>
      </c>
    </row>
    <row r="1071" spans="1:6">
      <c r="A1071" s="22" t="s">
        <v>3203</v>
      </c>
      <c r="B1071" s="22" t="s">
        <v>3204</v>
      </c>
      <c r="C1071" s="22" t="s">
        <v>3205</v>
      </c>
      <c r="D1071" s="22" t="s">
        <v>9</v>
      </c>
      <c r="E1071" s="22" t="s">
        <v>35</v>
      </c>
      <c r="F1071" s="22">
        <v>23.911</v>
      </c>
    </row>
    <row r="1072" spans="1:6">
      <c r="A1072" s="22" t="s">
        <v>3206</v>
      </c>
      <c r="B1072" s="22" t="s">
        <v>3207</v>
      </c>
      <c r="C1072" s="22" t="s">
        <v>3208</v>
      </c>
      <c r="D1072" s="22" t="s">
        <v>9</v>
      </c>
      <c r="E1072" s="22" t="s">
        <v>35</v>
      </c>
      <c r="F1072" s="22">
        <v>163.391</v>
      </c>
    </row>
    <row r="1073" spans="1:6">
      <c r="A1073" s="22" t="s">
        <v>3209</v>
      </c>
      <c r="B1073" s="22" t="s">
        <v>3210</v>
      </c>
      <c r="C1073" s="22" t="s">
        <v>3211</v>
      </c>
      <c r="D1073" s="22" t="s">
        <v>9</v>
      </c>
      <c r="E1073" s="22" t="s">
        <v>23</v>
      </c>
      <c r="F1073" s="22">
        <v>34.161</v>
      </c>
    </row>
    <row r="1074" spans="1:6">
      <c r="A1074" s="22" t="s">
        <v>3212</v>
      </c>
      <c r="B1074" s="22" t="s">
        <v>1559</v>
      </c>
      <c r="C1074" s="22" t="s">
        <v>1560</v>
      </c>
      <c r="D1074" s="22" t="s">
        <v>9</v>
      </c>
      <c r="E1074" s="22" t="s">
        <v>44</v>
      </c>
      <c r="F1074" s="22">
        <v>15.419</v>
      </c>
    </row>
    <row r="1075" spans="1:6">
      <c r="A1075" s="22" t="s">
        <v>3213</v>
      </c>
      <c r="B1075" s="22" t="s">
        <v>3214</v>
      </c>
      <c r="C1075" s="22" t="s">
        <v>3215</v>
      </c>
      <c r="D1075" s="22" t="s">
        <v>9</v>
      </c>
      <c r="E1075" s="22" t="s">
        <v>23</v>
      </c>
      <c r="F1075" s="22">
        <v>583.326</v>
      </c>
    </row>
    <row r="1076" spans="1:6">
      <c r="A1076" s="22" t="s">
        <v>3216</v>
      </c>
      <c r="B1076" s="22" t="s">
        <v>3217</v>
      </c>
      <c r="C1076" s="22" t="s">
        <v>3218</v>
      </c>
      <c r="D1076" s="22" t="s">
        <v>9</v>
      </c>
      <c r="E1076" s="22" t="s">
        <v>27</v>
      </c>
      <c r="F1076" s="22">
        <v>365.917</v>
      </c>
    </row>
    <row r="1077" spans="1:6">
      <c r="A1077" s="22" t="s">
        <v>3219</v>
      </c>
      <c r="B1077" s="22" t="s">
        <v>3220</v>
      </c>
      <c r="C1077" s="22" t="s">
        <v>3221</v>
      </c>
      <c r="D1077" s="22" t="s">
        <v>9</v>
      </c>
      <c r="E1077" s="22" t="s">
        <v>39</v>
      </c>
      <c r="F1077" s="22">
        <v>142.265</v>
      </c>
    </row>
    <row r="1078" spans="1:6">
      <c r="A1078" s="22" t="s">
        <v>3222</v>
      </c>
      <c r="B1078" s="22" t="s">
        <v>3223</v>
      </c>
      <c r="C1078" s="22" t="s">
        <v>3224</v>
      </c>
      <c r="D1078" s="22" t="s">
        <v>9</v>
      </c>
      <c r="E1078" s="22" t="s">
        <v>23</v>
      </c>
      <c r="F1078" s="22">
        <v>5.99</v>
      </c>
    </row>
    <row r="1079" spans="1:6">
      <c r="A1079" s="22" t="s">
        <v>3225</v>
      </c>
      <c r="B1079" s="22" t="s">
        <v>3226</v>
      </c>
      <c r="C1079" s="22" t="s">
        <v>3227</v>
      </c>
      <c r="D1079" s="22" t="s">
        <v>9</v>
      </c>
      <c r="E1079" s="22" t="s">
        <v>35</v>
      </c>
      <c r="F1079" s="22">
        <v>66.463</v>
      </c>
    </row>
    <row r="1080" spans="1:6">
      <c r="A1080" s="22" t="s">
        <v>3228</v>
      </c>
      <c r="B1080" s="22" t="s">
        <v>3229</v>
      </c>
      <c r="C1080" s="22" t="s">
        <v>3230</v>
      </c>
      <c r="D1080" s="22" t="s">
        <v>9</v>
      </c>
      <c r="E1080" s="22" t="s">
        <v>35</v>
      </c>
      <c r="F1080" s="22">
        <v>209.841</v>
      </c>
    </row>
    <row r="1081" spans="1:6">
      <c r="A1081" s="22" t="s">
        <v>3231</v>
      </c>
      <c r="B1081" s="22" t="s">
        <v>3232</v>
      </c>
      <c r="C1081" s="22" t="s">
        <v>3233</v>
      </c>
      <c r="D1081" s="22" t="s">
        <v>9</v>
      </c>
      <c r="E1081" s="22" t="s">
        <v>23</v>
      </c>
      <c r="F1081" s="22">
        <v>4520.038</v>
      </c>
    </row>
    <row r="1082" spans="1:6">
      <c r="A1082" s="22" t="s">
        <v>3234</v>
      </c>
      <c r="B1082" s="22" t="s">
        <v>3235</v>
      </c>
      <c r="C1082" s="22" t="s">
        <v>3236</v>
      </c>
      <c r="D1082" s="22" t="s">
        <v>9</v>
      </c>
      <c r="E1082" s="22" t="s">
        <v>35</v>
      </c>
      <c r="F1082" s="22">
        <v>195.848</v>
      </c>
    </row>
    <row r="1083" spans="1:6">
      <c r="A1083" s="22" t="s">
        <v>3237</v>
      </c>
      <c r="B1083" s="22" t="s">
        <v>3238</v>
      </c>
      <c r="C1083" s="22" t="s">
        <v>3239</v>
      </c>
      <c r="D1083" s="22" t="s">
        <v>9</v>
      </c>
      <c r="E1083" s="22" t="s">
        <v>23</v>
      </c>
      <c r="F1083" s="22">
        <v>16649.666</v>
      </c>
    </row>
    <row r="1084" spans="1:6">
      <c r="A1084" s="22" t="s">
        <v>3240</v>
      </c>
      <c r="B1084" s="22" t="s">
        <v>3241</v>
      </c>
      <c r="C1084" s="22" t="s">
        <v>3242</v>
      </c>
      <c r="D1084" s="22" t="s">
        <v>9</v>
      </c>
      <c r="E1084" s="22" t="s">
        <v>23</v>
      </c>
      <c r="F1084" s="22">
        <v>33.47</v>
      </c>
    </row>
    <row r="1085" spans="1:6">
      <c r="A1085" s="22" t="s">
        <v>3243</v>
      </c>
      <c r="B1085" s="22" t="s">
        <v>1754</v>
      </c>
      <c r="C1085" s="22" t="s">
        <v>3244</v>
      </c>
      <c r="D1085" s="22" t="s">
        <v>9</v>
      </c>
      <c r="E1085" s="22" t="s">
        <v>23</v>
      </c>
      <c r="F1085" s="22">
        <v>16903.787</v>
      </c>
    </row>
    <row r="1086" spans="1:6">
      <c r="A1086" s="22" t="s">
        <v>3245</v>
      </c>
      <c r="B1086" s="22" t="s">
        <v>3246</v>
      </c>
      <c r="C1086" s="22" t="s">
        <v>3247</v>
      </c>
      <c r="D1086" s="22" t="s">
        <v>9</v>
      </c>
      <c r="E1086" s="22" t="s">
        <v>23</v>
      </c>
      <c r="F1086" s="22">
        <v>7.427</v>
      </c>
    </row>
    <row r="1087" spans="1:6">
      <c r="A1087" s="22" t="s">
        <v>3248</v>
      </c>
      <c r="B1087" s="22" t="s">
        <v>3249</v>
      </c>
      <c r="C1087" s="22" t="s">
        <v>3250</v>
      </c>
      <c r="D1087" s="22" t="s">
        <v>9</v>
      </c>
      <c r="E1087" s="22" t="s">
        <v>35</v>
      </c>
    </row>
    <row r="1088" spans="1:6">
      <c r="A1088" s="22" t="s">
        <v>3251</v>
      </c>
      <c r="B1088" s="22" t="s">
        <v>3252</v>
      </c>
      <c r="C1088" s="22" t="s">
        <v>3253</v>
      </c>
      <c r="D1088" s="22" t="s">
        <v>9</v>
      </c>
      <c r="E1088" s="22" t="s">
        <v>23</v>
      </c>
      <c r="F1088" s="22">
        <v>2599.451</v>
      </c>
    </row>
    <row r="1089" spans="1:6">
      <c r="A1089" s="22" t="s">
        <v>3254</v>
      </c>
      <c r="B1089" s="22" t="s">
        <v>3255</v>
      </c>
      <c r="C1089" s="22" t="s">
        <v>3256</v>
      </c>
      <c r="D1089" s="22" t="s">
        <v>9</v>
      </c>
      <c r="E1089" s="22" t="s">
        <v>35</v>
      </c>
      <c r="F1089" s="22">
        <v>27.361</v>
      </c>
    </row>
    <row r="1090" spans="1:6">
      <c r="A1090" s="22" t="s">
        <v>3257</v>
      </c>
      <c r="B1090" s="22" t="s">
        <v>3258</v>
      </c>
      <c r="C1090" s="22" t="s">
        <v>3259</v>
      </c>
      <c r="D1090" s="22" t="s">
        <v>9</v>
      </c>
      <c r="E1090" s="22" t="s">
        <v>50</v>
      </c>
      <c r="F1090" s="22">
        <v>363.627</v>
      </c>
    </row>
    <row r="1091" spans="1:6">
      <c r="A1091" s="22" t="s">
        <v>3260</v>
      </c>
      <c r="B1091" s="22" t="s">
        <v>3261</v>
      </c>
      <c r="C1091" s="22" t="s">
        <v>3262</v>
      </c>
      <c r="D1091" s="22" t="s">
        <v>9</v>
      </c>
      <c r="E1091" s="22" t="s">
        <v>35</v>
      </c>
      <c r="F1091" s="22">
        <v>4.561</v>
      </c>
    </row>
    <row r="1092" spans="1:6">
      <c r="A1092" s="22" t="s">
        <v>3263</v>
      </c>
      <c r="B1092" s="22" t="s">
        <v>3264</v>
      </c>
      <c r="C1092" s="22" t="s">
        <v>3265</v>
      </c>
      <c r="D1092" s="22" t="s">
        <v>9</v>
      </c>
      <c r="E1092" s="22" t="s">
        <v>23</v>
      </c>
      <c r="F1092" s="22">
        <v>82.614</v>
      </c>
    </row>
    <row r="1093" spans="1:6">
      <c r="A1093" s="22" t="s">
        <v>3266</v>
      </c>
      <c r="B1093" s="22" t="s">
        <v>3267</v>
      </c>
      <c r="C1093" s="22" t="s">
        <v>3268</v>
      </c>
      <c r="D1093" s="22" t="s">
        <v>9</v>
      </c>
      <c r="E1093" s="22" t="s">
        <v>35</v>
      </c>
      <c r="F1093" s="22">
        <v>937.55</v>
      </c>
    </row>
    <row r="1094" spans="1:6">
      <c r="A1094" s="22" t="s">
        <v>3269</v>
      </c>
      <c r="B1094" s="22" t="s">
        <v>3270</v>
      </c>
      <c r="C1094" s="22" t="s">
        <v>3271</v>
      </c>
      <c r="D1094" s="22" t="s">
        <v>9</v>
      </c>
      <c r="E1094" s="22" t="s">
        <v>23</v>
      </c>
      <c r="F1094" s="22">
        <v>152.15</v>
      </c>
    </row>
    <row r="1095" spans="1:6">
      <c r="A1095" s="22" t="s">
        <v>3272</v>
      </c>
      <c r="B1095" s="22" t="s">
        <v>3273</v>
      </c>
      <c r="C1095" s="22" t="s">
        <v>3274</v>
      </c>
      <c r="D1095" s="22" t="s">
        <v>9</v>
      </c>
      <c r="E1095" s="22" t="s">
        <v>14</v>
      </c>
      <c r="F1095" s="22">
        <v>1448.522</v>
      </c>
    </row>
    <row r="1096" spans="1:6">
      <c r="A1096" s="22" t="s">
        <v>3275</v>
      </c>
      <c r="B1096" s="22" t="s">
        <v>3276</v>
      </c>
      <c r="C1096" s="22" t="s">
        <v>3277</v>
      </c>
      <c r="D1096" s="22" t="s">
        <v>9</v>
      </c>
      <c r="E1096" s="22" t="s">
        <v>23</v>
      </c>
      <c r="F1096" s="22">
        <v>9677.182</v>
      </c>
    </row>
    <row r="1097" spans="1:6">
      <c r="A1097" s="22" t="s">
        <v>3278</v>
      </c>
      <c r="B1097" s="22" t="s">
        <v>3279</v>
      </c>
      <c r="C1097" s="22" t="s">
        <v>3280</v>
      </c>
      <c r="D1097" s="22" t="s">
        <v>9</v>
      </c>
      <c r="E1097" s="22" t="s">
        <v>23</v>
      </c>
      <c r="F1097" s="22">
        <v>42.507</v>
      </c>
    </row>
    <row r="1098" spans="1:6">
      <c r="A1098" s="22" t="s">
        <v>3281</v>
      </c>
      <c r="B1098" s="22" t="s">
        <v>3282</v>
      </c>
      <c r="C1098" s="22" t="s">
        <v>3283</v>
      </c>
      <c r="D1098" s="22" t="s">
        <v>9</v>
      </c>
      <c r="E1098" s="22" t="s">
        <v>50</v>
      </c>
      <c r="F1098" s="22">
        <v>669.939</v>
      </c>
    </row>
    <row r="1099" spans="1:6">
      <c r="A1099" s="22" t="s">
        <v>3284</v>
      </c>
      <c r="B1099" s="22" t="s">
        <v>3285</v>
      </c>
      <c r="C1099" s="22" t="s">
        <v>3286</v>
      </c>
      <c r="D1099" s="22" t="s">
        <v>9</v>
      </c>
      <c r="E1099" s="22" t="s">
        <v>35</v>
      </c>
      <c r="F1099" s="22">
        <v>46.027</v>
      </c>
    </row>
    <row r="1100" spans="1:6">
      <c r="A1100" s="22" t="s">
        <v>3287</v>
      </c>
      <c r="B1100" s="22" t="s">
        <v>3288</v>
      </c>
      <c r="C1100" s="22" t="s">
        <v>3289</v>
      </c>
      <c r="D1100" s="22" t="s">
        <v>9</v>
      </c>
      <c r="E1100" s="22" t="s">
        <v>31</v>
      </c>
      <c r="F1100" s="22">
        <v>4154.233</v>
      </c>
    </row>
    <row r="1101" spans="1:6">
      <c r="A1101" s="22" t="s">
        <v>3290</v>
      </c>
      <c r="B1101" s="22" t="s">
        <v>3291</v>
      </c>
      <c r="C1101" s="22" t="s">
        <v>3292</v>
      </c>
      <c r="D1101" s="22" t="s">
        <v>9</v>
      </c>
      <c r="E1101" s="22" t="s">
        <v>23</v>
      </c>
      <c r="F1101" s="22">
        <v>550.049</v>
      </c>
    </row>
    <row r="1102" spans="1:6">
      <c r="A1102" s="22" t="s">
        <v>3293</v>
      </c>
      <c r="B1102" s="22" t="s">
        <v>3294</v>
      </c>
      <c r="C1102" s="22" t="s">
        <v>3295</v>
      </c>
      <c r="D1102" s="22" t="s">
        <v>9</v>
      </c>
      <c r="E1102" s="22" t="s">
        <v>27</v>
      </c>
      <c r="F1102" s="22">
        <v>41.956</v>
      </c>
    </row>
    <row r="1103" spans="1:6">
      <c r="A1103" s="22" t="s">
        <v>3296</v>
      </c>
      <c r="B1103" s="22" t="s">
        <v>3297</v>
      </c>
      <c r="C1103" s="22" t="s">
        <v>3298</v>
      </c>
      <c r="D1103" s="22" t="s">
        <v>9</v>
      </c>
      <c r="E1103" s="22" t="s">
        <v>23</v>
      </c>
      <c r="F1103" s="22">
        <v>96.67</v>
      </c>
    </row>
    <row r="1104" spans="1:6">
      <c r="A1104" s="22" t="s">
        <v>3299</v>
      </c>
      <c r="B1104" s="22" t="s">
        <v>3300</v>
      </c>
      <c r="C1104" s="22" t="s">
        <v>3301</v>
      </c>
      <c r="D1104" s="22" t="s">
        <v>9</v>
      </c>
      <c r="E1104" s="22" t="s">
        <v>23</v>
      </c>
      <c r="F1104" s="22">
        <v>150.602</v>
      </c>
    </row>
    <row r="1105" spans="1:6">
      <c r="A1105" s="22" t="s">
        <v>3302</v>
      </c>
      <c r="B1105" s="22" t="s">
        <v>3303</v>
      </c>
      <c r="C1105" s="22" t="s">
        <v>3304</v>
      </c>
      <c r="D1105" s="22" t="s">
        <v>9</v>
      </c>
      <c r="E1105" s="22" t="s">
        <v>66</v>
      </c>
      <c r="F1105" s="22">
        <v>6.942</v>
      </c>
    </row>
    <row r="1106" spans="1:6">
      <c r="A1106" s="22" t="s">
        <v>3305</v>
      </c>
      <c r="B1106" s="22" t="s">
        <v>3306</v>
      </c>
      <c r="C1106" s="22" t="s">
        <v>3307</v>
      </c>
      <c r="D1106" s="22" t="s">
        <v>9</v>
      </c>
      <c r="E1106" s="22" t="s">
        <v>39</v>
      </c>
      <c r="F1106" s="22">
        <v>3153.687</v>
      </c>
    </row>
    <row r="1107" spans="1:6">
      <c r="A1107" s="22" t="s">
        <v>3308</v>
      </c>
      <c r="B1107" s="22" t="s">
        <v>3309</v>
      </c>
      <c r="C1107" s="22" t="s">
        <v>3310</v>
      </c>
      <c r="D1107" s="22" t="s">
        <v>9</v>
      </c>
      <c r="E1107" s="22" t="s">
        <v>14</v>
      </c>
      <c r="F1107" s="22">
        <v>32.007</v>
      </c>
    </row>
    <row r="1108" spans="1:6">
      <c r="A1108" s="22" t="s">
        <v>3311</v>
      </c>
      <c r="B1108" s="22" t="s">
        <v>3312</v>
      </c>
      <c r="C1108" s="22" t="s">
        <v>3313</v>
      </c>
      <c r="D1108" s="22" t="s">
        <v>9</v>
      </c>
      <c r="E1108" s="22" t="s">
        <v>50</v>
      </c>
      <c r="F1108" s="22">
        <v>70.939</v>
      </c>
    </row>
    <row r="1109" spans="1:6">
      <c r="A1109" s="22" t="s">
        <v>3314</v>
      </c>
      <c r="B1109" s="22" t="s">
        <v>3315</v>
      </c>
      <c r="C1109" s="22" t="s">
        <v>3316</v>
      </c>
      <c r="D1109" s="22" t="s">
        <v>9</v>
      </c>
      <c r="E1109" s="22" t="s">
        <v>57</v>
      </c>
      <c r="F1109" s="22">
        <v>10.268</v>
      </c>
    </row>
    <row r="1110" spans="1:6">
      <c r="A1110" s="22" t="s">
        <v>3317</v>
      </c>
      <c r="B1110" s="22" t="s">
        <v>3318</v>
      </c>
      <c r="C1110" s="22" t="s">
        <v>3319</v>
      </c>
      <c r="D1110" s="22" t="s">
        <v>9</v>
      </c>
      <c r="E1110" s="22" t="s">
        <v>50</v>
      </c>
      <c r="F1110" s="22">
        <v>538.296</v>
      </c>
    </row>
    <row r="1111" spans="1:6">
      <c r="A1111" s="22" t="s">
        <v>3320</v>
      </c>
      <c r="B1111" s="22" t="s">
        <v>3321</v>
      </c>
      <c r="C1111" s="22" t="s">
        <v>3322</v>
      </c>
      <c r="D1111" s="22" t="s">
        <v>9</v>
      </c>
      <c r="E1111" s="22" t="s">
        <v>27</v>
      </c>
      <c r="F1111" s="22">
        <v>1394.15</v>
      </c>
    </row>
    <row r="1112" spans="1:6">
      <c r="A1112" s="22" t="s">
        <v>3323</v>
      </c>
      <c r="B1112" s="22" t="s">
        <v>3324</v>
      </c>
      <c r="C1112" s="22" t="s">
        <v>3325</v>
      </c>
      <c r="D1112" s="22" t="s">
        <v>9</v>
      </c>
      <c r="E1112" s="22" t="s">
        <v>57</v>
      </c>
      <c r="F1112" s="22">
        <v>8.94</v>
      </c>
    </row>
    <row r="1113" spans="1:6">
      <c r="A1113" s="22" t="s">
        <v>3326</v>
      </c>
      <c r="B1113" s="22" t="s">
        <v>3327</v>
      </c>
      <c r="C1113" s="22" t="s">
        <v>3328</v>
      </c>
      <c r="D1113" s="22" t="s">
        <v>9</v>
      </c>
      <c r="E1113" s="22" t="s">
        <v>27</v>
      </c>
      <c r="F1113" s="22">
        <v>166.627</v>
      </c>
    </row>
    <row r="1114" spans="1:6">
      <c r="A1114" s="22" t="s">
        <v>3329</v>
      </c>
      <c r="B1114" s="22" t="s">
        <v>3330</v>
      </c>
      <c r="C1114" s="22" t="s">
        <v>3331</v>
      </c>
      <c r="D1114" s="22" t="s">
        <v>9</v>
      </c>
      <c r="E1114" s="22" t="s">
        <v>23</v>
      </c>
      <c r="F1114" s="22">
        <v>2729.277</v>
      </c>
    </row>
    <row r="1115" spans="1:6">
      <c r="A1115" s="22" t="s">
        <v>3332</v>
      </c>
      <c r="B1115" s="22" t="s">
        <v>3333</v>
      </c>
      <c r="C1115" s="22" t="s">
        <v>3334</v>
      </c>
      <c r="D1115" s="22" t="s">
        <v>9</v>
      </c>
      <c r="E1115" s="22" t="s">
        <v>23</v>
      </c>
      <c r="F1115" s="22">
        <v>174.092</v>
      </c>
    </row>
    <row r="1116" spans="1:6">
      <c r="A1116" s="22" t="s">
        <v>3335</v>
      </c>
      <c r="B1116" s="22" t="s">
        <v>3336</v>
      </c>
      <c r="C1116" s="22" t="s">
        <v>3337</v>
      </c>
      <c r="D1116" s="22" t="s">
        <v>9</v>
      </c>
      <c r="E1116" s="22" t="s">
        <v>35</v>
      </c>
      <c r="F1116" s="22">
        <v>117.581</v>
      </c>
    </row>
    <row r="1117" spans="1:6">
      <c r="A1117" s="22" t="s">
        <v>3338</v>
      </c>
      <c r="B1117" s="22" t="s">
        <v>3339</v>
      </c>
      <c r="C1117" s="22" t="s">
        <v>3340</v>
      </c>
      <c r="D1117" s="22" t="s">
        <v>9</v>
      </c>
      <c r="E1117" s="22" t="s">
        <v>23</v>
      </c>
      <c r="F1117" s="22">
        <v>5338.406</v>
      </c>
    </row>
    <row r="1118" spans="1:6">
      <c r="A1118" s="22" t="s">
        <v>3341</v>
      </c>
      <c r="B1118" s="22" t="s">
        <v>3342</v>
      </c>
      <c r="C1118" s="22" t="s">
        <v>3343</v>
      </c>
      <c r="D1118" s="22" t="s">
        <v>9</v>
      </c>
      <c r="E1118" s="22" t="s">
        <v>35</v>
      </c>
      <c r="F1118" s="22">
        <v>245.604</v>
      </c>
    </row>
    <row r="1119" spans="1:6">
      <c r="A1119" s="22" t="s">
        <v>3344</v>
      </c>
      <c r="B1119" s="22" t="s">
        <v>3345</v>
      </c>
      <c r="C1119" s="22" t="s">
        <v>3346</v>
      </c>
      <c r="D1119" s="22" t="s">
        <v>9</v>
      </c>
      <c r="E1119" s="22" t="s">
        <v>23</v>
      </c>
      <c r="F1119" s="22">
        <v>613.842</v>
      </c>
    </row>
    <row r="1120" spans="1:6">
      <c r="A1120" s="22" t="s">
        <v>3347</v>
      </c>
      <c r="B1120" s="22" t="s">
        <v>3348</v>
      </c>
      <c r="C1120" s="22" t="s">
        <v>3349</v>
      </c>
      <c r="D1120" s="22" t="s">
        <v>9</v>
      </c>
      <c r="E1120" s="22" t="s">
        <v>23</v>
      </c>
      <c r="F1120" s="22">
        <v>116.112</v>
      </c>
    </row>
    <row r="1121" spans="1:6">
      <c r="A1121" s="22" t="s">
        <v>3350</v>
      </c>
      <c r="B1121" s="22" t="s">
        <v>3351</v>
      </c>
      <c r="C1121" s="22" t="s">
        <v>3352</v>
      </c>
      <c r="D1121" s="22" t="s">
        <v>9</v>
      </c>
      <c r="E1121" s="22" t="s">
        <v>23</v>
      </c>
      <c r="F1121" s="22">
        <v>12.743</v>
      </c>
    </row>
    <row r="1122" spans="1:6">
      <c r="A1122" s="22" t="s">
        <v>3353</v>
      </c>
      <c r="B1122" s="22" t="s">
        <v>3354</v>
      </c>
      <c r="C1122" s="22" t="s">
        <v>3355</v>
      </c>
      <c r="D1122" s="22" t="s">
        <v>9</v>
      </c>
      <c r="E1122" s="22" t="s">
        <v>57</v>
      </c>
      <c r="F1122" s="22">
        <v>6.834</v>
      </c>
    </row>
    <row r="1123" spans="1:6">
      <c r="A1123" s="22" t="s">
        <v>3356</v>
      </c>
      <c r="B1123" s="22" t="s">
        <v>3357</v>
      </c>
      <c r="C1123" s="22" t="s">
        <v>3358</v>
      </c>
      <c r="D1123" s="22" t="s">
        <v>9</v>
      </c>
      <c r="E1123" s="22" t="s">
        <v>35</v>
      </c>
      <c r="F1123" s="22">
        <v>957.835</v>
      </c>
    </row>
    <row r="1124" spans="1:6">
      <c r="A1124" s="22" t="s">
        <v>3359</v>
      </c>
      <c r="B1124" s="22" t="s">
        <v>3360</v>
      </c>
      <c r="C1124" s="22" t="s">
        <v>3361</v>
      </c>
      <c r="D1124" s="22" t="s">
        <v>9</v>
      </c>
      <c r="E1124" s="22" t="s">
        <v>31</v>
      </c>
      <c r="F1124" s="22">
        <v>128.225</v>
      </c>
    </row>
    <row r="1125" spans="1:6">
      <c r="A1125" s="22" t="s">
        <v>3362</v>
      </c>
      <c r="B1125" s="22" t="s">
        <v>3363</v>
      </c>
      <c r="C1125" s="22" t="s">
        <v>3364</v>
      </c>
      <c r="D1125" s="22" t="s">
        <v>9</v>
      </c>
      <c r="E1125" s="22" t="s">
        <v>23</v>
      </c>
      <c r="F1125" s="22">
        <v>444.076</v>
      </c>
    </row>
    <row r="1126" spans="1:6">
      <c r="A1126" s="22" t="s">
        <v>3365</v>
      </c>
      <c r="B1126" s="22" t="s">
        <v>3366</v>
      </c>
      <c r="C1126" s="22" t="s">
        <v>3367</v>
      </c>
      <c r="D1126" s="22" t="s">
        <v>9</v>
      </c>
      <c r="E1126" s="22" t="s">
        <v>23</v>
      </c>
      <c r="F1126" s="22">
        <v>239.8</v>
      </c>
    </row>
    <row r="1127" spans="1:6">
      <c r="A1127" s="22" t="s">
        <v>3368</v>
      </c>
      <c r="B1127" s="22" t="s">
        <v>3369</v>
      </c>
      <c r="C1127" s="22" t="s">
        <v>3370</v>
      </c>
      <c r="D1127" s="22" t="s">
        <v>9</v>
      </c>
      <c r="E1127" s="22" t="s">
        <v>101</v>
      </c>
      <c r="F1127" s="22">
        <v>130.523</v>
      </c>
    </row>
    <row r="1128" spans="1:6">
      <c r="A1128" s="22" t="s">
        <v>3371</v>
      </c>
      <c r="B1128" s="22" t="s">
        <v>3372</v>
      </c>
      <c r="C1128" s="22" t="s">
        <v>3373</v>
      </c>
      <c r="D1128" s="22" t="s">
        <v>9</v>
      </c>
      <c r="E1128" s="22" t="s">
        <v>66</v>
      </c>
      <c r="F1128" s="22">
        <v>203.11</v>
      </c>
    </row>
    <row r="1129" spans="1:6">
      <c r="A1129" s="22" t="s">
        <v>3374</v>
      </c>
      <c r="B1129" s="22" t="s">
        <v>3375</v>
      </c>
      <c r="C1129" s="22" t="s">
        <v>3376</v>
      </c>
      <c r="D1129" s="22" t="s">
        <v>9</v>
      </c>
      <c r="E1129" s="22" t="s">
        <v>27</v>
      </c>
      <c r="F1129" s="22">
        <v>3845.457</v>
      </c>
    </row>
    <row r="1130" spans="1:6">
      <c r="A1130" s="22" t="s">
        <v>3377</v>
      </c>
      <c r="B1130" s="22" t="s">
        <v>3378</v>
      </c>
      <c r="C1130" s="22" t="s">
        <v>3379</v>
      </c>
      <c r="D1130" s="22" t="s">
        <v>9</v>
      </c>
      <c r="E1130" s="22" t="s">
        <v>35</v>
      </c>
      <c r="F1130" s="22">
        <v>101.443</v>
      </c>
    </row>
    <row r="1131" spans="1:6">
      <c r="A1131" s="22" t="s">
        <v>3380</v>
      </c>
      <c r="B1131" s="22" t="s">
        <v>3381</v>
      </c>
      <c r="C1131" s="22" t="s">
        <v>3382</v>
      </c>
      <c r="D1131" s="22" t="s">
        <v>9</v>
      </c>
      <c r="E1131" s="22" t="s">
        <v>39</v>
      </c>
      <c r="F1131" s="22">
        <v>2864.911</v>
      </c>
    </row>
    <row r="1132" spans="1:6">
      <c r="A1132" s="22" t="s">
        <v>3383</v>
      </c>
      <c r="B1132" s="22" t="s">
        <v>3384</v>
      </c>
      <c r="C1132" s="22" t="s">
        <v>3385</v>
      </c>
      <c r="D1132" s="22" t="s">
        <v>9</v>
      </c>
      <c r="E1132" s="22" t="s">
        <v>23</v>
      </c>
      <c r="F1132" s="22">
        <v>2954.783</v>
      </c>
    </row>
    <row r="1133" spans="1:6">
      <c r="A1133" s="22" t="s">
        <v>3386</v>
      </c>
      <c r="B1133" s="22" t="s">
        <v>3387</v>
      </c>
      <c r="C1133" s="22" t="s">
        <v>3388</v>
      </c>
      <c r="D1133" s="22" t="s">
        <v>9</v>
      </c>
      <c r="E1133" s="22" t="s">
        <v>50</v>
      </c>
      <c r="F1133" s="22">
        <v>899.306</v>
      </c>
    </row>
    <row r="1134" spans="1:6">
      <c r="A1134" s="22" t="s">
        <v>3389</v>
      </c>
      <c r="B1134" s="22" t="s">
        <v>3390</v>
      </c>
      <c r="C1134" s="22" t="s">
        <v>3391</v>
      </c>
      <c r="D1134" s="22" t="s">
        <v>9</v>
      </c>
      <c r="E1134" s="22" t="s">
        <v>23</v>
      </c>
      <c r="F1134" s="22">
        <v>337.979</v>
      </c>
    </row>
    <row r="1135" spans="1:6">
      <c r="A1135" s="22" t="s">
        <v>3392</v>
      </c>
      <c r="B1135" s="22" t="s">
        <v>3393</v>
      </c>
      <c r="C1135" s="22" t="s">
        <v>3394</v>
      </c>
      <c r="D1135" s="22" t="s">
        <v>9</v>
      </c>
      <c r="E1135" s="22" t="s">
        <v>23</v>
      </c>
      <c r="F1135" s="22">
        <v>139.999</v>
      </c>
    </row>
    <row r="1136" spans="1:6">
      <c r="A1136" s="22" t="s">
        <v>3395</v>
      </c>
      <c r="B1136" s="22" t="s">
        <v>3396</v>
      </c>
      <c r="C1136" s="22" t="s">
        <v>3397</v>
      </c>
      <c r="D1136" s="22" t="s">
        <v>9</v>
      </c>
      <c r="E1136" s="22" t="s">
        <v>23</v>
      </c>
      <c r="F1136" s="22">
        <v>26.36</v>
      </c>
    </row>
    <row r="1137" spans="1:6">
      <c r="A1137" s="22" t="s">
        <v>3398</v>
      </c>
      <c r="B1137" s="22" t="s">
        <v>3399</v>
      </c>
      <c r="C1137" s="22" t="s">
        <v>3400</v>
      </c>
      <c r="D1137" s="22" t="s">
        <v>9</v>
      </c>
      <c r="E1137" s="22" t="s">
        <v>31</v>
      </c>
      <c r="F1137" s="22">
        <v>83.161</v>
      </c>
    </row>
    <row r="1138" spans="1:6">
      <c r="A1138" s="22" t="s">
        <v>3401</v>
      </c>
      <c r="B1138" s="22" t="s">
        <v>3402</v>
      </c>
      <c r="C1138" s="22" t="s">
        <v>3403</v>
      </c>
      <c r="D1138" s="22" t="s">
        <v>9</v>
      </c>
      <c r="E1138" s="22" t="s">
        <v>35</v>
      </c>
      <c r="F1138" s="22">
        <v>933.607</v>
      </c>
    </row>
    <row r="1139" spans="1:6">
      <c r="A1139" s="22" t="s">
        <v>3404</v>
      </c>
      <c r="B1139" s="22" t="s">
        <v>3405</v>
      </c>
      <c r="C1139" s="22" t="s">
        <v>3406</v>
      </c>
      <c r="D1139" s="22" t="s">
        <v>9</v>
      </c>
      <c r="E1139" s="22" t="s">
        <v>50</v>
      </c>
      <c r="F1139" s="22">
        <v>5.887</v>
      </c>
    </row>
    <row r="1140" spans="1:6">
      <c r="A1140" s="22" t="s">
        <v>3407</v>
      </c>
      <c r="B1140" s="22" t="s">
        <v>3408</v>
      </c>
      <c r="C1140" s="22" t="s">
        <v>3409</v>
      </c>
      <c r="D1140" s="22" t="s">
        <v>9</v>
      </c>
      <c r="E1140" s="22" t="s">
        <v>66</v>
      </c>
      <c r="F1140" s="22">
        <v>826.681</v>
      </c>
    </row>
    <row r="1141" spans="1:6">
      <c r="A1141" s="22" t="s">
        <v>3410</v>
      </c>
      <c r="B1141" s="22" t="s">
        <v>3411</v>
      </c>
      <c r="C1141" s="22" t="s">
        <v>3412</v>
      </c>
      <c r="D1141" s="22" t="s">
        <v>9</v>
      </c>
      <c r="E1141" s="22" t="s">
        <v>35</v>
      </c>
      <c r="F1141" s="22">
        <v>229.846</v>
      </c>
    </row>
    <row r="1142" spans="1:6">
      <c r="A1142" s="22" t="s">
        <v>3413</v>
      </c>
      <c r="B1142" s="22" t="s">
        <v>3414</v>
      </c>
      <c r="C1142" s="22" t="s">
        <v>3415</v>
      </c>
      <c r="D1142" s="22" t="s">
        <v>9</v>
      </c>
      <c r="E1142" s="22" t="s">
        <v>44</v>
      </c>
      <c r="F1142" s="22">
        <v>58.818</v>
      </c>
    </row>
    <row r="1143" spans="1:6">
      <c r="A1143" s="22" t="s">
        <v>3416</v>
      </c>
      <c r="B1143" s="22" t="s">
        <v>551</v>
      </c>
      <c r="C1143" s="22" t="s">
        <v>3417</v>
      </c>
      <c r="D1143" s="22" t="s">
        <v>9</v>
      </c>
      <c r="E1143" s="22" t="s">
        <v>31</v>
      </c>
      <c r="F1143" s="22">
        <v>184.969</v>
      </c>
    </row>
    <row r="1144" spans="1:6">
      <c r="A1144" s="22" t="s">
        <v>3418</v>
      </c>
      <c r="B1144" s="22" t="s">
        <v>3419</v>
      </c>
      <c r="C1144" s="22" t="s">
        <v>3420</v>
      </c>
      <c r="D1144" s="22" t="s">
        <v>9</v>
      </c>
      <c r="E1144" s="22" t="s">
        <v>27</v>
      </c>
      <c r="F1144" s="22">
        <v>143.055</v>
      </c>
    </row>
    <row r="1145" spans="1:6">
      <c r="A1145" s="22" t="s">
        <v>3421</v>
      </c>
      <c r="B1145" s="22" t="s">
        <v>3422</v>
      </c>
      <c r="C1145" s="22" t="s">
        <v>3423</v>
      </c>
      <c r="D1145" s="22" t="s">
        <v>9</v>
      </c>
      <c r="E1145" s="22" t="s">
        <v>23</v>
      </c>
      <c r="F1145" s="22">
        <v>13735.162</v>
      </c>
    </row>
    <row r="1146" spans="1:6">
      <c r="A1146" s="22" t="s">
        <v>3424</v>
      </c>
      <c r="B1146" s="22" t="s">
        <v>3425</v>
      </c>
      <c r="C1146" s="22" t="s">
        <v>3426</v>
      </c>
      <c r="D1146" s="22" t="s">
        <v>9</v>
      </c>
      <c r="E1146" s="22" t="s">
        <v>27</v>
      </c>
      <c r="F1146" s="22">
        <v>100.906</v>
      </c>
    </row>
    <row r="1147" spans="1:6">
      <c r="A1147" s="22" t="s">
        <v>3427</v>
      </c>
      <c r="B1147" s="22" t="s">
        <v>3428</v>
      </c>
      <c r="C1147" s="22" t="s">
        <v>3429</v>
      </c>
      <c r="D1147" s="22" t="s">
        <v>9</v>
      </c>
      <c r="E1147" s="22" t="s">
        <v>57</v>
      </c>
      <c r="F1147" s="22">
        <v>82.237</v>
      </c>
    </row>
    <row r="1148" spans="1:6">
      <c r="A1148" s="22" t="s">
        <v>3430</v>
      </c>
      <c r="B1148" s="22" t="s">
        <v>759</v>
      </c>
      <c r="C1148" s="22" t="s">
        <v>3431</v>
      </c>
      <c r="D1148" s="22" t="s">
        <v>9</v>
      </c>
      <c r="E1148" s="22" t="s">
        <v>31</v>
      </c>
      <c r="F1148" s="22">
        <v>10.204</v>
      </c>
    </row>
    <row r="1149" spans="1:6">
      <c r="A1149" s="22" t="s">
        <v>3432</v>
      </c>
      <c r="B1149" s="22" t="s">
        <v>3433</v>
      </c>
      <c r="C1149" s="22" t="s">
        <v>3434</v>
      </c>
      <c r="D1149" s="22" t="s">
        <v>9</v>
      </c>
      <c r="E1149" s="22" t="s">
        <v>27</v>
      </c>
      <c r="F1149" s="22">
        <v>121.928</v>
      </c>
    </row>
    <row r="1150" spans="1:6">
      <c r="A1150" s="22" t="s">
        <v>3435</v>
      </c>
      <c r="B1150" s="22" t="s">
        <v>3436</v>
      </c>
      <c r="C1150" s="22" t="s">
        <v>3437</v>
      </c>
      <c r="D1150" s="22" t="s">
        <v>9</v>
      </c>
      <c r="E1150" s="22" t="s">
        <v>66</v>
      </c>
      <c r="F1150" s="22">
        <v>73.82</v>
      </c>
    </row>
    <row r="1151" spans="1:6">
      <c r="A1151" s="22" t="s">
        <v>3438</v>
      </c>
      <c r="B1151" s="22" t="s">
        <v>3439</v>
      </c>
      <c r="C1151" s="22" t="s">
        <v>3440</v>
      </c>
      <c r="D1151" s="22" t="s">
        <v>9</v>
      </c>
      <c r="E1151" s="22" t="s">
        <v>23</v>
      </c>
      <c r="F1151" s="22">
        <v>2298.502</v>
      </c>
    </row>
    <row r="1152" spans="1:6">
      <c r="A1152" s="22" t="s">
        <v>3441</v>
      </c>
      <c r="B1152" s="22" t="s">
        <v>3442</v>
      </c>
      <c r="C1152" s="22" t="s">
        <v>3443</v>
      </c>
      <c r="D1152" s="22" t="s">
        <v>9</v>
      </c>
      <c r="E1152" s="22" t="s">
        <v>23</v>
      </c>
      <c r="F1152" s="22">
        <v>37.061</v>
      </c>
    </row>
    <row r="1153" spans="1:6">
      <c r="A1153" s="22" t="s">
        <v>3444</v>
      </c>
      <c r="B1153" s="22" t="s">
        <v>3445</v>
      </c>
      <c r="C1153" s="22" t="s">
        <v>3446</v>
      </c>
      <c r="D1153" s="22" t="s">
        <v>9</v>
      </c>
      <c r="E1153" s="22" t="s">
        <v>23</v>
      </c>
      <c r="F1153" s="22">
        <v>50.075</v>
      </c>
    </row>
    <row r="1154" spans="1:6">
      <c r="A1154" s="22" t="s">
        <v>3447</v>
      </c>
      <c r="B1154" s="22" t="s">
        <v>3448</v>
      </c>
      <c r="C1154" s="22" t="s">
        <v>3449</v>
      </c>
      <c r="D1154" s="22" t="s">
        <v>9</v>
      </c>
      <c r="E1154" s="22" t="s">
        <v>23</v>
      </c>
      <c r="F1154" s="22">
        <v>204.547</v>
      </c>
    </row>
    <row r="1155" spans="1:6">
      <c r="A1155" s="22" t="s">
        <v>3450</v>
      </c>
      <c r="B1155" s="22" t="s">
        <v>3451</v>
      </c>
      <c r="C1155" s="22" t="s">
        <v>3452</v>
      </c>
      <c r="D1155" s="22" t="s">
        <v>9</v>
      </c>
      <c r="E1155" s="22" t="s">
        <v>66</v>
      </c>
      <c r="F1155" s="22">
        <v>6.463</v>
      </c>
    </row>
    <row r="1156" spans="1:6">
      <c r="A1156" s="22" t="s">
        <v>3453</v>
      </c>
      <c r="B1156" s="22" t="s">
        <v>3454</v>
      </c>
      <c r="C1156" s="22" t="s">
        <v>3455</v>
      </c>
      <c r="D1156" s="22" t="s">
        <v>9</v>
      </c>
      <c r="E1156" s="22" t="s">
        <v>66</v>
      </c>
      <c r="F1156" s="22">
        <v>57.704</v>
      </c>
    </row>
    <row r="1157" spans="1:6">
      <c r="A1157" s="22" t="s">
        <v>3456</v>
      </c>
      <c r="B1157" s="22" t="s">
        <v>3457</v>
      </c>
      <c r="C1157" s="22" t="s">
        <v>3458</v>
      </c>
      <c r="D1157" s="22" t="s">
        <v>9</v>
      </c>
      <c r="E1157" s="22" t="s">
        <v>50</v>
      </c>
      <c r="F1157" s="22">
        <v>15.45</v>
      </c>
    </row>
    <row r="1158" spans="1:6">
      <c r="A1158" s="22" t="s">
        <v>3459</v>
      </c>
      <c r="B1158" s="22" t="s">
        <v>3460</v>
      </c>
      <c r="C1158" s="22" t="s">
        <v>3461</v>
      </c>
      <c r="D1158" s="22" t="s">
        <v>9</v>
      </c>
      <c r="E1158" s="22" t="s">
        <v>50</v>
      </c>
      <c r="F1158" s="22">
        <v>742.486</v>
      </c>
    </row>
    <row r="1159" spans="1:6">
      <c r="A1159" s="22" t="s">
        <v>3462</v>
      </c>
      <c r="B1159" s="22" t="s">
        <v>3463</v>
      </c>
      <c r="C1159" s="22" t="s">
        <v>3464</v>
      </c>
      <c r="D1159" s="22" t="s">
        <v>9</v>
      </c>
      <c r="E1159" s="22" t="s">
        <v>14</v>
      </c>
      <c r="F1159" s="22">
        <v>34.741</v>
      </c>
    </row>
    <row r="1160" spans="1:6">
      <c r="A1160" s="22" t="s">
        <v>3465</v>
      </c>
      <c r="B1160" s="22" t="s">
        <v>3466</v>
      </c>
      <c r="C1160" s="22" t="s">
        <v>3466</v>
      </c>
      <c r="D1160" s="22" t="s">
        <v>9</v>
      </c>
      <c r="E1160" s="22" t="s">
        <v>31</v>
      </c>
      <c r="F1160" s="22">
        <v>148.206</v>
      </c>
    </row>
    <row r="1161" spans="1:6">
      <c r="A1161" s="22" t="s">
        <v>3467</v>
      </c>
      <c r="B1161" s="22" t="s">
        <v>3468</v>
      </c>
      <c r="C1161" s="22" t="s">
        <v>2145</v>
      </c>
      <c r="D1161" s="22" t="s">
        <v>9</v>
      </c>
      <c r="E1161" s="22" t="s">
        <v>35</v>
      </c>
    </row>
    <row r="1162" spans="1:6">
      <c r="A1162" s="22" t="s">
        <v>3469</v>
      </c>
      <c r="B1162" s="22" t="s">
        <v>3470</v>
      </c>
      <c r="C1162" s="22" t="s">
        <v>3471</v>
      </c>
      <c r="D1162" s="22" t="s">
        <v>9</v>
      </c>
      <c r="E1162" s="22" t="s">
        <v>44</v>
      </c>
      <c r="F1162" s="22">
        <v>20.689</v>
      </c>
    </row>
    <row r="1163" spans="1:6">
      <c r="A1163" s="22" t="s">
        <v>3472</v>
      </c>
      <c r="B1163" s="22" t="s">
        <v>3473</v>
      </c>
      <c r="C1163" s="22" t="s">
        <v>3474</v>
      </c>
      <c r="D1163" s="22" t="s">
        <v>9</v>
      </c>
      <c r="E1163" s="22" t="s">
        <v>35</v>
      </c>
      <c r="F1163" s="22">
        <v>9.637</v>
      </c>
    </row>
    <row r="1164" spans="1:6">
      <c r="A1164" s="22" t="s">
        <v>3475</v>
      </c>
      <c r="B1164" s="22" t="s">
        <v>3476</v>
      </c>
      <c r="C1164" s="22" t="s">
        <v>3477</v>
      </c>
      <c r="D1164" s="22" t="s">
        <v>9</v>
      </c>
      <c r="E1164" s="22" t="s">
        <v>35</v>
      </c>
      <c r="F1164" s="22">
        <v>72.247</v>
      </c>
    </row>
    <row r="1165" spans="1:6">
      <c r="A1165" s="22" t="s">
        <v>3478</v>
      </c>
      <c r="B1165" s="22" t="s">
        <v>934</v>
      </c>
      <c r="C1165" s="22" t="s">
        <v>3479</v>
      </c>
      <c r="D1165" s="22" t="s">
        <v>9</v>
      </c>
      <c r="E1165" s="22" t="s">
        <v>31</v>
      </c>
      <c r="F1165" s="22">
        <v>215.279</v>
      </c>
    </row>
    <row r="1166" spans="1:6">
      <c r="A1166" s="22" t="s">
        <v>3480</v>
      </c>
      <c r="B1166" s="22" t="s">
        <v>3481</v>
      </c>
      <c r="C1166" s="22" t="s">
        <v>3482</v>
      </c>
      <c r="D1166" s="22" t="s">
        <v>9</v>
      </c>
      <c r="E1166" s="22" t="s">
        <v>23</v>
      </c>
      <c r="F1166" s="22">
        <v>13.715</v>
      </c>
    </row>
    <row r="1167" spans="1:6">
      <c r="A1167" s="22" t="s">
        <v>3483</v>
      </c>
      <c r="B1167" s="22" t="s">
        <v>3484</v>
      </c>
      <c r="C1167" s="22" t="s">
        <v>3485</v>
      </c>
      <c r="D1167" s="22" t="s">
        <v>9</v>
      </c>
      <c r="E1167" s="22" t="s">
        <v>23</v>
      </c>
      <c r="F1167" s="22">
        <v>193.787</v>
      </c>
    </row>
    <row r="1168" spans="1:6">
      <c r="A1168" s="22" t="s">
        <v>3486</v>
      </c>
      <c r="B1168" s="22" t="s">
        <v>2877</v>
      </c>
      <c r="C1168" s="22" t="s">
        <v>2878</v>
      </c>
      <c r="D1168" s="22" t="s">
        <v>9</v>
      </c>
      <c r="E1168" s="22" t="s">
        <v>35</v>
      </c>
      <c r="F1168" s="22">
        <v>123.622</v>
      </c>
    </row>
    <row r="1169" spans="1:6">
      <c r="A1169" s="22" t="s">
        <v>3487</v>
      </c>
      <c r="B1169" s="22" t="s">
        <v>3488</v>
      </c>
      <c r="C1169" s="22" t="s">
        <v>3489</v>
      </c>
      <c r="D1169" s="22" t="s">
        <v>9</v>
      </c>
      <c r="E1169" s="22" t="s">
        <v>66</v>
      </c>
      <c r="F1169" s="22">
        <v>3.691</v>
      </c>
    </row>
    <row r="1170" spans="1:6">
      <c r="A1170" s="22" t="s">
        <v>3490</v>
      </c>
      <c r="B1170" s="22" t="s">
        <v>3491</v>
      </c>
      <c r="C1170" s="22" t="s">
        <v>3492</v>
      </c>
      <c r="D1170" s="22" t="s">
        <v>9</v>
      </c>
      <c r="E1170" s="22" t="s">
        <v>23</v>
      </c>
      <c r="F1170" s="22">
        <v>6108.515</v>
      </c>
    </row>
    <row r="1171" spans="1:6">
      <c r="A1171" s="22" t="s">
        <v>3493</v>
      </c>
      <c r="B1171" s="22" t="s">
        <v>3494</v>
      </c>
      <c r="C1171" s="22" t="s">
        <v>3495</v>
      </c>
      <c r="D1171" s="22" t="s">
        <v>9</v>
      </c>
      <c r="E1171" s="22" t="s">
        <v>35</v>
      </c>
      <c r="F1171" s="22">
        <v>117.879</v>
      </c>
    </row>
    <row r="1172" spans="1:6">
      <c r="A1172" s="22" t="s">
        <v>3496</v>
      </c>
      <c r="B1172" s="22" t="s">
        <v>3497</v>
      </c>
      <c r="C1172" s="22" t="s">
        <v>3498</v>
      </c>
      <c r="D1172" s="22" t="s">
        <v>9</v>
      </c>
      <c r="E1172" s="22" t="s">
        <v>35</v>
      </c>
      <c r="F1172" s="22">
        <v>166.325</v>
      </c>
    </row>
    <row r="1173" spans="1:6">
      <c r="A1173" s="22" t="s">
        <v>3499</v>
      </c>
      <c r="B1173" s="22" t="s">
        <v>3500</v>
      </c>
      <c r="C1173" s="22" t="s">
        <v>3501</v>
      </c>
      <c r="D1173" s="22" t="s">
        <v>9</v>
      </c>
      <c r="E1173" s="22" t="s">
        <v>23</v>
      </c>
      <c r="F1173" s="22">
        <v>10.033</v>
      </c>
    </row>
    <row r="1174" spans="1:6">
      <c r="A1174" s="22" t="s">
        <v>3502</v>
      </c>
      <c r="B1174" s="22" t="s">
        <v>3503</v>
      </c>
      <c r="C1174" s="22" t="s">
        <v>3504</v>
      </c>
      <c r="D1174" s="22" t="s">
        <v>9</v>
      </c>
      <c r="E1174" s="22" t="s">
        <v>23</v>
      </c>
      <c r="F1174" s="22">
        <v>617.616</v>
      </c>
    </row>
    <row r="1175" spans="1:6">
      <c r="A1175" s="22" t="s">
        <v>3505</v>
      </c>
      <c r="B1175" s="22" t="s">
        <v>3506</v>
      </c>
      <c r="C1175" s="22" t="s">
        <v>3507</v>
      </c>
      <c r="D1175" s="22" t="s">
        <v>9</v>
      </c>
      <c r="E1175" s="22" t="s">
        <v>35</v>
      </c>
      <c r="F1175" s="22">
        <v>57.429</v>
      </c>
    </row>
    <row r="1176" spans="1:6">
      <c r="A1176" s="22" t="s">
        <v>3508</v>
      </c>
      <c r="B1176" s="22" t="s">
        <v>3509</v>
      </c>
      <c r="C1176" s="22" t="s">
        <v>3510</v>
      </c>
      <c r="D1176" s="22" t="s">
        <v>9</v>
      </c>
      <c r="E1176" s="22" t="s">
        <v>23</v>
      </c>
      <c r="F1176" s="22">
        <v>178.142</v>
      </c>
    </row>
    <row r="1177" spans="1:6">
      <c r="A1177" s="22" t="s">
        <v>3511</v>
      </c>
      <c r="B1177" s="22" t="s">
        <v>3512</v>
      </c>
      <c r="C1177" s="22" t="s">
        <v>3513</v>
      </c>
      <c r="D1177" s="22" t="s">
        <v>9</v>
      </c>
      <c r="E1177" s="22" t="s">
        <v>27</v>
      </c>
      <c r="F1177" s="22">
        <v>149.102</v>
      </c>
    </row>
    <row r="1178" spans="1:6">
      <c r="A1178" s="22" t="s">
        <v>3514</v>
      </c>
      <c r="B1178" s="22" t="s">
        <v>3515</v>
      </c>
      <c r="C1178" s="22" t="s">
        <v>3516</v>
      </c>
      <c r="D1178" s="22" t="s">
        <v>9</v>
      </c>
      <c r="E1178" s="22" t="s">
        <v>23</v>
      </c>
      <c r="F1178" s="22">
        <v>2211.032</v>
      </c>
    </row>
    <row r="1179" spans="1:6">
      <c r="A1179" s="22" t="s">
        <v>3517</v>
      </c>
      <c r="B1179" s="22" t="s">
        <v>3518</v>
      </c>
      <c r="C1179" s="22" t="s">
        <v>3519</v>
      </c>
      <c r="D1179" s="22" t="s">
        <v>9</v>
      </c>
      <c r="E1179" s="22" t="s">
        <v>23</v>
      </c>
      <c r="F1179" s="22">
        <v>65.462</v>
      </c>
    </row>
    <row r="1180" spans="1:6">
      <c r="A1180" s="22" t="s">
        <v>3520</v>
      </c>
      <c r="B1180" s="22" t="s">
        <v>3521</v>
      </c>
      <c r="C1180" s="22" t="s">
        <v>3522</v>
      </c>
      <c r="D1180" s="22" t="s">
        <v>9</v>
      </c>
      <c r="E1180" s="22" t="s">
        <v>23</v>
      </c>
      <c r="F1180" s="22">
        <v>181.562</v>
      </c>
    </row>
    <row r="1181" spans="1:6">
      <c r="A1181" s="22" t="s">
        <v>3523</v>
      </c>
      <c r="B1181" s="22" t="s">
        <v>3524</v>
      </c>
      <c r="C1181" s="22" t="s">
        <v>3525</v>
      </c>
      <c r="D1181" s="22" t="s">
        <v>9</v>
      </c>
      <c r="E1181" s="22" t="s">
        <v>23</v>
      </c>
      <c r="F1181" s="22">
        <v>1358.281</v>
      </c>
    </row>
    <row r="1182" spans="1:6">
      <c r="A1182" s="22" t="s">
        <v>3526</v>
      </c>
      <c r="B1182" s="22" t="s">
        <v>3527</v>
      </c>
      <c r="C1182" s="22" t="s">
        <v>3528</v>
      </c>
      <c r="D1182" s="22" t="s">
        <v>9</v>
      </c>
      <c r="E1182" s="22" t="s">
        <v>50</v>
      </c>
      <c r="F1182" s="22">
        <v>10.772</v>
      </c>
    </row>
    <row r="1183" spans="1:6">
      <c r="A1183" s="22" t="s">
        <v>3529</v>
      </c>
      <c r="B1183" s="22" t="s">
        <v>3530</v>
      </c>
      <c r="C1183" s="22" t="s">
        <v>3531</v>
      </c>
      <c r="D1183" s="22" t="s">
        <v>9</v>
      </c>
      <c r="E1183" s="22" t="s">
        <v>23</v>
      </c>
      <c r="F1183" s="22">
        <v>16.529</v>
      </c>
    </row>
    <row r="1184" spans="1:6">
      <c r="A1184" s="22" t="s">
        <v>3532</v>
      </c>
      <c r="B1184" s="22" t="s">
        <v>3533</v>
      </c>
      <c r="C1184" s="22" t="s">
        <v>3534</v>
      </c>
      <c r="D1184" s="22" t="s">
        <v>9</v>
      </c>
      <c r="E1184" s="22" t="s">
        <v>23</v>
      </c>
      <c r="F1184" s="22">
        <v>300.898</v>
      </c>
    </row>
    <row r="1185" spans="1:6">
      <c r="A1185" s="22" t="s">
        <v>3535</v>
      </c>
      <c r="B1185" s="22" t="s">
        <v>3536</v>
      </c>
      <c r="C1185" s="22" t="s">
        <v>3537</v>
      </c>
      <c r="D1185" s="22" t="s">
        <v>9</v>
      </c>
      <c r="E1185" s="22" t="s">
        <v>31</v>
      </c>
      <c r="F1185" s="22">
        <v>17.883</v>
      </c>
    </row>
    <row r="1186" spans="1:6">
      <c r="A1186" s="22" t="s">
        <v>3538</v>
      </c>
      <c r="B1186" s="22" t="s">
        <v>3539</v>
      </c>
      <c r="C1186" s="22" t="s">
        <v>3540</v>
      </c>
      <c r="D1186" s="22" t="s">
        <v>9</v>
      </c>
      <c r="E1186" s="22" t="s">
        <v>27</v>
      </c>
      <c r="F1186" s="22">
        <v>2715.827</v>
      </c>
    </row>
    <row r="1187" spans="1:6">
      <c r="A1187" s="22" t="s">
        <v>3541</v>
      </c>
      <c r="B1187" s="22" t="s">
        <v>3542</v>
      </c>
      <c r="C1187" s="22" t="s">
        <v>3543</v>
      </c>
      <c r="D1187" s="22" t="s">
        <v>9</v>
      </c>
      <c r="E1187" s="22" t="s">
        <v>35</v>
      </c>
      <c r="F1187" s="22">
        <v>47.438</v>
      </c>
    </row>
    <row r="1188" spans="1:6">
      <c r="A1188" s="22" t="s">
        <v>3544</v>
      </c>
      <c r="B1188" s="22" t="s">
        <v>3545</v>
      </c>
      <c r="C1188" s="22" t="s">
        <v>3546</v>
      </c>
      <c r="D1188" s="22" t="s">
        <v>9</v>
      </c>
      <c r="E1188" s="22" t="s">
        <v>23</v>
      </c>
      <c r="F1188" s="22">
        <v>22.515</v>
      </c>
    </row>
    <row r="1189" spans="1:6">
      <c r="A1189" s="22" t="s">
        <v>3547</v>
      </c>
      <c r="B1189" s="22" t="s">
        <v>3548</v>
      </c>
      <c r="C1189" s="22" t="s">
        <v>3549</v>
      </c>
      <c r="D1189" s="22" t="s">
        <v>9</v>
      </c>
      <c r="E1189" s="22" t="s">
        <v>66</v>
      </c>
      <c r="F1189" s="22">
        <v>13.035</v>
      </c>
    </row>
    <row r="1190" spans="1:6">
      <c r="A1190" s="22" t="s">
        <v>3550</v>
      </c>
      <c r="B1190" s="22" t="s">
        <v>1241</v>
      </c>
      <c r="C1190" s="22" t="s">
        <v>3551</v>
      </c>
      <c r="D1190" s="22" t="s">
        <v>9</v>
      </c>
      <c r="E1190" s="22" t="s">
        <v>23</v>
      </c>
      <c r="F1190" s="22">
        <v>3569.185</v>
      </c>
    </row>
    <row r="1191" spans="1:6">
      <c r="A1191" s="22" t="s">
        <v>3552</v>
      </c>
      <c r="B1191" s="22" t="s">
        <v>3553</v>
      </c>
      <c r="C1191" s="22" t="s">
        <v>3554</v>
      </c>
      <c r="D1191" s="22" t="s">
        <v>9</v>
      </c>
      <c r="E1191" s="22" t="s">
        <v>23</v>
      </c>
      <c r="F1191" s="22">
        <v>7.504</v>
      </c>
    </row>
    <row r="1192" spans="1:6">
      <c r="A1192" s="22" t="s">
        <v>3555</v>
      </c>
      <c r="B1192" s="22" t="s">
        <v>3556</v>
      </c>
      <c r="C1192" s="22" t="s">
        <v>3557</v>
      </c>
      <c r="D1192" s="22" t="s">
        <v>9</v>
      </c>
      <c r="E1192" s="22" t="s">
        <v>27</v>
      </c>
      <c r="F1192" s="22">
        <v>32.12</v>
      </c>
    </row>
    <row r="1193" spans="1:6">
      <c r="A1193" s="22" t="s">
        <v>3558</v>
      </c>
      <c r="B1193" s="22" t="s">
        <v>3559</v>
      </c>
      <c r="C1193" s="22" t="s">
        <v>3560</v>
      </c>
      <c r="D1193" s="22" t="s">
        <v>9</v>
      </c>
      <c r="E1193" s="22" t="s">
        <v>27</v>
      </c>
      <c r="F1193" s="22">
        <v>2567.7</v>
      </c>
    </row>
    <row r="1194" spans="1:6">
      <c r="A1194" s="22" t="s">
        <v>3561</v>
      </c>
      <c r="B1194" s="22" t="s">
        <v>3562</v>
      </c>
      <c r="C1194" s="22" t="s">
        <v>3563</v>
      </c>
      <c r="D1194" s="22" t="s">
        <v>9</v>
      </c>
      <c r="E1194" s="22" t="s">
        <v>35</v>
      </c>
      <c r="F1194" s="22">
        <v>291.385</v>
      </c>
    </row>
    <row r="1195" spans="1:6">
      <c r="A1195" s="22" t="s">
        <v>3564</v>
      </c>
      <c r="B1195" s="22" t="s">
        <v>3565</v>
      </c>
      <c r="C1195" s="22" t="s">
        <v>3566</v>
      </c>
      <c r="D1195" s="22" t="s">
        <v>9</v>
      </c>
      <c r="E1195" s="22" t="s">
        <v>50</v>
      </c>
      <c r="F1195" s="22">
        <v>1813.488</v>
      </c>
    </row>
    <row r="1196" spans="1:6">
      <c r="A1196" s="22" t="s">
        <v>3567</v>
      </c>
      <c r="B1196" s="22" t="s">
        <v>3568</v>
      </c>
      <c r="C1196" s="22" t="s">
        <v>3569</v>
      </c>
      <c r="D1196" s="22" t="s">
        <v>9</v>
      </c>
      <c r="E1196" s="22" t="s">
        <v>31</v>
      </c>
      <c r="F1196" s="22">
        <v>2054.865</v>
      </c>
    </row>
    <row r="1197" spans="1:6">
      <c r="A1197" s="22" t="s">
        <v>3570</v>
      </c>
      <c r="B1197" s="22" t="s">
        <v>3571</v>
      </c>
      <c r="C1197" s="22" t="s">
        <v>3572</v>
      </c>
      <c r="D1197" s="22" t="s">
        <v>9</v>
      </c>
      <c r="E1197" s="22" t="s">
        <v>27</v>
      </c>
      <c r="F1197" s="22">
        <v>226.677</v>
      </c>
    </row>
    <row r="1198" spans="1:6">
      <c r="A1198" s="22" t="s">
        <v>3573</v>
      </c>
      <c r="B1198" s="22" t="s">
        <v>3574</v>
      </c>
      <c r="C1198" s="22" t="s">
        <v>3575</v>
      </c>
      <c r="D1198" s="22" t="s">
        <v>9</v>
      </c>
      <c r="E1198" s="22" t="s">
        <v>27</v>
      </c>
      <c r="F1198" s="22">
        <v>880.613</v>
      </c>
    </row>
    <row r="1199" spans="1:6">
      <c r="A1199" s="22" t="s">
        <v>3576</v>
      </c>
      <c r="B1199" s="22" t="s">
        <v>3577</v>
      </c>
      <c r="C1199" s="22" t="s">
        <v>3578</v>
      </c>
      <c r="D1199" s="22" t="s">
        <v>9</v>
      </c>
      <c r="E1199" s="22" t="s">
        <v>23</v>
      </c>
      <c r="F1199" s="22">
        <v>1727.561</v>
      </c>
    </row>
    <row r="1200" spans="1:6">
      <c r="A1200" s="22" t="s">
        <v>3579</v>
      </c>
      <c r="B1200" s="22" t="s">
        <v>3580</v>
      </c>
      <c r="C1200" s="22" t="s">
        <v>3581</v>
      </c>
      <c r="D1200" s="22" t="s">
        <v>9</v>
      </c>
      <c r="E1200" s="22" t="s">
        <v>27</v>
      </c>
      <c r="F1200" s="22">
        <v>366.533</v>
      </c>
    </row>
    <row r="1201" spans="1:6">
      <c r="A1201" s="22" t="s">
        <v>3582</v>
      </c>
      <c r="B1201" s="22" t="s">
        <v>3583</v>
      </c>
      <c r="C1201" s="22" t="s">
        <v>3584</v>
      </c>
      <c r="D1201" s="22" t="s">
        <v>9</v>
      </c>
      <c r="E1201" s="22" t="s">
        <v>23</v>
      </c>
      <c r="F1201" s="22">
        <v>24106.471</v>
      </c>
    </row>
    <row r="1202" spans="1:6">
      <c r="A1202" s="22" t="s">
        <v>3585</v>
      </c>
      <c r="B1202" s="22" t="s">
        <v>3586</v>
      </c>
      <c r="C1202" s="22" t="s">
        <v>3587</v>
      </c>
      <c r="D1202" s="22" t="s">
        <v>9</v>
      </c>
      <c r="E1202" s="22" t="s">
        <v>39</v>
      </c>
    </row>
    <row r="1203" spans="1:6">
      <c r="A1203" s="22" t="s">
        <v>3588</v>
      </c>
      <c r="B1203" s="22" t="s">
        <v>3589</v>
      </c>
      <c r="C1203" s="22" t="s">
        <v>3590</v>
      </c>
      <c r="D1203" s="22" t="s">
        <v>9</v>
      </c>
      <c r="E1203" s="22" t="s">
        <v>23</v>
      </c>
      <c r="F1203" s="22">
        <v>387.115</v>
      </c>
    </row>
    <row r="1204" spans="1:6">
      <c r="A1204" s="22" t="s">
        <v>3591</v>
      </c>
      <c r="B1204" s="22" t="s">
        <v>3592</v>
      </c>
      <c r="C1204" s="22" t="s">
        <v>3593</v>
      </c>
      <c r="D1204" s="22" t="s">
        <v>9</v>
      </c>
      <c r="E1204" s="22" t="s">
        <v>23</v>
      </c>
      <c r="F1204" s="22">
        <v>7.417</v>
      </c>
    </row>
    <row r="1205" spans="1:6">
      <c r="A1205" s="22" t="s">
        <v>3594</v>
      </c>
      <c r="B1205" s="22" t="s">
        <v>3595</v>
      </c>
      <c r="C1205" s="22" t="s">
        <v>3596</v>
      </c>
      <c r="D1205" s="22" t="s">
        <v>9</v>
      </c>
      <c r="E1205" s="22" t="s">
        <v>35</v>
      </c>
      <c r="F1205" s="22">
        <v>462.236</v>
      </c>
    </row>
    <row r="1206" spans="1:6">
      <c r="A1206" s="22" t="s">
        <v>3597</v>
      </c>
      <c r="B1206" s="22" t="s">
        <v>3598</v>
      </c>
      <c r="C1206" s="22" t="s">
        <v>3599</v>
      </c>
      <c r="D1206" s="22" t="s">
        <v>9</v>
      </c>
      <c r="E1206" s="22" t="s">
        <v>23</v>
      </c>
      <c r="F1206" s="22">
        <v>2778.013</v>
      </c>
    </row>
    <row r="1207" spans="1:6">
      <c r="A1207" s="22" t="s">
        <v>3600</v>
      </c>
      <c r="B1207" s="22" t="s">
        <v>3601</v>
      </c>
      <c r="C1207" s="22" t="s">
        <v>3602</v>
      </c>
      <c r="D1207" s="22" t="s">
        <v>9</v>
      </c>
      <c r="E1207" s="22" t="s">
        <v>23</v>
      </c>
      <c r="F1207" s="22">
        <v>68.504</v>
      </c>
    </row>
    <row r="1208" spans="1:6">
      <c r="A1208" s="22" t="s">
        <v>3603</v>
      </c>
      <c r="B1208" s="22" t="s">
        <v>3604</v>
      </c>
      <c r="C1208" s="22" t="s">
        <v>3605</v>
      </c>
      <c r="D1208" s="22" t="s">
        <v>9</v>
      </c>
      <c r="E1208" s="22" t="s">
        <v>23</v>
      </c>
      <c r="F1208" s="22">
        <v>34.549</v>
      </c>
    </row>
    <row r="1209" spans="1:6">
      <c r="A1209" s="22" t="s">
        <v>3606</v>
      </c>
      <c r="B1209" s="22" t="s">
        <v>3607</v>
      </c>
      <c r="C1209" s="22" t="s">
        <v>3608</v>
      </c>
      <c r="D1209" s="22" t="s">
        <v>9</v>
      </c>
      <c r="E1209" s="22" t="s">
        <v>23</v>
      </c>
      <c r="F1209" s="22">
        <v>786.268</v>
      </c>
    </row>
    <row r="1210" spans="1:6">
      <c r="A1210" s="22" t="s">
        <v>3609</v>
      </c>
      <c r="B1210" s="22" t="s">
        <v>3610</v>
      </c>
      <c r="C1210" s="22" t="s">
        <v>3611</v>
      </c>
      <c r="D1210" s="22" t="s">
        <v>9</v>
      </c>
      <c r="E1210" s="22" t="s">
        <v>23</v>
      </c>
      <c r="F1210" s="22">
        <v>1.502</v>
      </c>
    </row>
    <row r="1211" spans="1:6">
      <c r="A1211" s="22" t="s">
        <v>3612</v>
      </c>
      <c r="B1211" s="22" t="s">
        <v>414</v>
      </c>
      <c r="C1211" s="22" t="s">
        <v>3613</v>
      </c>
      <c r="D1211" s="22" t="s">
        <v>9</v>
      </c>
      <c r="E1211" s="22" t="s">
        <v>23</v>
      </c>
      <c r="F1211" s="22">
        <v>27.594</v>
      </c>
    </row>
    <row r="1212" spans="1:6">
      <c r="A1212" s="22" t="s">
        <v>3614</v>
      </c>
      <c r="B1212" s="22" t="s">
        <v>3615</v>
      </c>
      <c r="C1212" s="22" t="s">
        <v>3616</v>
      </c>
      <c r="D1212" s="22" t="s">
        <v>9</v>
      </c>
      <c r="E1212" s="22" t="s">
        <v>35</v>
      </c>
      <c r="F1212" s="22">
        <v>52.381</v>
      </c>
    </row>
    <row r="1213" spans="1:6">
      <c r="A1213" s="22" t="s">
        <v>3617</v>
      </c>
      <c r="B1213" s="22" t="s">
        <v>3618</v>
      </c>
      <c r="C1213" s="22" t="s">
        <v>3619</v>
      </c>
      <c r="D1213" s="22" t="s">
        <v>9</v>
      </c>
      <c r="E1213" s="22" t="s">
        <v>35</v>
      </c>
      <c r="F1213" s="22">
        <v>610.797</v>
      </c>
    </row>
    <row r="1214" spans="1:6">
      <c r="A1214" s="22" t="s">
        <v>3620</v>
      </c>
      <c r="B1214" s="22" t="s">
        <v>3621</v>
      </c>
      <c r="C1214" s="22" t="s">
        <v>3622</v>
      </c>
      <c r="D1214" s="22" t="s">
        <v>9</v>
      </c>
      <c r="E1214" s="22" t="s">
        <v>23</v>
      </c>
      <c r="F1214" s="22">
        <v>15.898</v>
      </c>
    </row>
    <row r="1215" spans="1:6">
      <c r="A1215" s="22" t="s">
        <v>3623</v>
      </c>
      <c r="B1215" s="22" t="s">
        <v>3624</v>
      </c>
      <c r="C1215" s="22" t="s">
        <v>3625</v>
      </c>
      <c r="D1215" s="22" t="s">
        <v>9</v>
      </c>
      <c r="E1215" s="22" t="s">
        <v>39</v>
      </c>
      <c r="F1215" s="22">
        <v>1792.635</v>
      </c>
    </row>
    <row r="1216" spans="1:6">
      <c r="A1216" s="22" t="s">
        <v>3626</v>
      </c>
      <c r="B1216" s="22" t="s">
        <v>3627</v>
      </c>
      <c r="C1216" s="22" t="s">
        <v>3628</v>
      </c>
      <c r="D1216" s="22" t="s">
        <v>9</v>
      </c>
      <c r="E1216" s="22" t="s">
        <v>23</v>
      </c>
      <c r="F1216" s="22">
        <v>6111.224</v>
      </c>
    </row>
    <row r="1217" spans="1:6">
      <c r="A1217" s="22" t="s">
        <v>3629</v>
      </c>
      <c r="B1217" s="22" t="s">
        <v>3630</v>
      </c>
      <c r="C1217" s="22" t="s">
        <v>3631</v>
      </c>
      <c r="D1217" s="22" t="s">
        <v>9</v>
      </c>
      <c r="E1217" s="22" t="s">
        <v>23</v>
      </c>
      <c r="F1217" s="22">
        <v>6806.859</v>
      </c>
    </row>
    <row r="1218" spans="1:6">
      <c r="A1218" s="22" t="s">
        <v>3632</v>
      </c>
      <c r="B1218" s="22" t="s">
        <v>2445</v>
      </c>
      <c r="C1218" s="22" t="s">
        <v>3633</v>
      </c>
      <c r="D1218" s="22" t="s">
        <v>9</v>
      </c>
      <c r="E1218" s="22" t="s">
        <v>27</v>
      </c>
      <c r="F1218" s="22">
        <v>48.699</v>
      </c>
    </row>
    <row r="1219" spans="1:6">
      <c r="A1219" s="22" t="s">
        <v>3634</v>
      </c>
      <c r="B1219" s="22" t="s">
        <v>1988</v>
      </c>
      <c r="C1219" s="22" t="s">
        <v>3635</v>
      </c>
      <c r="D1219" s="22" t="s">
        <v>9</v>
      </c>
      <c r="E1219" s="22" t="s">
        <v>35</v>
      </c>
      <c r="F1219" s="22">
        <v>417.792</v>
      </c>
    </row>
    <row r="1220" spans="1:6">
      <c r="A1220" s="22" t="s">
        <v>3636</v>
      </c>
      <c r="B1220" s="22" t="s">
        <v>3637</v>
      </c>
      <c r="C1220" s="22" t="s">
        <v>3638</v>
      </c>
      <c r="D1220" s="22" t="s">
        <v>9</v>
      </c>
      <c r="E1220" s="22" t="s">
        <v>39</v>
      </c>
      <c r="F1220" s="22">
        <v>530.674</v>
      </c>
    </row>
    <row r="1221" spans="1:6">
      <c r="A1221" s="22" t="s">
        <v>3639</v>
      </c>
      <c r="B1221" s="22" t="s">
        <v>3640</v>
      </c>
      <c r="C1221" s="22" t="s">
        <v>3641</v>
      </c>
      <c r="D1221" s="22" t="s">
        <v>9</v>
      </c>
      <c r="E1221" s="22" t="s">
        <v>35</v>
      </c>
      <c r="F1221" s="22">
        <v>46.475</v>
      </c>
    </row>
    <row r="1222" spans="1:6">
      <c r="A1222" s="22" t="s">
        <v>3642</v>
      </c>
      <c r="B1222" s="22" t="s">
        <v>3643</v>
      </c>
      <c r="C1222" s="22" t="s">
        <v>3644</v>
      </c>
      <c r="D1222" s="22" t="s">
        <v>9</v>
      </c>
      <c r="E1222" s="22" t="s">
        <v>27</v>
      </c>
      <c r="F1222" s="22">
        <v>201.735</v>
      </c>
    </row>
    <row r="1223" spans="1:6">
      <c r="A1223" s="22" t="s">
        <v>3645</v>
      </c>
      <c r="B1223" s="22" t="s">
        <v>414</v>
      </c>
      <c r="C1223" s="22" t="s">
        <v>3646</v>
      </c>
      <c r="D1223" s="22" t="s">
        <v>9</v>
      </c>
      <c r="E1223" s="22" t="s">
        <v>23</v>
      </c>
      <c r="F1223" s="22">
        <v>22.406</v>
      </c>
    </row>
    <row r="1224" spans="1:6">
      <c r="A1224" s="22" t="s">
        <v>3647</v>
      </c>
      <c r="B1224" s="22" t="s">
        <v>3648</v>
      </c>
      <c r="C1224" s="22" t="s">
        <v>3649</v>
      </c>
      <c r="D1224" s="22" t="s">
        <v>9</v>
      </c>
      <c r="E1224" s="22" t="s">
        <v>23</v>
      </c>
      <c r="F1224" s="22">
        <v>866.59</v>
      </c>
    </row>
    <row r="1225" spans="1:6">
      <c r="A1225" s="22" t="s">
        <v>3650</v>
      </c>
      <c r="B1225" s="22" t="s">
        <v>3651</v>
      </c>
      <c r="C1225" s="22" t="s">
        <v>3652</v>
      </c>
      <c r="D1225" s="22" t="s">
        <v>9</v>
      </c>
      <c r="E1225" s="22" t="s">
        <v>39</v>
      </c>
      <c r="F1225" s="22">
        <v>1892.159</v>
      </c>
    </row>
    <row r="1226" spans="1:6">
      <c r="A1226" s="22" t="s">
        <v>3653</v>
      </c>
      <c r="B1226" s="22" t="s">
        <v>3654</v>
      </c>
      <c r="C1226" s="22" t="s">
        <v>3655</v>
      </c>
      <c r="D1226" s="22" t="s">
        <v>9</v>
      </c>
      <c r="E1226" s="22" t="s">
        <v>35</v>
      </c>
      <c r="F1226" s="22">
        <v>251.072</v>
      </c>
    </row>
    <row r="1227" spans="1:6">
      <c r="A1227" s="22" t="s">
        <v>3656</v>
      </c>
      <c r="B1227" s="22" t="s">
        <v>3657</v>
      </c>
      <c r="C1227" s="22" t="s">
        <v>3658</v>
      </c>
      <c r="D1227" s="22" t="s">
        <v>9</v>
      </c>
      <c r="E1227" s="22" t="s">
        <v>121</v>
      </c>
      <c r="F1227" s="22">
        <v>61.575</v>
      </c>
    </row>
    <row r="1228" spans="1:6">
      <c r="A1228" s="22" t="s">
        <v>3659</v>
      </c>
      <c r="B1228" s="22" t="s">
        <v>3660</v>
      </c>
      <c r="C1228" s="22" t="s">
        <v>3661</v>
      </c>
      <c r="D1228" s="22" t="s">
        <v>9</v>
      </c>
      <c r="E1228" s="22" t="s">
        <v>50</v>
      </c>
      <c r="F1228" s="22">
        <v>1042.697</v>
      </c>
    </row>
    <row r="1229" spans="1:6">
      <c r="A1229" s="22" t="s">
        <v>3662</v>
      </c>
      <c r="B1229" s="22" t="s">
        <v>3663</v>
      </c>
      <c r="C1229" s="22" t="s">
        <v>3664</v>
      </c>
      <c r="D1229" s="22" t="s">
        <v>9</v>
      </c>
      <c r="E1229" s="22" t="s">
        <v>27</v>
      </c>
      <c r="F1229" s="22">
        <v>2514.966</v>
      </c>
    </row>
    <row r="1230" spans="1:6">
      <c r="A1230" s="22" t="s">
        <v>3665</v>
      </c>
      <c r="B1230" s="22" t="s">
        <v>3666</v>
      </c>
      <c r="C1230" s="22" t="s">
        <v>3667</v>
      </c>
      <c r="D1230" s="22" t="s">
        <v>9</v>
      </c>
      <c r="E1230" s="22" t="s">
        <v>23</v>
      </c>
      <c r="F1230" s="22">
        <v>89.19</v>
      </c>
    </row>
    <row r="1231" spans="1:6">
      <c r="A1231" s="22" t="s">
        <v>3668</v>
      </c>
      <c r="B1231" s="22" t="s">
        <v>3669</v>
      </c>
      <c r="C1231" s="22" t="s">
        <v>3670</v>
      </c>
      <c r="D1231" s="22" t="s">
        <v>9</v>
      </c>
      <c r="E1231" s="22" t="s">
        <v>23</v>
      </c>
      <c r="F1231" s="22">
        <v>14835.407</v>
      </c>
    </row>
    <row r="1232" spans="1:6">
      <c r="A1232" s="22" t="s">
        <v>3671</v>
      </c>
      <c r="B1232" s="22" t="s">
        <v>3672</v>
      </c>
      <c r="C1232" s="22" t="s">
        <v>3673</v>
      </c>
      <c r="D1232" s="22" t="s">
        <v>9</v>
      </c>
      <c r="E1232" s="22" t="s">
        <v>23</v>
      </c>
      <c r="F1232" s="22">
        <v>17.301</v>
      </c>
    </row>
    <row r="1233" spans="1:6">
      <c r="A1233" s="22" t="s">
        <v>3674</v>
      </c>
      <c r="B1233" s="22" t="s">
        <v>3675</v>
      </c>
      <c r="C1233" s="22" t="s">
        <v>3676</v>
      </c>
      <c r="D1233" s="22" t="s">
        <v>9</v>
      </c>
      <c r="E1233" s="22" t="s">
        <v>23</v>
      </c>
      <c r="F1233" s="22">
        <v>16230.572</v>
      </c>
    </row>
    <row r="1234" spans="1:6">
      <c r="A1234" s="22" t="s">
        <v>3677</v>
      </c>
      <c r="B1234" s="22" t="s">
        <v>3678</v>
      </c>
      <c r="C1234" s="22" t="s">
        <v>3679</v>
      </c>
      <c r="D1234" s="22" t="s">
        <v>9</v>
      </c>
      <c r="E1234" s="22" t="s">
        <v>27</v>
      </c>
      <c r="F1234" s="22">
        <v>146.034</v>
      </c>
    </row>
    <row r="1235" spans="1:6">
      <c r="A1235" s="22" t="s">
        <v>3680</v>
      </c>
      <c r="B1235" s="22" t="s">
        <v>1264</v>
      </c>
      <c r="C1235" s="22" t="s">
        <v>3681</v>
      </c>
      <c r="D1235" s="22" t="s">
        <v>9</v>
      </c>
      <c r="E1235" s="22" t="s">
        <v>23</v>
      </c>
      <c r="F1235" s="22">
        <v>1964.525</v>
      </c>
    </row>
    <row r="1236" spans="1:6">
      <c r="A1236" s="22" t="s">
        <v>3682</v>
      </c>
      <c r="B1236" s="22" t="s">
        <v>3683</v>
      </c>
      <c r="C1236" s="22" t="s">
        <v>3684</v>
      </c>
      <c r="D1236" s="22" t="s">
        <v>9</v>
      </c>
      <c r="E1236" s="22" t="s">
        <v>23</v>
      </c>
      <c r="F1236" s="22">
        <v>3.549</v>
      </c>
    </row>
    <row r="1237" spans="1:6">
      <c r="A1237" s="22" t="s">
        <v>3685</v>
      </c>
      <c r="B1237" s="22" t="s">
        <v>3686</v>
      </c>
      <c r="C1237" s="22" t="s">
        <v>3687</v>
      </c>
      <c r="D1237" s="22" t="s">
        <v>9</v>
      </c>
      <c r="E1237" s="22" t="s">
        <v>23</v>
      </c>
      <c r="F1237" s="22">
        <v>7703.053</v>
      </c>
    </row>
    <row r="1238" spans="1:6">
      <c r="A1238" s="22" t="s">
        <v>3688</v>
      </c>
      <c r="B1238" s="22" t="s">
        <v>3689</v>
      </c>
      <c r="C1238" s="22" t="s">
        <v>3690</v>
      </c>
      <c r="D1238" s="22" t="s">
        <v>9</v>
      </c>
      <c r="E1238" s="22" t="s">
        <v>31</v>
      </c>
      <c r="F1238" s="22">
        <v>176.272</v>
      </c>
    </row>
    <row r="1239" spans="1:6">
      <c r="A1239" s="22" t="s">
        <v>3691</v>
      </c>
      <c r="B1239" s="22" t="s">
        <v>3692</v>
      </c>
      <c r="C1239" s="22" t="s">
        <v>3693</v>
      </c>
      <c r="D1239" s="22" t="s">
        <v>9</v>
      </c>
      <c r="E1239" s="22" t="s">
        <v>23</v>
      </c>
      <c r="F1239" s="22">
        <v>58.587</v>
      </c>
    </row>
    <row r="1240" spans="1:6">
      <c r="A1240" s="22" t="s">
        <v>3694</v>
      </c>
      <c r="B1240" s="22" t="s">
        <v>2192</v>
      </c>
      <c r="C1240" s="22" t="s">
        <v>3695</v>
      </c>
      <c r="D1240" s="22" t="s">
        <v>9</v>
      </c>
      <c r="E1240" s="22" t="s">
        <v>23</v>
      </c>
      <c r="F1240" s="22">
        <v>12.883</v>
      </c>
    </row>
    <row r="1241" spans="1:6">
      <c r="A1241" s="22" t="s">
        <v>3696</v>
      </c>
      <c r="B1241" s="22" t="s">
        <v>3697</v>
      </c>
      <c r="C1241" s="22" t="s">
        <v>3698</v>
      </c>
      <c r="D1241" s="22" t="s">
        <v>9</v>
      </c>
      <c r="E1241" s="22" t="s">
        <v>23</v>
      </c>
      <c r="F1241" s="22">
        <v>68.713</v>
      </c>
    </row>
    <row r="1242" spans="1:6">
      <c r="A1242" s="22" t="s">
        <v>3699</v>
      </c>
      <c r="B1242" s="22" t="s">
        <v>888</v>
      </c>
      <c r="C1242" s="22" t="s">
        <v>3700</v>
      </c>
      <c r="D1242" s="22" t="s">
        <v>9</v>
      </c>
      <c r="E1242" s="22" t="s">
        <v>31</v>
      </c>
      <c r="F1242" s="22">
        <v>2826.348</v>
      </c>
    </row>
    <row r="1243" spans="1:6">
      <c r="A1243" s="22" t="s">
        <v>3701</v>
      </c>
      <c r="B1243" s="22" t="s">
        <v>3702</v>
      </c>
      <c r="C1243" s="22" t="s">
        <v>3703</v>
      </c>
      <c r="D1243" s="22" t="s">
        <v>9</v>
      </c>
      <c r="E1243" s="22" t="s">
        <v>57</v>
      </c>
      <c r="F1243" s="22">
        <v>116.117</v>
      </c>
    </row>
    <row r="1244" spans="1:6">
      <c r="A1244" s="22" t="s">
        <v>3704</v>
      </c>
      <c r="B1244" s="22" t="s">
        <v>3705</v>
      </c>
      <c r="C1244" s="22" t="s">
        <v>3706</v>
      </c>
      <c r="D1244" s="22" t="s">
        <v>9</v>
      </c>
      <c r="E1244" s="22" t="s">
        <v>23</v>
      </c>
      <c r="F1244" s="22">
        <v>135.329</v>
      </c>
    </row>
    <row r="1245" spans="1:6">
      <c r="A1245" s="22" t="s">
        <v>3707</v>
      </c>
      <c r="B1245" s="22" t="s">
        <v>3708</v>
      </c>
      <c r="C1245" s="22" t="s">
        <v>3709</v>
      </c>
      <c r="D1245" s="22" t="s">
        <v>9</v>
      </c>
      <c r="E1245" s="22" t="s">
        <v>23</v>
      </c>
      <c r="F1245" s="22">
        <v>1332.878</v>
      </c>
    </row>
    <row r="1246" spans="1:6">
      <c r="A1246" s="22" t="s">
        <v>3710</v>
      </c>
      <c r="B1246" s="22" t="s">
        <v>3711</v>
      </c>
      <c r="C1246" s="22" t="s">
        <v>3712</v>
      </c>
      <c r="D1246" s="22" t="s">
        <v>9</v>
      </c>
      <c r="E1246" s="22" t="s">
        <v>39</v>
      </c>
      <c r="F1246" s="22">
        <v>3555.619</v>
      </c>
    </row>
    <row r="1247" spans="1:6">
      <c r="A1247" s="22" t="s">
        <v>3713</v>
      </c>
      <c r="B1247" s="22" t="s">
        <v>3714</v>
      </c>
      <c r="C1247" s="22" t="s">
        <v>3715</v>
      </c>
      <c r="D1247" s="22" t="s">
        <v>9</v>
      </c>
      <c r="E1247" s="22" t="s">
        <v>50</v>
      </c>
      <c r="F1247" s="22">
        <v>135.782</v>
      </c>
    </row>
    <row r="1248" spans="1:6">
      <c r="A1248" s="22" t="s">
        <v>3716</v>
      </c>
      <c r="B1248" s="22" t="s">
        <v>3369</v>
      </c>
      <c r="C1248" s="22" t="s">
        <v>3717</v>
      </c>
      <c r="D1248" s="22" t="s">
        <v>9</v>
      </c>
      <c r="E1248" s="22" t="s">
        <v>101</v>
      </c>
      <c r="F1248" s="22">
        <v>36.824</v>
      </c>
    </row>
    <row r="1249" spans="1:6">
      <c r="A1249" s="22" t="s">
        <v>3718</v>
      </c>
      <c r="B1249" s="22" t="s">
        <v>3719</v>
      </c>
      <c r="C1249" s="22" t="s">
        <v>3720</v>
      </c>
      <c r="D1249" s="22" t="s">
        <v>9</v>
      </c>
      <c r="E1249" s="22" t="s">
        <v>23</v>
      </c>
      <c r="F1249" s="22">
        <v>42.609</v>
      </c>
    </row>
    <row r="1250" spans="1:6">
      <c r="A1250" s="22" t="s">
        <v>3721</v>
      </c>
      <c r="B1250" s="22" t="s">
        <v>3722</v>
      </c>
      <c r="C1250" s="22" t="s">
        <v>3723</v>
      </c>
      <c r="D1250" s="22" t="s">
        <v>9</v>
      </c>
      <c r="E1250" s="22" t="s">
        <v>39</v>
      </c>
      <c r="F1250" s="22">
        <v>1878.537</v>
      </c>
    </row>
    <row r="1251" spans="1:6">
      <c r="A1251" s="22" t="s">
        <v>3724</v>
      </c>
      <c r="B1251" s="22" t="s">
        <v>2445</v>
      </c>
      <c r="C1251" s="22" t="s">
        <v>3725</v>
      </c>
      <c r="D1251" s="22" t="s">
        <v>9</v>
      </c>
      <c r="E1251" s="22" t="s">
        <v>27</v>
      </c>
      <c r="F1251" s="22">
        <v>2701.244</v>
      </c>
    </row>
    <row r="1252" spans="1:6">
      <c r="A1252" s="22" t="s">
        <v>3726</v>
      </c>
      <c r="B1252" s="22" t="s">
        <v>3727</v>
      </c>
      <c r="C1252" s="22" t="s">
        <v>3728</v>
      </c>
      <c r="D1252" s="22" t="s">
        <v>9</v>
      </c>
      <c r="E1252" s="22" t="s">
        <v>57</v>
      </c>
      <c r="F1252" s="22">
        <v>1.587</v>
      </c>
    </row>
    <row r="1253" spans="1:6">
      <c r="A1253" s="22" t="s">
        <v>3729</v>
      </c>
      <c r="B1253" s="22" t="s">
        <v>3730</v>
      </c>
      <c r="C1253" s="22" t="s">
        <v>3731</v>
      </c>
      <c r="D1253" s="22" t="s">
        <v>9</v>
      </c>
      <c r="E1253" s="22" t="s">
        <v>23</v>
      </c>
      <c r="F1253" s="22">
        <v>908.906</v>
      </c>
    </row>
    <row r="1254" spans="1:6">
      <c r="A1254" s="22" t="s">
        <v>3732</v>
      </c>
      <c r="B1254" s="22" t="s">
        <v>3733</v>
      </c>
      <c r="C1254" s="22" t="s">
        <v>3734</v>
      </c>
      <c r="D1254" s="22" t="s">
        <v>9</v>
      </c>
      <c r="E1254" s="22" t="s">
        <v>23</v>
      </c>
      <c r="F1254" s="22">
        <v>344.057</v>
      </c>
    </row>
    <row r="1255" spans="1:6">
      <c r="A1255" s="22" t="s">
        <v>3735</v>
      </c>
      <c r="B1255" s="22" t="s">
        <v>3736</v>
      </c>
      <c r="C1255" s="22" t="s">
        <v>3737</v>
      </c>
      <c r="D1255" s="22" t="s">
        <v>9</v>
      </c>
      <c r="E1255" s="22" t="s">
        <v>23</v>
      </c>
      <c r="F1255" s="22">
        <v>156.234</v>
      </c>
    </row>
    <row r="1256" spans="1:6">
      <c r="A1256" s="22" t="s">
        <v>3738</v>
      </c>
      <c r="B1256" s="22" t="s">
        <v>3036</v>
      </c>
      <c r="C1256" s="22" t="s">
        <v>3739</v>
      </c>
      <c r="D1256" s="22" t="s">
        <v>9</v>
      </c>
      <c r="E1256" s="22" t="s">
        <v>57</v>
      </c>
      <c r="F1256" s="22">
        <v>44.665</v>
      </c>
    </row>
    <row r="1257" spans="1:6">
      <c r="A1257" s="22" t="s">
        <v>3740</v>
      </c>
      <c r="B1257" s="22" t="s">
        <v>3741</v>
      </c>
      <c r="C1257" s="22" t="s">
        <v>3742</v>
      </c>
      <c r="D1257" s="22" t="s">
        <v>9</v>
      </c>
      <c r="E1257" s="22" t="s">
        <v>23</v>
      </c>
      <c r="F1257" s="22">
        <v>75.747</v>
      </c>
    </row>
    <row r="1258" spans="1:6">
      <c r="A1258" s="22" t="s">
        <v>3743</v>
      </c>
      <c r="B1258" s="22" t="s">
        <v>3744</v>
      </c>
      <c r="C1258" s="22" t="s">
        <v>3745</v>
      </c>
      <c r="D1258" s="22" t="s">
        <v>9</v>
      </c>
      <c r="E1258" s="22" t="s">
        <v>23</v>
      </c>
      <c r="F1258" s="22">
        <v>39.506</v>
      </c>
    </row>
    <row r="1259" spans="1:6">
      <c r="A1259" s="22" t="s">
        <v>3746</v>
      </c>
      <c r="B1259" s="22" t="s">
        <v>3116</v>
      </c>
      <c r="C1259" s="22" t="s">
        <v>3747</v>
      </c>
      <c r="D1259" s="22" t="s">
        <v>9</v>
      </c>
      <c r="E1259" s="22" t="s">
        <v>57</v>
      </c>
      <c r="F1259" s="22">
        <v>36.924</v>
      </c>
    </row>
    <row r="1260" spans="1:6">
      <c r="A1260" s="22" t="s">
        <v>3748</v>
      </c>
      <c r="B1260" s="22" t="s">
        <v>3749</v>
      </c>
      <c r="C1260" s="22" t="s">
        <v>3750</v>
      </c>
      <c r="D1260" s="22" t="s">
        <v>9</v>
      </c>
      <c r="E1260" s="22" t="s">
        <v>35</v>
      </c>
      <c r="F1260" s="22">
        <v>33.887</v>
      </c>
    </row>
    <row r="1261" spans="1:6">
      <c r="A1261" s="22" t="s">
        <v>3751</v>
      </c>
      <c r="B1261" s="22" t="s">
        <v>3752</v>
      </c>
      <c r="C1261" s="22" t="s">
        <v>3753</v>
      </c>
      <c r="D1261" s="22" t="s">
        <v>9</v>
      </c>
      <c r="E1261" s="22" t="s">
        <v>23</v>
      </c>
      <c r="F1261" s="22">
        <v>43.239</v>
      </c>
    </row>
    <row r="1262" spans="1:6">
      <c r="A1262" s="22" t="s">
        <v>3754</v>
      </c>
      <c r="B1262" s="22" t="s">
        <v>3755</v>
      </c>
      <c r="C1262" s="22" t="s">
        <v>3756</v>
      </c>
      <c r="D1262" s="22" t="s">
        <v>9</v>
      </c>
      <c r="E1262" s="22" t="s">
        <v>35</v>
      </c>
      <c r="F1262" s="22">
        <v>85.242</v>
      </c>
    </row>
    <row r="1263" spans="1:6">
      <c r="A1263" s="22" t="s">
        <v>3757</v>
      </c>
      <c r="B1263" s="22" t="s">
        <v>3758</v>
      </c>
      <c r="C1263" s="22" t="s">
        <v>3759</v>
      </c>
      <c r="D1263" s="22" t="s">
        <v>9</v>
      </c>
      <c r="E1263" s="22" t="s">
        <v>23</v>
      </c>
      <c r="F1263" s="22">
        <v>599.015</v>
      </c>
    </row>
    <row r="1264" spans="1:6">
      <c r="A1264" s="22" t="s">
        <v>3760</v>
      </c>
      <c r="B1264" s="22" t="s">
        <v>3761</v>
      </c>
      <c r="C1264" s="22" t="s">
        <v>3762</v>
      </c>
      <c r="D1264" s="22" t="s">
        <v>9</v>
      </c>
      <c r="E1264" s="22" t="s">
        <v>27</v>
      </c>
      <c r="F1264" s="22">
        <v>143.373</v>
      </c>
    </row>
    <row r="1265" spans="1:6">
      <c r="A1265" s="22" t="s">
        <v>3763</v>
      </c>
      <c r="B1265" s="22" t="s">
        <v>3764</v>
      </c>
      <c r="C1265" s="22" t="s">
        <v>3765</v>
      </c>
      <c r="D1265" s="22" t="s">
        <v>9</v>
      </c>
      <c r="E1265" s="22" t="s">
        <v>23</v>
      </c>
      <c r="F1265" s="22">
        <v>3276.007</v>
      </c>
    </row>
    <row r="1266" spans="1:6">
      <c r="A1266" s="22" t="s">
        <v>3766</v>
      </c>
      <c r="B1266" s="22" t="s">
        <v>3767</v>
      </c>
      <c r="C1266" s="22" t="s">
        <v>3768</v>
      </c>
      <c r="D1266" s="22" t="s">
        <v>9</v>
      </c>
      <c r="E1266" s="22" t="s">
        <v>23</v>
      </c>
      <c r="F1266" s="22">
        <v>966.986</v>
      </c>
    </row>
    <row r="1267" spans="1:6">
      <c r="A1267" s="22" t="s">
        <v>3769</v>
      </c>
      <c r="B1267" s="22" t="s">
        <v>3770</v>
      </c>
      <c r="C1267" s="22" t="s">
        <v>3771</v>
      </c>
      <c r="D1267" s="22" t="s">
        <v>9</v>
      </c>
      <c r="E1267" s="22" t="s">
        <v>23</v>
      </c>
      <c r="F1267" s="22">
        <v>243.785</v>
      </c>
    </row>
    <row r="1268" spans="1:6">
      <c r="A1268" s="22" t="s">
        <v>3772</v>
      </c>
      <c r="B1268" s="22" t="s">
        <v>3773</v>
      </c>
      <c r="C1268" s="22" t="s">
        <v>3774</v>
      </c>
      <c r="D1268" s="22" t="s">
        <v>9</v>
      </c>
      <c r="E1268" s="22" t="s">
        <v>23</v>
      </c>
      <c r="F1268" s="22">
        <v>1728.738</v>
      </c>
    </row>
    <row r="1269" spans="1:6">
      <c r="A1269" s="22" t="s">
        <v>3775</v>
      </c>
      <c r="B1269" s="22" t="s">
        <v>3776</v>
      </c>
      <c r="C1269" s="22" t="s">
        <v>3777</v>
      </c>
      <c r="D1269" s="22" t="s">
        <v>9</v>
      </c>
      <c r="E1269" s="22" t="s">
        <v>14</v>
      </c>
      <c r="F1269" s="22">
        <v>55.771</v>
      </c>
    </row>
    <row r="1270" spans="1:6">
      <c r="A1270" s="22" t="s">
        <v>3778</v>
      </c>
      <c r="B1270" s="22" t="s">
        <v>3779</v>
      </c>
      <c r="C1270" s="22" t="s">
        <v>3780</v>
      </c>
      <c r="D1270" s="22" t="s">
        <v>9</v>
      </c>
      <c r="E1270" s="22" t="s">
        <v>23</v>
      </c>
      <c r="F1270" s="22">
        <v>6.256</v>
      </c>
    </row>
    <row r="1271" spans="1:6">
      <c r="A1271" s="22" t="s">
        <v>3781</v>
      </c>
      <c r="B1271" s="22" t="s">
        <v>3782</v>
      </c>
      <c r="C1271" s="22" t="s">
        <v>3783</v>
      </c>
      <c r="D1271" s="22" t="s">
        <v>9</v>
      </c>
      <c r="E1271" s="22" t="s">
        <v>40</v>
      </c>
      <c r="F1271" s="22">
        <v>352.806</v>
      </c>
    </row>
    <row r="1272" spans="1:6">
      <c r="A1272" s="22" t="s">
        <v>3784</v>
      </c>
      <c r="B1272" s="22" t="s">
        <v>3785</v>
      </c>
      <c r="C1272" s="22" t="s">
        <v>3786</v>
      </c>
      <c r="D1272" s="22" t="s">
        <v>9</v>
      </c>
      <c r="E1272" s="22" t="s">
        <v>66</v>
      </c>
      <c r="F1272" s="22">
        <v>2.738</v>
      </c>
    </row>
    <row r="1273" spans="1:6">
      <c r="A1273" s="22" t="s">
        <v>3787</v>
      </c>
      <c r="B1273" s="22" t="s">
        <v>3788</v>
      </c>
      <c r="C1273" s="22" t="s">
        <v>3789</v>
      </c>
      <c r="D1273" s="22" t="s">
        <v>9</v>
      </c>
      <c r="E1273" s="22" t="s">
        <v>57</v>
      </c>
      <c r="F1273" s="22">
        <v>25.717</v>
      </c>
    </row>
    <row r="1274" spans="1:6">
      <c r="A1274" s="22" t="s">
        <v>3790</v>
      </c>
      <c r="B1274" s="22" t="s">
        <v>3791</v>
      </c>
      <c r="C1274" s="22" t="s">
        <v>3792</v>
      </c>
      <c r="D1274" s="22" t="s">
        <v>9</v>
      </c>
      <c r="E1274" s="22" t="s">
        <v>23</v>
      </c>
      <c r="F1274" s="22">
        <v>157.36</v>
      </c>
    </row>
    <row r="1275" spans="1:6">
      <c r="A1275" s="22" t="s">
        <v>3793</v>
      </c>
      <c r="B1275" s="22" t="s">
        <v>3794</v>
      </c>
      <c r="C1275" s="22" t="s">
        <v>3795</v>
      </c>
      <c r="D1275" s="22" t="s">
        <v>9</v>
      </c>
      <c r="E1275" s="22" t="s">
        <v>35</v>
      </c>
      <c r="F1275" s="22">
        <v>854.042</v>
      </c>
    </row>
    <row r="1276" spans="1:6">
      <c r="A1276" s="22" t="s">
        <v>3796</v>
      </c>
      <c r="B1276" s="22" t="s">
        <v>3797</v>
      </c>
      <c r="C1276" s="22" t="s">
        <v>3798</v>
      </c>
      <c r="D1276" s="22" t="s">
        <v>9</v>
      </c>
      <c r="E1276" s="22" t="s">
        <v>35</v>
      </c>
      <c r="F1276" s="22">
        <v>1884.104</v>
      </c>
    </row>
    <row r="1277" spans="1:6">
      <c r="A1277" s="22" t="s">
        <v>3799</v>
      </c>
      <c r="B1277" s="22" t="s">
        <v>3800</v>
      </c>
      <c r="C1277" s="22" t="s">
        <v>3801</v>
      </c>
      <c r="D1277" s="22" t="s">
        <v>9</v>
      </c>
      <c r="E1277" s="22" t="s">
        <v>23</v>
      </c>
      <c r="F1277" s="22">
        <v>30.12</v>
      </c>
    </row>
    <row r="1278" spans="1:6">
      <c r="A1278" s="22" t="s">
        <v>3802</v>
      </c>
      <c r="B1278" s="22" t="s">
        <v>3803</v>
      </c>
      <c r="C1278" s="22" t="s">
        <v>3804</v>
      </c>
      <c r="D1278" s="22" t="s">
        <v>9</v>
      </c>
      <c r="E1278" s="22" t="s">
        <v>35</v>
      </c>
      <c r="F1278" s="22">
        <v>71.922</v>
      </c>
    </row>
    <row r="1279" spans="1:6">
      <c r="A1279" s="22" t="s">
        <v>3805</v>
      </c>
      <c r="B1279" s="22" t="s">
        <v>3806</v>
      </c>
      <c r="C1279" s="22" t="s">
        <v>3807</v>
      </c>
      <c r="D1279" s="22" t="s">
        <v>9</v>
      </c>
      <c r="E1279" s="22" t="s">
        <v>31</v>
      </c>
      <c r="F1279" s="22">
        <v>566.092</v>
      </c>
    </row>
    <row r="1280" spans="1:6">
      <c r="A1280" s="22" t="s">
        <v>3808</v>
      </c>
      <c r="B1280" s="22" t="s">
        <v>3809</v>
      </c>
      <c r="C1280" s="22" t="s">
        <v>3810</v>
      </c>
      <c r="D1280" s="22" t="s">
        <v>9</v>
      </c>
      <c r="E1280" s="22" t="s">
        <v>23</v>
      </c>
      <c r="F1280" s="22">
        <v>32.995</v>
      </c>
    </row>
    <row r="1281" spans="1:6">
      <c r="A1281" s="22" t="s">
        <v>3811</v>
      </c>
      <c r="B1281" s="22" t="s">
        <v>3812</v>
      </c>
      <c r="C1281" s="22" t="s">
        <v>3813</v>
      </c>
      <c r="D1281" s="22" t="s">
        <v>9</v>
      </c>
      <c r="E1281" s="22" t="s">
        <v>57</v>
      </c>
      <c r="F1281" s="22">
        <v>2.008</v>
      </c>
    </row>
    <row r="1282" spans="1:6">
      <c r="A1282" s="22" t="s">
        <v>3814</v>
      </c>
      <c r="B1282" s="22" t="s">
        <v>3815</v>
      </c>
      <c r="C1282" s="22" t="s">
        <v>3816</v>
      </c>
      <c r="D1282" s="22" t="s">
        <v>9</v>
      </c>
      <c r="E1282" s="22" t="s">
        <v>27</v>
      </c>
      <c r="F1282" s="22">
        <v>254.068</v>
      </c>
    </row>
    <row r="1283" spans="1:6">
      <c r="A1283" s="22" t="s">
        <v>3817</v>
      </c>
      <c r="B1283" s="22" t="s">
        <v>3818</v>
      </c>
      <c r="C1283" s="22" t="s">
        <v>3819</v>
      </c>
      <c r="D1283" s="22" t="s">
        <v>9</v>
      </c>
      <c r="E1283" s="22" t="s">
        <v>23</v>
      </c>
      <c r="F1283" s="22">
        <v>168.201</v>
      </c>
    </row>
    <row r="1284" spans="1:6">
      <c r="A1284" s="22" t="s">
        <v>3820</v>
      </c>
      <c r="B1284" s="22" t="s">
        <v>3821</v>
      </c>
      <c r="C1284" s="22" t="s">
        <v>3822</v>
      </c>
      <c r="D1284" s="22" t="s">
        <v>9</v>
      </c>
      <c r="E1284" s="22" t="s">
        <v>57</v>
      </c>
      <c r="F1284" s="22">
        <v>25.879</v>
      </c>
    </row>
    <row r="1285" spans="1:6">
      <c r="A1285" s="22" t="s">
        <v>3823</v>
      </c>
      <c r="B1285" s="22" t="s">
        <v>3824</v>
      </c>
      <c r="C1285" s="22" t="s">
        <v>3825</v>
      </c>
      <c r="D1285" s="22" t="s">
        <v>9</v>
      </c>
      <c r="E1285" s="22" t="s">
        <v>23</v>
      </c>
      <c r="F1285" s="22">
        <v>67.077</v>
      </c>
    </row>
    <row r="1286" spans="1:6">
      <c r="A1286" s="22" t="s">
        <v>3826</v>
      </c>
      <c r="B1286" s="22" t="s">
        <v>3827</v>
      </c>
      <c r="C1286" s="22" t="s">
        <v>3828</v>
      </c>
      <c r="D1286" s="22" t="s">
        <v>9</v>
      </c>
      <c r="E1286" s="22" t="s">
        <v>23</v>
      </c>
      <c r="F1286" s="22">
        <v>3442.489</v>
      </c>
    </row>
    <row r="1287" spans="1:6">
      <c r="A1287" s="22" t="s">
        <v>3829</v>
      </c>
      <c r="B1287" s="22" t="s">
        <v>3830</v>
      </c>
      <c r="C1287" s="22" t="s">
        <v>3831</v>
      </c>
      <c r="D1287" s="22" t="s">
        <v>9</v>
      </c>
      <c r="E1287" s="22" t="s">
        <v>23</v>
      </c>
      <c r="F1287" s="22">
        <v>199.853</v>
      </c>
    </row>
    <row r="1288" spans="1:6">
      <c r="A1288" s="22" t="s">
        <v>3832</v>
      </c>
      <c r="B1288" s="22" t="s">
        <v>3833</v>
      </c>
      <c r="C1288" s="22" t="s">
        <v>3834</v>
      </c>
      <c r="D1288" s="22" t="s">
        <v>9</v>
      </c>
      <c r="E1288" s="22" t="s">
        <v>50</v>
      </c>
      <c r="F1288" s="22">
        <v>48.786</v>
      </c>
    </row>
    <row r="1289" spans="1:6">
      <c r="A1289" s="22" t="s">
        <v>3835</v>
      </c>
      <c r="B1289" s="22" t="s">
        <v>3836</v>
      </c>
      <c r="C1289" s="22" t="s">
        <v>3837</v>
      </c>
      <c r="D1289" s="22" t="s">
        <v>9</v>
      </c>
      <c r="E1289" s="22" t="s">
        <v>23</v>
      </c>
      <c r="F1289" s="22">
        <v>260.474</v>
      </c>
    </row>
    <row r="1290" spans="1:6">
      <c r="A1290" s="22" t="s">
        <v>3838</v>
      </c>
      <c r="B1290" s="22" t="s">
        <v>3839</v>
      </c>
      <c r="C1290" s="22" t="s">
        <v>3840</v>
      </c>
      <c r="D1290" s="22" t="s">
        <v>9</v>
      </c>
      <c r="E1290" s="22" t="s">
        <v>23</v>
      </c>
      <c r="F1290" s="22">
        <v>1580.224</v>
      </c>
    </row>
    <row r="1291" spans="1:6">
      <c r="A1291" s="22" t="s">
        <v>3841</v>
      </c>
      <c r="B1291" s="22" t="s">
        <v>3842</v>
      </c>
      <c r="C1291" s="22" t="s">
        <v>3843</v>
      </c>
      <c r="D1291" s="22" t="s">
        <v>9</v>
      </c>
      <c r="E1291" s="22" t="s">
        <v>23</v>
      </c>
      <c r="F1291" s="22">
        <v>348.181</v>
      </c>
    </row>
    <row r="1292" spans="1:6">
      <c r="A1292" s="22" t="s">
        <v>3844</v>
      </c>
      <c r="B1292" s="22" t="s">
        <v>3845</v>
      </c>
      <c r="C1292" s="22" t="s">
        <v>3846</v>
      </c>
      <c r="D1292" s="22" t="s">
        <v>9</v>
      </c>
      <c r="E1292" s="22" t="s">
        <v>50</v>
      </c>
      <c r="F1292" s="22">
        <v>257.916</v>
      </c>
    </row>
    <row r="1293" spans="1:6">
      <c r="A1293" s="22" t="s">
        <v>3847</v>
      </c>
      <c r="B1293" s="22" t="s">
        <v>3848</v>
      </c>
      <c r="C1293" s="22" t="s">
        <v>3849</v>
      </c>
      <c r="D1293" s="22" t="s">
        <v>9</v>
      </c>
      <c r="E1293" s="22" t="s">
        <v>23</v>
      </c>
      <c r="F1293" s="22">
        <v>300.684</v>
      </c>
    </row>
    <row r="1294" spans="1:6">
      <c r="A1294" s="22" t="s">
        <v>3850</v>
      </c>
      <c r="B1294" s="22" t="s">
        <v>3851</v>
      </c>
      <c r="C1294" s="22" t="s">
        <v>3852</v>
      </c>
      <c r="D1294" s="22" t="s">
        <v>9</v>
      </c>
      <c r="E1294" s="22" t="s">
        <v>57</v>
      </c>
      <c r="F1294" s="22">
        <v>58.787</v>
      </c>
    </row>
    <row r="1295" spans="1:6">
      <c r="A1295" s="22" t="s">
        <v>3853</v>
      </c>
      <c r="B1295" s="22" t="s">
        <v>3854</v>
      </c>
      <c r="C1295" s="22" t="s">
        <v>1206</v>
      </c>
      <c r="D1295" s="22" t="s">
        <v>9</v>
      </c>
      <c r="E1295" s="22" t="s">
        <v>35</v>
      </c>
      <c r="F1295" s="22">
        <v>23.601</v>
      </c>
    </row>
    <row r="1296" spans="1:6">
      <c r="A1296" s="22" t="s">
        <v>3855</v>
      </c>
      <c r="B1296" s="22" t="s">
        <v>3856</v>
      </c>
      <c r="C1296" s="22" t="s">
        <v>3857</v>
      </c>
      <c r="D1296" s="22" t="s">
        <v>9</v>
      </c>
      <c r="E1296" s="22" t="s">
        <v>23</v>
      </c>
      <c r="F1296" s="22">
        <v>183.11</v>
      </c>
    </row>
    <row r="1297" spans="1:6">
      <c r="A1297" s="22" t="s">
        <v>3858</v>
      </c>
      <c r="B1297" s="22" t="s">
        <v>3859</v>
      </c>
      <c r="C1297" s="22" t="s">
        <v>3860</v>
      </c>
      <c r="D1297" s="22" t="s">
        <v>9</v>
      </c>
      <c r="E1297" s="22" t="s">
        <v>27</v>
      </c>
      <c r="F1297" s="22">
        <v>265.398</v>
      </c>
    </row>
    <row r="1298" spans="1:6">
      <c r="A1298" s="22" t="s">
        <v>3861</v>
      </c>
      <c r="B1298" s="22" t="s">
        <v>3862</v>
      </c>
      <c r="C1298" s="22" t="s">
        <v>3863</v>
      </c>
      <c r="D1298" s="22" t="s">
        <v>9</v>
      </c>
      <c r="E1298" s="22" t="s">
        <v>27</v>
      </c>
      <c r="F1298" s="22">
        <v>350.216</v>
      </c>
    </row>
    <row r="1299" spans="1:6">
      <c r="A1299" s="22" t="s">
        <v>3864</v>
      </c>
      <c r="B1299" s="22" t="s">
        <v>996</v>
      </c>
      <c r="C1299" s="22" t="s">
        <v>3865</v>
      </c>
      <c r="D1299" s="22" t="s">
        <v>9</v>
      </c>
      <c r="E1299" s="22" t="s">
        <v>27</v>
      </c>
      <c r="F1299" s="22">
        <v>107.428</v>
      </c>
    </row>
    <row r="1300" spans="1:6">
      <c r="A1300" s="22" t="s">
        <v>3866</v>
      </c>
      <c r="B1300" s="22" t="s">
        <v>3867</v>
      </c>
      <c r="C1300" s="22" t="s">
        <v>3868</v>
      </c>
      <c r="D1300" s="22" t="s">
        <v>9</v>
      </c>
      <c r="E1300" s="22" t="s">
        <v>27</v>
      </c>
      <c r="F1300" s="22">
        <v>437.959</v>
      </c>
    </row>
    <row r="1301" spans="1:6">
      <c r="A1301" s="22" t="s">
        <v>3869</v>
      </c>
      <c r="B1301" s="22" t="s">
        <v>3870</v>
      </c>
      <c r="C1301" s="22" t="s">
        <v>3871</v>
      </c>
      <c r="D1301" s="22" t="s">
        <v>9</v>
      </c>
      <c r="E1301" s="22" t="s">
        <v>14</v>
      </c>
      <c r="F1301" s="22">
        <v>125.39</v>
      </c>
    </row>
    <row r="1302" spans="1:6">
      <c r="A1302" s="22" t="s">
        <v>3872</v>
      </c>
      <c r="B1302" s="22" t="s">
        <v>3873</v>
      </c>
      <c r="C1302" s="22" t="s">
        <v>3874</v>
      </c>
      <c r="D1302" s="22" t="s">
        <v>9</v>
      </c>
      <c r="E1302" s="22" t="s">
        <v>27</v>
      </c>
      <c r="F1302" s="22">
        <v>58.833</v>
      </c>
    </row>
    <row r="1303" spans="1:6">
      <c r="A1303" s="22" t="s">
        <v>3875</v>
      </c>
      <c r="B1303" s="22" t="s">
        <v>3876</v>
      </c>
      <c r="C1303" s="22" t="s">
        <v>3877</v>
      </c>
      <c r="D1303" s="22" t="s">
        <v>9</v>
      </c>
      <c r="E1303" s="22" t="s">
        <v>23</v>
      </c>
      <c r="F1303" s="22">
        <v>21742.33</v>
      </c>
    </row>
    <row r="1304" spans="1:6">
      <c r="A1304" s="22" t="s">
        <v>3878</v>
      </c>
      <c r="B1304" s="22" t="s">
        <v>3879</v>
      </c>
      <c r="C1304" s="22" t="s">
        <v>3880</v>
      </c>
      <c r="D1304" s="22" t="s">
        <v>9</v>
      </c>
      <c r="E1304" s="22" t="s">
        <v>27</v>
      </c>
      <c r="F1304" s="22">
        <v>910.493</v>
      </c>
    </row>
    <row r="1305" spans="1:6">
      <c r="A1305" s="22" t="s">
        <v>3881</v>
      </c>
      <c r="B1305" s="22" t="s">
        <v>3882</v>
      </c>
      <c r="C1305" s="22" t="s">
        <v>3883</v>
      </c>
      <c r="D1305" s="22" t="s">
        <v>9</v>
      </c>
      <c r="E1305" s="22" t="s">
        <v>23</v>
      </c>
      <c r="F1305" s="22">
        <v>12.489</v>
      </c>
    </row>
    <row r="1306" spans="1:6">
      <c r="A1306" s="22" t="s">
        <v>3884</v>
      </c>
      <c r="B1306" s="22" t="s">
        <v>3885</v>
      </c>
      <c r="C1306" s="22" t="s">
        <v>3886</v>
      </c>
      <c r="D1306" s="22" t="s">
        <v>9</v>
      </c>
      <c r="E1306" s="22" t="s">
        <v>31</v>
      </c>
      <c r="F1306" s="22">
        <v>501.441</v>
      </c>
    </row>
    <row r="1307" spans="1:6">
      <c r="A1307" s="22" t="s">
        <v>3887</v>
      </c>
      <c r="B1307" s="22" t="s">
        <v>3888</v>
      </c>
      <c r="C1307" s="22" t="s">
        <v>3889</v>
      </c>
      <c r="D1307" s="22" t="s">
        <v>9</v>
      </c>
      <c r="E1307" s="22" t="s">
        <v>39</v>
      </c>
      <c r="F1307" s="22">
        <v>2980.415</v>
      </c>
    </row>
    <row r="1308" spans="1:6">
      <c r="A1308" s="22" t="s">
        <v>3890</v>
      </c>
      <c r="B1308" s="22" t="s">
        <v>3891</v>
      </c>
      <c r="C1308" s="22" t="s">
        <v>3892</v>
      </c>
      <c r="D1308" s="22" t="s">
        <v>9</v>
      </c>
      <c r="E1308" s="22" t="s">
        <v>35</v>
      </c>
      <c r="F1308" s="22">
        <v>150.951</v>
      </c>
    </row>
    <row r="1309" spans="1:6">
      <c r="A1309" s="22" t="s">
        <v>3893</v>
      </c>
      <c r="B1309" s="22" t="s">
        <v>3894</v>
      </c>
      <c r="C1309" s="22" t="s">
        <v>3895</v>
      </c>
      <c r="D1309" s="22" t="s">
        <v>9</v>
      </c>
      <c r="E1309" s="22" t="s">
        <v>23</v>
      </c>
      <c r="F1309" s="22">
        <v>56.869</v>
      </c>
    </row>
    <row r="1310" spans="1:6">
      <c r="A1310" s="22" t="s">
        <v>3896</v>
      </c>
      <c r="B1310" s="22" t="s">
        <v>3897</v>
      </c>
      <c r="C1310" s="22" t="s">
        <v>3898</v>
      </c>
      <c r="D1310" s="22" t="s">
        <v>9</v>
      </c>
      <c r="E1310" s="22" t="s">
        <v>27</v>
      </c>
      <c r="F1310" s="22">
        <v>2391.968</v>
      </c>
    </row>
    <row r="1311" spans="1:6">
      <c r="A1311" s="22" t="s">
        <v>3899</v>
      </c>
      <c r="B1311" s="22" t="s">
        <v>3900</v>
      </c>
      <c r="C1311" s="22" t="s">
        <v>3901</v>
      </c>
      <c r="D1311" s="22" t="s">
        <v>9</v>
      </c>
      <c r="E1311" s="22" t="s">
        <v>50</v>
      </c>
      <c r="F1311" s="22">
        <v>17.259</v>
      </c>
    </row>
    <row r="1312" spans="1:6">
      <c r="A1312" s="22" t="s">
        <v>3902</v>
      </c>
      <c r="B1312" s="22" t="s">
        <v>3903</v>
      </c>
      <c r="C1312" s="22" t="s">
        <v>3904</v>
      </c>
      <c r="D1312" s="22" t="s">
        <v>9</v>
      </c>
      <c r="E1312" s="22" t="s">
        <v>23</v>
      </c>
      <c r="F1312" s="22">
        <v>191.545</v>
      </c>
    </row>
    <row r="1313" spans="1:6">
      <c r="A1313" s="22" t="s">
        <v>3905</v>
      </c>
      <c r="B1313" s="22" t="s">
        <v>3906</v>
      </c>
      <c r="C1313" s="22" t="s">
        <v>3907</v>
      </c>
      <c r="D1313" s="22" t="s">
        <v>9</v>
      </c>
      <c r="E1313" s="22" t="s">
        <v>23</v>
      </c>
      <c r="F1313" s="22">
        <v>125.939</v>
      </c>
    </row>
    <row r="1314" spans="1:6">
      <c r="A1314" s="22" t="s">
        <v>3908</v>
      </c>
      <c r="B1314" s="22" t="s">
        <v>3909</v>
      </c>
      <c r="C1314" s="22" t="s">
        <v>3910</v>
      </c>
      <c r="D1314" s="22" t="s">
        <v>9</v>
      </c>
      <c r="E1314" s="22" t="s">
        <v>31</v>
      </c>
      <c r="F1314" s="22">
        <v>727.649</v>
      </c>
    </row>
    <row r="1315" spans="1:6">
      <c r="A1315" s="22" t="s">
        <v>3911</v>
      </c>
      <c r="B1315" s="22" t="s">
        <v>3912</v>
      </c>
      <c r="C1315" s="22" t="s">
        <v>3913</v>
      </c>
      <c r="D1315" s="22" t="s">
        <v>9</v>
      </c>
      <c r="E1315" s="22" t="s">
        <v>23</v>
      </c>
      <c r="F1315" s="22">
        <v>5.157</v>
      </c>
    </row>
    <row r="1316" spans="1:6">
      <c r="A1316" s="22" t="s">
        <v>3914</v>
      </c>
      <c r="B1316" s="22" t="s">
        <v>3915</v>
      </c>
      <c r="C1316" s="22" t="s">
        <v>3916</v>
      </c>
      <c r="D1316" s="22" t="s">
        <v>9</v>
      </c>
      <c r="E1316" s="22" t="s">
        <v>50</v>
      </c>
      <c r="F1316" s="22">
        <v>25.388</v>
      </c>
    </row>
    <row r="1317" spans="1:6">
      <c r="A1317" s="22" t="s">
        <v>3917</v>
      </c>
      <c r="B1317" s="22" t="s">
        <v>3918</v>
      </c>
      <c r="C1317" s="22" t="s">
        <v>3919</v>
      </c>
      <c r="D1317" s="22" t="s">
        <v>9</v>
      </c>
      <c r="E1317" s="22" t="s">
        <v>23</v>
      </c>
      <c r="F1317" s="22">
        <v>6402.447</v>
      </c>
    </row>
    <row r="1318" spans="1:6">
      <c r="A1318" s="22" t="s">
        <v>3920</v>
      </c>
      <c r="B1318" s="22" t="s">
        <v>3921</v>
      </c>
      <c r="C1318" s="22" t="s">
        <v>3922</v>
      </c>
      <c r="D1318" s="22" t="s">
        <v>9</v>
      </c>
      <c r="E1318" s="22" t="s">
        <v>23</v>
      </c>
      <c r="F1318" s="22">
        <v>6262.503</v>
      </c>
    </row>
    <row r="1319" spans="1:6">
      <c r="A1319" s="22" t="s">
        <v>3923</v>
      </c>
      <c r="B1319" s="22" t="s">
        <v>3924</v>
      </c>
      <c r="C1319" s="22" t="s">
        <v>3925</v>
      </c>
      <c r="D1319" s="22" t="s">
        <v>9</v>
      </c>
      <c r="E1319" s="22" t="s">
        <v>23</v>
      </c>
      <c r="F1319" s="22">
        <v>436.957</v>
      </c>
    </row>
    <row r="1320" spans="1:6">
      <c r="A1320" s="22" t="s">
        <v>3926</v>
      </c>
      <c r="B1320" s="22" t="s">
        <v>3927</v>
      </c>
      <c r="C1320" s="22" t="s">
        <v>3928</v>
      </c>
      <c r="D1320" s="22" t="s">
        <v>9</v>
      </c>
      <c r="E1320" s="22" t="s">
        <v>35</v>
      </c>
    </row>
    <row r="1321" spans="1:6">
      <c r="A1321" s="22" t="s">
        <v>3929</v>
      </c>
      <c r="B1321" s="22" t="s">
        <v>3930</v>
      </c>
      <c r="C1321" s="22" t="s">
        <v>3931</v>
      </c>
      <c r="D1321" s="22" t="s">
        <v>9</v>
      </c>
      <c r="E1321" s="22" t="s">
        <v>23</v>
      </c>
      <c r="F1321" s="22">
        <v>6876.119</v>
      </c>
    </row>
    <row r="1322" spans="1:6">
      <c r="A1322" s="22" t="s">
        <v>3932</v>
      </c>
      <c r="B1322" s="22" t="s">
        <v>3933</v>
      </c>
      <c r="C1322" s="22" t="s">
        <v>3934</v>
      </c>
      <c r="D1322" s="22" t="s">
        <v>9</v>
      </c>
      <c r="E1322" s="22" t="s">
        <v>23</v>
      </c>
      <c r="F1322" s="22">
        <v>36407.125</v>
      </c>
    </row>
    <row r="1323" spans="1:6">
      <c r="A1323" s="22" t="s">
        <v>3935</v>
      </c>
      <c r="B1323" s="22" t="s">
        <v>3936</v>
      </c>
      <c r="C1323" s="22" t="s">
        <v>1206</v>
      </c>
      <c r="D1323" s="22" t="s">
        <v>9</v>
      </c>
      <c r="E1323" s="22" t="s">
        <v>35</v>
      </c>
      <c r="F1323" s="22">
        <v>24.589</v>
      </c>
    </row>
    <row r="1324" spans="1:6">
      <c r="A1324" s="22" t="s">
        <v>3937</v>
      </c>
      <c r="B1324" s="22" t="s">
        <v>3938</v>
      </c>
      <c r="C1324" s="22" t="s">
        <v>3939</v>
      </c>
      <c r="D1324" s="22" t="s">
        <v>9</v>
      </c>
      <c r="E1324" s="22" t="s">
        <v>23</v>
      </c>
      <c r="F1324" s="22">
        <v>44.694</v>
      </c>
    </row>
    <row r="1325" spans="1:6">
      <c r="A1325" s="22" t="s">
        <v>3940</v>
      </c>
      <c r="B1325" s="22" t="s">
        <v>3941</v>
      </c>
      <c r="C1325" s="22" t="s">
        <v>3942</v>
      </c>
      <c r="D1325" s="22" t="s">
        <v>9</v>
      </c>
      <c r="E1325" s="22" t="s">
        <v>27</v>
      </c>
      <c r="F1325" s="22">
        <v>744.48</v>
      </c>
    </row>
    <row r="1326" spans="1:6">
      <c r="A1326" s="22" t="s">
        <v>3943</v>
      </c>
      <c r="B1326" s="22" t="s">
        <v>3944</v>
      </c>
      <c r="C1326" s="22" t="s">
        <v>3945</v>
      </c>
      <c r="D1326" s="22" t="s">
        <v>9</v>
      </c>
      <c r="E1326" s="22" t="s">
        <v>23</v>
      </c>
      <c r="F1326" s="22">
        <v>390.743</v>
      </c>
    </row>
    <row r="1327" spans="1:6">
      <c r="A1327" s="22" t="s">
        <v>3946</v>
      </c>
      <c r="B1327" s="22" t="s">
        <v>3947</v>
      </c>
      <c r="C1327" s="22" t="s">
        <v>3948</v>
      </c>
      <c r="D1327" s="22" t="s">
        <v>9</v>
      </c>
      <c r="E1327" s="22" t="s">
        <v>23</v>
      </c>
      <c r="F1327" s="22">
        <v>905.977</v>
      </c>
    </row>
    <row r="1328" spans="1:6">
      <c r="A1328" s="22" t="s">
        <v>3949</v>
      </c>
      <c r="B1328" s="22" t="s">
        <v>3950</v>
      </c>
      <c r="C1328" s="22" t="s">
        <v>3951</v>
      </c>
      <c r="D1328" s="22" t="s">
        <v>9</v>
      </c>
      <c r="E1328" s="22" t="s">
        <v>23</v>
      </c>
      <c r="F1328" s="22">
        <v>3319.63</v>
      </c>
    </row>
    <row r="1329" spans="1:6">
      <c r="A1329" s="22" t="s">
        <v>3952</v>
      </c>
      <c r="B1329" s="22" t="s">
        <v>3953</v>
      </c>
      <c r="C1329" s="22" t="s">
        <v>3954</v>
      </c>
      <c r="D1329" s="22" t="s">
        <v>9</v>
      </c>
      <c r="E1329" s="22" t="s">
        <v>31</v>
      </c>
      <c r="F1329" s="22">
        <v>520.482</v>
      </c>
    </row>
    <row r="1330" spans="1:6">
      <c r="A1330" s="22" t="s">
        <v>3955</v>
      </c>
      <c r="B1330" s="22" t="s">
        <v>3956</v>
      </c>
      <c r="C1330" s="22" t="s">
        <v>3957</v>
      </c>
      <c r="D1330" s="22" t="s">
        <v>9</v>
      </c>
      <c r="E1330" s="22" t="s">
        <v>27</v>
      </c>
      <c r="F1330" s="22">
        <v>31.794</v>
      </c>
    </row>
    <row r="1331" spans="1:6">
      <c r="A1331" s="22" t="s">
        <v>3958</v>
      </c>
      <c r="B1331" s="22" t="s">
        <v>3959</v>
      </c>
      <c r="C1331" s="22" t="s">
        <v>3960</v>
      </c>
      <c r="D1331" s="22" t="s">
        <v>9</v>
      </c>
      <c r="E1331" s="22" t="s">
        <v>23</v>
      </c>
      <c r="F1331" s="22">
        <v>9149.655</v>
      </c>
    </row>
    <row r="1332" spans="1:6">
      <c r="A1332" s="22" t="s">
        <v>3961</v>
      </c>
      <c r="B1332" s="22" t="s">
        <v>3962</v>
      </c>
      <c r="C1332" s="22" t="s">
        <v>3963</v>
      </c>
      <c r="D1332" s="22" t="s">
        <v>9</v>
      </c>
      <c r="E1332" s="22" t="s">
        <v>23</v>
      </c>
      <c r="F1332" s="22">
        <v>211.615</v>
      </c>
    </row>
    <row r="1333" spans="1:6">
      <c r="A1333" s="22" t="s">
        <v>3964</v>
      </c>
      <c r="B1333" s="22" t="s">
        <v>3965</v>
      </c>
      <c r="C1333" s="22" t="s">
        <v>3966</v>
      </c>
      <c r="D1333" s="22" t="s">
        <v>9</v>
      </c>
      <c r="E1333" s="22" t="s">
        <v>35</v>
      </c>
      <c r="F1333" s="22">
        <v>1021.133</v>
      </c>
    </row>
    <row r="1334" spans="1:6">
      <c r="A1334" s="22" t="s">
        <v>3967</v>
      </c>
      <c r="B1334" s="22" t="s">
        <v>3968</v>
      </c>
      <c r="C1334" s="22" t="s">
        <v>3969</v>
      </c>
      <c r="D1334" s="22" t="s">
        <v>9</v>
      </c>
      <c r="E1334" s="22" t="s">
        <v>23</v>
      </c>
      <c r="F1334" s="22">
        <v>2558.531</v>
      </c>
    </row>
    <row r="1335" spans="1:6">
      <c r="A1335" s="22" t="s">
        <v>3970</v>
      </c>
      <c r="B1335" s="22" t="s">
        <v>3971</v>
      </c>
      <c r="C1335" s="22" t="s">
        <v>3972</v>
      </c>
      <c r="D1335" s="22" t="s">
        <v>9</v>
      </c>
      <c r="E1335" s="22" t="s">
        <v>23</v>
      </c>
      <c r="F1335" s="22">
        <v>36.902</v>
      </c>
    </row>
    <row r="1336" spans="1:6">
      <c r="A1336" s="22" t="s">
        <v>3973</v>
      </c>
      <c r="B1336" s="22" t="s">
        <v>3974</v>
      </c>
      <c r="C1336" s="22" t="s">
        <v>3975</v>
      </c>
      <c r="D1336" s="22" t="s">
        <v>9</v>
      </c>
      <c r="E1336" s="22" t="s">
        <v>23</v>
      </c>
      <c r="F1336" s="22">
        <v>263.366</v>
      </c>
    </row>
    <row r="1337" spans="1:6">
      <c r="A1337" s="22" t="s">
        <v>3976</v>
      </c>
      <c r="B1337" s="22" t="s">
        <v>3977</v>
      </c>
      <c r="C1337" s="22" t="s">
        <v>3978</v>
      </c>
      <c r="D1337" s="22" t="s">
        <v>9</v>
      </c>
      <c r="E1337" s="22" t="s">
        <v>23</v>
      </c>
      <c r="F1337" s="22">
        <v>40869.16</v>
      </c>
    </row>
    <row r="1338" spans="1:6">
      <c r="A1338" s="22" t="s">
        <v>3979</v>
      </c>
      <c r="B1338" s="22" t="s">
        <v>3980</v>
      </c>
      <c r="C1338" s="22" t="s">
        <v>3981</v>
      </c>
      <c r="D1338" s="22" t="s">
        <v>9</v>
      </c>
      <c r="E1338" s="22" t="s">
        <v>27</v>
      </c>
      <c r="F1338" s="22">
        <v>24.825</v>
      </c>
    </row>
    <row r="1339" spans="1:6">
      <c r="A1339" s="22" t="s">
        <v>3982</v>
      </c>
      <c r="B1339" s="22" t="s">
        <v>3983</v>
      </c>
      <c r="C1339" s="22" t="s">
        <v>3984</v>
      </c>
      <c r="D1339" s="22" t="s">
        <v>9</v>
      </c>
      <c r="E1339" s="22" t="s">
        <v>23</v>
      </c>
      <c r="F1339" s="22">
        <v>34.838</v>
      </c>
    </row>
    <row r="1340" spans="1:6">
      <c r="A1340" s="22" t="s">
        <v>3985</v>
      </c>
      <c r="B1340" s="22" t="s">
        <v>3986</v>
      </c>
      <c r="C1340" s="22" t="s">
        <v>3987</v>
      </c>
      <c r="D1340" s="22" t="s">
        <v>9</v>
      </c>
      <c r="E1340" s="22" t="s">
        <v>27</v>
      </c>
      <c r="F1340" s="22">
        <v>22.609</v>
      </c>
    </row>
    <row r="1341" spans="1:6">
      <c r="A1341" s="22" t="s">
        <v>3988</v>
      </c>
      <c r="B1341" s="22" t="s">
        <v>3989</v>
      </c>
      <c r="C1341" s="22" t="s">
        <v>3990</v>
      </c>
      <c r="D1341" s="22" t="s">
        <v>9</v>
      </c>
      <c r="E1341" s="22" t="s">
        <v>23</v>
      </c>
      <c r="F1341" s="22">
        <v>85.84</v>
      </c>
    </row>
    <row r="1342" spans="1:6">
      <c r="A1342" s="22" t="s">
        <v>3991</v>
      </c>
      <c r="B1342" s="22" t="s">
        <v>3992</v>
      </c>
      <c r="C1342" s="22" t="s">
        <v>3993</v>
      </c>
      <c r="D1342" s="22" t="s">
        <v>9</v>
      </c>
      <c r="E1342" s="22" t="s">
        <v>23</v>
      </c>
      <c r="F1342" s="22">
        <v>1404.153</v>
      </c>
    </row>
    <row r="1343" spans="1:6">
      <c r="A1343" s="22" t="s">
        <v>3994</v>
      </c>
      <c r="B1343" s="22" t="s">
        <v>3995</v>
      </c>
      <c r="C1343" s="22" t="s">
        <v>3996</v>
      </c>
      <c r="D1343" s="22" t="s">
        <v>9</v>
      </c>
      <c r="E1343" s="22" t="s">
        <v>27</v>
      </c>
      <c r="F1343" s="22">
        <v>1644.009</v>
      </c>
    </row>
    <row r="1344" spans="1:6">
      <c r="A1344" s="22" t="s">
        <v>3997</v>
      </c>
      <c r="B1344" s="22" t="s">
        <v>3998</v>
      </c>
      <c r="C1344" s="22" t="s">
        <v>3999</v>
      </c>
      <c r="D1344" s="22" t="s">
        <v>9</v>
      </c>
      <c r="E1344" s="22" t="s">
        <v>50</v>
      </c>
      <c r="F1344" s="22">
        <v>67.287</v>
      </c>
    </row>
    <row r="1345" spans="1:6">
      <c r="A1345" s="22" t="s">
        <v>4000</v>
      </c>
      <c r="B1345" s="22" t="s">
        <v>4001</v>
      </c>
      <c r="C1345" s="22" t="s">
        <v>4002</v>
      </c>
      <c r="D1345" s="22" t="s">
        <v>9</v>
      </c>
      <c r="E1345" s="22" t="s">
        <v>31</v>
      </c>
      <c r="F1345" s="22">
        <v>213.705</v>
      </c>
    </row>
    <row r="1346" spans="1:6">
      <c r="A1346" s="22" t="s">
        <v>4003</v>
      </c>
      <c r="B1346" s="22" t="s">
        <v>4004</v>
      </c>
      <c r="C1346" s="22" t="s">
        <v>4005</v>
      </c>
      <c r="D1346" s="22" t="s">
        <v>9</v>
      </c>
      <c r="E1346" s="22" t="s">
        <v>23</v>
      </c>
      <c r="F1346" s="22">
        <v>486.076</v>
      </c>
    </row>
    <row r="1347" spans="1:6">
      <c r="A1347" s="22" t="s">
        <v>4006</v>
      </c>
      <c r="B1347" s="22" t="s">
        <v>4007</v>
      </c>
      <c r="C1347" s="22" t="s">
        <v>4008</v>
      </c>
      <c r="D1347" s="22" t="s">
        <v>9</v>
      </c>
      <c r="E1347" s="22" t="s">
        <v>23</v>
      </c>
      <c r="F1347" s="22">
        <v>7328.101</v>
      </c>
    </row>
    <row r="1348" spans="1:6">
      <c r="A1348" s="22" t="s">
        <v>4009</v>
      </c>
      <c r="B1348" s="22" t="s">
        <v>4010</v>
      </c>
      <c r="C1348" s="22" t="s">
        <v>4011</v>
      </c>
      <c r="D1348" s="22" t="s">
        <v>9</v>
      </c>
      <c r="E1348" s="22" t="s">
        <v>23</v>
      </c>
      <c r="F1348" s="22">
        <v>670.569</v>
      </c>
    </row>
    <row r="1349" spans="1:6">
      <c r="A1349" s="22" t="s">
        <v>4012</v>
      </c>
      <c r="B1349" s="22" t="s">
        <v>4013</v>
      </c>
      <c r="C1349" s="22" t="s">
        <v>4014</v>
      </c>
      <c r="D1349" s="22" t="s">
        <v>9</v>
      </c>
      <c r="E1349" s="22" t="s">
        <v>23</v>
      </c>
      <c r="F1349" s="22">
        <v>115.68</v>
      </c>
    </row>
    <row r="1350" spans="1:6">
      <c r="A1350" s="22" t="s">
        <v>4015</v>
      </c>
      <c r="B1350" s="22" t="s">
        <v>4016</v>
      </c>
      <c r="C1350" s="22" t="s">
        <v>4017</v>
      </c>
      <c r="D1350" s="22" t="s">
        <v>9</v>
      </c>
      <c r="E1350" s="22" t="s">
        <v>35</v>
      </c>
      <c r="F1350" s="22">
        <v>197.652</v>
      </c>
    </row>
    <row r="1351" spans="1:6">
      <c r="A1351" s="22" t="s">
        <v>4018</v>
      </c>
      <c r="B1351" s="22" t="s">
        <v>3013</v>
      </c>
      <c r="C1351" s="22" t="s">
        <v>4019</v>
      </c>
      <c r="D1351" s="22" t="s">
        <v>9</v>
      </c>
      <c r="E1351" s="22" t="s">
        <v>44</v>
      </c>
      <c r="F1351" s="22">
        <v>77.306</v>
      </c>
    </row>
    <row r="1352" spans="1:6">
      <c r="A1352" s="22" t="s">
        <v>4020</v>
      </c>
      <c r="B1352" s="22" t="s">
        <v>4021</v>
      </c>
      <c r="C1352" s="22" t="s">
        <v>4022</v>
      </c>
      <c r="D1352" s="22" t="s">
        <v>9</v>
      </c>
      <c r="E1352" s="22" t="s">
        <v>23</v>
      </c>
      <c r="F1352" s="22">
        <v>310.137</v>
      </c>
    </row>
    <row r="1353" spans="1:6">
      <c r="A1353" s="22" t="s">
        <v>4023</v>
      </c>
      <c r="B1353" s="22" t="s">
        <v>4024</v>
      </c>
      <c r="C1353" s="22" t="s">
        <v>4025</v>
      </c>
      <c r="D1353" s="22" t="s">
        <v>9</v>
      </c>
      <c r="E1353" s="22" t="s">
        <v>61</v>
      </c>
      <c r="F1353" s="22">
        <v>19.418</v>
      </c>
    </row>
    <row r="1354" spans="1:6">
      <c r="A1354" s="22" t="s">
        <v>4026</v>
      </c>
      <c r="B1354" s="22" t="s">
        <v>4027</v>
      </c>
      <c r="C1354" s="22" t="s">
        <v>4028</v>
      </c>
      <c r="D1354" s="22" t="s">
        <v>9</v>
      </c>
      <c r="E1354" s="22" t="s">
        <v>23</v>
      </c>
      <c r="F1354" s="22">
        <v>132.99</v>
      </c>
    </row>
    <row r="1355" spans="1:6">
      <c r="A1355" s="22" t="s">
        <v>4029</v>
      </c>
      <c r="B1355" s="22" t="s">
        <v>4030</v>
      </c>
      <c r="C1355" s="22" t="s">
        <v>4031</v>
      </c>
      <c r="D1355" s="22" t="s">
        <v>9</v>
      </c>
      <c r="E1355" s="22" t="s">
        <v>23</v>
      </c>
      <c r="F1355" s="22">
        <v>239.668</v>
      </c>
    </row>
    <row r="1356" spans="1:6">
      <c r="A1356" s="22" t="s">
        <v>4032</v>
      </c>
      <c r="B1356" s="22" t="s">
        <v>4033</v>
      </c>
      <c r="C1356" s="22" t="s">
        <v>4034</v>
      </c>
      <c r="D1356" s="22" t="s">
        <v>9</v>
      </c>
      <c r="E1356" s="22" t="s">
        <v>39</v>
      </c>
    </row>
    <row r="1357" spans="1:6">
      <c r="A1357" s="22" t="s">
        <v>4035</v>
      </c>
      <c r="B1357" s="22" t="s">
        <v>4036</v>
      </c>
      <c r="C1357" s="22" t="s">
        <v>4037</v>
      </c>
      <c r="D1357" s="22" t="s">
        <v>9</v>
      </c>
      <c r="E1357" s="22" t="s">
        <v>23</v>
      </c>
      <c r="F1357" s="22">
        <v>111.612</v>
      </c>
    </row>
    <row r="1358" spans="1:6">
      <c r="A1358" s="22" t="s">
        <v>4038</v>
      </c>
      <c r="B1358" s="22" t="s">
        <v>4039</v>
      </c>
      <c r="C1358" s="22" t="s">
        <v>4040</v>
      </c>
      <c r="D1358" s="22" t="s">
        <v>9</v>
      </c>
      <c r="E1358" s="22" t="s">
        <v>23</v>
      </c>
      <c r="F1358" s="22">
        <v>1394.514</v>
      </c>
    </row>
    <row r="1359" spans="1:6">
      <c r="A1359" s="22" t="s">
        <v>4041</v>
      </c>
      <c r="B1359" s="22" t="s">
        <v>4042</v>
      </c>
      <c r="C1359" s="22" t="s">
        <v>4043</v>
      </c>
      <c r="D1359" s="22" t="s">
        <v>9</v>
      </c>
      <c r="E1359" s="22" t="s">
        <v>23</v>
      </c>
      <c r="F1359" s="22">
        <v>18.338</v>
      </c>
    </row>
    <row r="1360" spans="1:6">
      <c r="A1360" s="22" t="s">
        <v>4044</v>
      </c>
      <c r="B1360" s="22" t="s">
        <v>4045</v>
      </c>
      <c r="C1360" s="22" t="s">
        <v>4046</v>
      </c>
      <c r="D1360" s="22" t="s">
        <v>9</v>
      </c>
      <c r="E1360" s="22" t="s">
        <v>50</v>
      </c>
      <c r="F1360" s="22">
        <v>130.808</v>
      </c>
    </row>
    <row r="1361" spans="1:6">
      <c r="A1361" s="22" t="s">
        <v>4047</v>
      </c>
      <c r="B1361" s="22" t="s">
        <v>4048</v>
      </c>
      <c r="C1361" s="22" t="s">
        <v>4049</v>
      </c>
      <c r="D1361" s="22" t="s">
        <v>9</v>
      </c>
      <c r="E1361" s="22" t="s">
        <v>23</v>
      </c>
      <c r="F1361" s="22">
        <v>10077.925</v>
      </c>
    </row>
    <row r="1362" spans="1:6">
      <c r="A1362" s="22" t="s">
        <v>4050</v>
      </c>
      <c r="B1362" s="22" t="s">
        <v>4051</v>
      </c>
      <c r="C1362" s="22" t="s">
        <v>4052</v>
      </c>
      <c r="D1362" s="22" t="s">
        <v>9</v>
      </c>
      <c r="E1362" s="22" t="s">
        <v>50</v>
      </c>
      <c r="F1362" s="22">
        <v>2503.83</v>
      </c>
    </row>
    <row r="1363" spans="1:6">
      <c r="A1363" s="22" t="s">
        <v>4053</v>
      </c>
      <c r="B1363" s="22" t="s">
        <v>4054</v>
      </c>
      <c r="C1363" s="22" t="s">
        <v>4055</v>
      </c>
      <c r="D1363" s="22" t="s">
        <v>9</v>
      </c>
      <c r="E1363" s="22" t="s">
        <v>35</v>
      </c>
      <c r="F1363" s="22">
        <v>7.403</v>
      </c>
    </row>
    <row r="1364" spans="1:6">
      <c r="A1364" s="22" t="s">
        <v>4056</v>
      </c>
      <c r="B1364" s="22" t="s">
        <v>4057</v>
      </c>
      <c r="C1364" s="22" t="s">
        <v>4058</v>
      </c>
      <c r="D1364" s="22" t="s">
        <v>9</v>
      </c>
      <c r="E1364" s="22" t="s">
        <v>57</v>
      </c>
      <c r="F1364" s="22">
        <v>65.784</v>
      </c>
    </row>
    <row r="1365" spans="1:6">
      <c r="A1365" s="22" t="s">
        <v>4059</v>
      </c>
      <c r="B1365" s="22" t="s">
        <v>4060</v>
      </c>
      <c r="C1365" s="22" t="s">
        <v>4061</v>
      </c>
      <c r="D1365" s="22" t="s">
        <v>9</v>
      </c>
      <c r="E1365" s="22" t="s">
        <v>23</v>
      </c>
      <c r="F1365" s="22">
        <v>1313.258</v>
      </c>
    </row>
    <row r="1366" spans="1:6">
      <c r="A1366" s="22" t="s">
        <v>4062</v>
      </c>
      <c r="B1366" s="22" t="s">
        <v>4063</v>
      </c>
      <c r="C1366" s="22" t="s">
        <v>4064</v>
      </c>
      <c r="D1366" s="22" t="s">
        <v>9</v>
      </c>
      <c r="E1366" s="22" t="s">
        <v>23</v>
      </c>
      <c r="F1366" s="22">
        <v>1907.693</v>
      </c>
    </row>
    <row r="1367" spans="1:6">
      <c r="A1367" s="22" t="s">
        <v>4065</v>
      </c>
      <c r="B1367" s="22" t="s">
        <v>4066</v>
      </c>
      <c r="C1367" s="22" t="s">
        <v>4067</v>
      </c>
      <c r="D1367" s="22" t="s">
        <v>9</v>
      </c>
      <c r="E1367" s="22" t="s">
        <v>23</v>
      </c>
      <c r="F1367" s="22">
        <v>43.099</v>
      </c>
    </row>
    <row r="1368" spans="1:6">
      <c r="A1368" s="22" t="s">
        <v>4068</v>
      </c>
      <c r="B1368" s="22" t="s">
        <v>4069</v>
      </c>
      <c r="C1368" s="22" t="s">
        <v>4070</v>
      </c>
      <c r="D1368" s="22" t="s">
        <v>9</v>
      </c>
      <c r="E1368" s="22" t="s">
        <v>27</v>
      </c>
      <c r="F1368" s="22">
        <v>5826.294</v>
      </c>
    </row>
    <row r="1369" spans="1:6">
      <c r="A1369" s="22" t="s">
        <v>4071</v>
      </c>
      <c r="B1369" s="22" t="s">
        <v>4072</v>
      </c>
      <c r="C1369" s="22" t="s">
        <v>4073</v>
      </c>
      <c r="D1369" s="22" t="s">
        <v>9</v>
      </c>
      <c r="E1369" s="22" t="s">
        <v>23</v>
      </c>
      <c r="F1369" s="22">
        <v>48.919</v>
      </c>
    </row>
    <row r="1370" spans="1:6">
      <c r="A1370" s="22" t="s">
        <v>4074</v>
      </c>
      <c r="B1370" s="22" t="s">
        <v>4075</v>
      </c>
      <c r="C1370" s="22" t="s">
        <v>4076</v>
      </c>
      <c r="D1370" s="22" t="s">
        <v>9</v>
      </c>
      <c r="E1370" s="22" t="s">
        <v>23</v>
      </c>
      <c r="F1370" s="22">
        <v>10685.306</v>
      </c>
    </row>
    <row r="1371" spans="1:6">
      <c r="A1371" s="22" t="s">
        <v>4077</v>
      </c>
      <c r="B1371" s="22" t="s">
        <v>4078</v>
      </c>
      <c r="C1371" s="22" t="s">
        <v>4079</v>
      </c>
      <c r="D1371" s="22" t="s">
        <v>9</v>
      </c>
      <c r="E1371" s="22" t="s">
        <v>35</v>
      </c>
    </row>
    <row r="1372" spans="1:6">
      <c r="A1372" s="22" t="s">
        <v>4080</v>
      </c>
      <c r="B1372" s="22" t="s">
        <v>796</v>
      </c>
      <c r="C1372" s="22" t="s">
        <v>4081</v>
      </c>
      <c r="D1372" s="22" t="s">
        <v>9</v>
      </c>
      <c r="E1372" s="22" t="s">
        <v>31</v>
      </c>
      <c r="F1372" s="22">
        <v>599.626</v>
      </c>
    </row>
    <row r="1373" spans="1:6">
      <c r="A1373" s="22" t="s">
        <v>4082</v>
      </c>
      <c r="B1373" s="22" t="s">
        <v>4083</v>
      </c>
      <c r="C1373" s="22" t="s">
        <v>4084</v>
      </c>
      <c r="D1373" s="22" t="s">
        <v>9</v>
      </c>
      <c r="E1373" s="22" t="s">
        <v>23</v>
      </c>
      <c r="F1373" s="22">
        <v>234.467</v>
      </c>
    </row>
    <row r="1374" spans="1:6">
      <c r="A1374" s="22" t="s">
        <v>4085</v>
      </c>
      <c r="B1374" s="22" t="s">
        <v>4086</v>
      </c>
      <c r="C1374" s="22" t="s">
        <v>4087</v>
      </c>
      <c r="D1374" s="22" t="s">
        <v>9</v>
      </c>
      <c r="E1374" s="22" t="s">
        <v>23</v>
      </c>
      <c r="F1374" s="22">
        <v>30.253</v>
      </c>
    </row>
    <row r="1375" spans="1:6">
      <c r="A1375" s="22" t="s">
        <v>4088</v>
      </c>
      <c r="B1375" s="22" t="s">
        <v>4089</v>
      </c>
      <c r="C1375" s="22" t="s">
        <v>4090</v>
      </c>
      <c r="D1375" s="22" t="s">
        <v>9</v>
      </c>
      <c r="E1375" s="22" t="s">
        <v>23</v>
      </c>
      <c r="F1375" s="22">
        <v>35096.586</v>
      </c>
    </row>
    <row r="1376" spans="1:6">
      <c r="A1376" s="22" t="s">
        <v>4091</v>
      </c>
      <c r="B1376" s="22" t="s">
        <v>4092</v>
      </c>
      <c r="C1376" s="22" t="s">
        <v>4093</v>
      </c>
      <c r="D1376" s="22" t="s">
        <v>9</v>
      </c>
      <c r="E1376" s="22" t="s">
        <v>23</v>
      </c>
      <c r="F1376" s="22">
        <v>10.65</v>
      </c>
    </row>
    <row r="1377" spans="1:6">
      <c r="A1377" s="22" t="s">
        <v>4094</v>
      </c>
      <c r="B1377" s="22" t="s">
        <v>4095</v>
      </c>
      <c r="C1377" s="22" t="s">
        <v>4096</v>
      </c>
      <c r="D1377" s="22" t="s">
        <v>9</v>
      </c>
      <c r="E1377" s="22" t="s">
        <v>31</v>
      </c>
      <c r="F1377" s="22">
        <v>452.324</v>
      </c>
    </row>
    <row r="1378" spans="1:6">
      <c r="A1378" s="22" t="s">
        <v>4097</v>
      </c>
      <c r="B1378" s="22" t="s">
        <v>4098</v>
      </c>
      <c r="C1378" s="22" t="s">
        <v>4099</v>
      </c>
      <c r="D1378" s="22" t="s">
        <v>9</v>
      </c>
      <c r="E1378" s="22" t="s">
        <v>23</v>
      </c>
      <c r="F1378" s="22">
        <v>9707.35</v>
      </c>
    </row>
    <row r="1379" spans="1:6">
      <c r="A1379" s="22" t="s">
        <v>4100</v>
      </c>
      <c r="B1379" s="22" t="s">
        <v>4101</v>
      </c>
      <c r="C1379" s="22" t="s">
        <v>4102</v>
      </c>
      <c r="D1379" s="22" t="s">
        <v>9</v>
      </c>
      <c r="E1379" s="22" t="s">
        <v>23</v>
      </c>
      <c r="F1379" s="22">
        <v>194.903</v>
      </c>
    </row>
    <row r="1380" spans="1:6">
      <c r="A1380" s="22" t="s">
        <v>4103</v>
      </c>
      <c r="B1380" s="22" t="s">
        <v>2665</v>
      </c>
      <c r="C1380" s="22" t="s">
        <v>4104</v>
      </c>
      <c r="D1380" s="22" t="s">
        <v>9</v>
      </c>
      <c r="E1380" s="22" t="s">
        <v>27</v>
      </c>
      <c r="F1380" s="22">
        <v>438.628</v>
      </c>
    </row>
    <row r="1381" spans="1:6">
      <c r="A1381" s="22" t="s">
        <v>4105</v>
      </c>
      <c r="B1381" s="22" t="s">
        <v>4106</v>
      </c>
      <c r="C1381" s="22" t="s">
        <v>4107</v>
      </c>
      <c r="D1381" s="22" t="s">
        <v>9</v>
      </c>
      <c r="E1381" s="22" t="s">
        <v>35</v>
      </c>
      <c r="F1381" s="22">
        <v>21.712</v>
      </c>
    </row>
    <row r="1382" spans="1:6">
      <c r="A1382" s="22" t="s">
        <v>4108</v>
      </c>
      <c r="B1382" s="22" t="s">
        <v>4109</v>
      </c>
      <c r="C1382" s="22" t="s">
        <v>4110</v>
      </c>
      <c r="D1382" s="22" t="s">
        <v>9</v>
      </c>
      <c r="E1382" s="22" t="s">
        <v>35</v>
      </c>
      <c r="F1382" s="22">
        <v>1.467</v>
      </c>
    </row>
    <row r="1383" spans="1:6">
      <c r="A1383" s="22" t="s">
        <v>4111</v>
      </c>
      <c r="B1383" s="22" t="s">
        <v>4112</v>
      </c>
      <c r="C1383" s="22" t="s">
        <v>4113</v>
      </c>
      <c r="D1383" s="22" t="s">
        <v>9</v>
      </c>
      <c r="E1383" s="22" t="s">
        <v>23</v>
      </c>
      <c r="F1383" s="22">
        <v>8628.248</v>
      </c>
    </row>
    <row r="1384" spans="1:6">
      <c r="A1384" s="22" t="s">
        <v>4114</v>
      </c>
      <c r="B1384" s="22" t="s">
        <v>4115</v>
      </c>
      <c r="C1384" s="22" t="s">
        <v>4116</v>
      </c>
      <c r="D1384" s="22" t="s">
        <v>9</v>
      </c>
      <c r="E1384" s="22" t="s">
        <v>27</v>
      </c>
      <c r="F1384" s="22">
        <v>106.047</v>
      </c>
    </row>
    <row r="1385" spans="1:6">
      <c r="A1385" s="22" t="s">
        <v>4117</v>
      </c>
      <c r="B1385" s="22" t="s">
        <v>4118</v>
      </c>
      <c r="C1385" s="22" t="s">
        <v>4119</v>
      </c>
      <c r="D1385" s="22" t="s">
        <v>9</v>
      </c>
      <c r="E1385" s="22" t="s">
        <v>23</v>
      </c>
      <c r="F1385" s="22">
        <v>70.929</v>
      </c>
    </row>
    <row r="1386" spans="1:6">
      <c r="A1386" s="22" t="s">
        <v>4120</v>
      </c>
      <c r="B1386" s="22" t="s">
        <v>4121</v>
      </c>
      <c r="C1386" s="22" t="s">
        <v>4122</v>
      </c>
      <c r="D1386" s="22" t="s">
        <v>9</v>
      </c>
      <c r="E1386" s="22" t="s">
        <v>23</v>
      </c>
      <c r="F1386" s="22">
        <v>73.937</v>
      </c>
    </row>
    <row r="1387" spans="1:6">
      <c r="A1387" s="22" t="s">
        <v>4123</v>
      </c>
      <c r="B1387" s="22" t="s">
        <v>4124</v>
      </c>
      <c r="C1387" s="22" t="s">
        <v>4125</v>
      </c>
      <c r="D1387" s="22" t="s">
        <v>9</v>
      </c>
      <c r="E1387" s="22" t="s">
        <v>23</v>
      </c>
      <c r="F1387" s="22">
        <v>133.796</v>
      </c>
    </row>
    <row r="1388" spans="1:6">
      <c r="A1388" s="22" t="s">
        <v>4126</v>
      </c>
      <c r="B1388" s="22" t="s">
        <v>1653</v>
      </c>
      <c r="C1388" s="22" t="s">
        <v>4127</v>
      </c>
      <c r="D1388" s="22" t="s">
        <v>9</v>
      </c>
      <c r="E1388" s="22" t="s">
        <v>31</v>
      </c>
      <c r="F1388" s="22">
        <v>595.954</v>
      </c>
    </row>
    <row r="1389" spans="1:6">
      <c r="A1389" s="22" t="s">
        <v>4128</v>
      </c>
      <c r="B1389" s="22" t="s">
        <v>4129</v>
      </c>
      <c r="C1389" s="22" t="s">
        <v>4130</v>
      </c>
      <c r="D1389" s="22" t="s">
        <v>9</v>
      </c>
      <c r="E1389" s="22" t="s">
        <v>23</v>
      </c>
      <c r="F1389" s="22">
        <v>2.282</v>
      </c>
    </row>
    <row r="1390" spans="1:6">
      <c r="A1390" s="22" t="s">
        <v>4131</v>
      </c>
      <c r="B1390" s="22" t="s">
        <v>4132</v>
      </c>
      <c r="C1390" s="22" t="s">
        <v>4133</v>
      </c>
      <c r="D1390" s="22" t="s">
        <v>9</v>
      </c>
      <c r="E1390" s="22" t="s">
        <v>23</v>
      </c>
      <c r="F1390" s="22">
        <v>339.562</v>
      </c>
    </row>
    <row r="1391" spans="1:6">
      <c r="A1391" s="22" t="s">
        <v>4134</v>
      </c>
      <c r="B1391" s="22" t="s">
        <v>4135</v>
      </c>
      <c r="C1391" s="22" t="s">
        <v>4136</v>
      </c>
      <c r="D1391" s="22" t="s">
        <v>9</v>
      </c>
      <c r="E1391" s="22" t="s">
        <v>23</v>
      </c>
      <c r="F1391" s="22">
        <v>12.127</v>
      </c>
    </row>
    <row r="1392" spans="1:6">
      <c r="A1392" s="22" t="s">
        <v>4137</v>
      </c>
      <c r="B1392" s="22" t="s">
        <v>4138</v>
      </c>
      <c r="C1392" s="22" t="s">
        <v>4139</v>
      </c>
      <c r="D1392" s="22" t="s">
        <v>9</v>
      </c>
      <c r="E1392" s="22" t="s">
        <v>27</v>
      </c>
      <c r="F1392" s="22">
        <v>184.956</v>
      </c>
    </row>
    <row r="1393" spans="1:6">
      <c r="A1393" s="22" t="s">
        <v>4140</v>
      </c>
      <c r="B1393" s="22" t="s">
        <v>4141</v>
      </c>
      <c r="C1393" s="22" t="s">
        <v>4142</v>
      </c>
      <c r="D1393" s="22" t="s">
        <v>9</v>
      </c>
      <c r="E1393" s="22" t="s">
        <v>23</v>
      </c>
      <c r="F1393" s="22">
        <v>9255.106</v>
      </c>
    </row>
    <row r="1394" spans="1:6">
      <c r="A1394" s="22" t="s">
        <v>4143</v>
      </c>
      <c r="B1394" s="22" t="s">
        <v>4144</v>
      </c>
      <c r="C1394" s="22" t="s">
        <v>4145</v>
      </c>
      <c r="D1394" s="22" t="s">
        <v>9</v>
      </c>
      <c r="E1394" s="22" t="s">
        <v>23</v>
      </c>
      <c r="F1394" s="22">
        <v>101.928</v>
      </c>
    </row>
    <row r="1395" spans="1:6">
      <c r="A1395" s="22" t="s">
        <v>4146</v>
      </c>
      <c r="B1395" s="22" t="s">
        <v>1241</v>
      </c>
      <c r="C1395" s="22" t="s">
        <v>4147</v>
      </c>
      <c r="D1395" s="22" t="s">
        <v>9</v>
      </c>
      <c r="E1395" s="22" t="s">
        <v>27</v>
      </c>
      <c r="F1395" s="22">
        <v>24.584</v>
      </c>
    </row>
    <row r="1396" spans="1:6">
      <c r="A1396" s="22" t="s">
        <v>4148</v>
      </c>
      <c r="B1396" s="22" t="s">
        <v>2412</v>
      </c>
      <c r="C1396" s="22" t="s">
        <v>4149</v>
      </c>
      <c r="D1396" s="22" t="s">
        <v>9</v>
      </c>
      <c r="E1396" s="22" t="s">
        <v>31</v>
      </c>
      <c r="F1396" s="22">
        <v>334.104</v>
      </c>
    </row>
    <row r="1397" spans="1:6">
      <c r="A1397" s="22" t="s">
        <v>4150</v>
      </c>
      <c r="B1397" s="22" t="s">
        <v>4151</v>
      </c>
      <c r="C1397" s="22" t="s">
        <v>4152</v>
      </c>
      <c r="D1397" s="22" t="s">
        <v>9</v>
      </c>
      <c r="E1397" s="22" t="s">
        <v>101</v>
      </c>
      <c r="F1397" s="22">
        <v>1.486</v>
      </c>
    </row>
    <row r="1398" spans="1:6">
      <c r="A1398" s="22" t="s">
        <v>4153</v>
      </c>
      <c r="B1398" s="22" t="s">
        <v>4154</v>
      </c>
      <c r="C1398" s="22" t="s">
        <v>4155</v>
      </c>
      <c r="D1398" s="22" t="s">
        <v>9</v>
      </c>
      <c r="E1398" s="22" t="s">
        <v>23</v>
      </c>
      <c r="F1398" s="22">
        <v>3954.721</v>
      </c>
    </row>
    <row r="1399" spans="1:6">
      <c r="A1399" s="22" t="s">
        <v>4156</v>
      </c>
      <c r="B1399" s="22" t="s">
        <v>4157</v>
      </c>
      <c r="C1399" s="22" t="s">
        <v>4158</v>
      </c>
      <c r="D1399" s="22" t="s">
        <v>9</v>
      </c>
      <c r="E1399" s="22" t="s">
        <v>23</v>
      </c>
      <c r="F1399" s="22">
        <v>72.976</v>
      </c>
    </row>
    <row r="1400" spans="1:6">
      <c r="A1400" s="22" t="s">
        <v>4159</v>
      </c>
      <c r="B1400" s="22" t="s">
        <v>4160</v>
      </c>
      <c r="C1400" s="22" t="s">
        <v>4161</v>
      </c>
      <c r="D1400" s="22" t="s">
        <v>9</v>
      </c>
      <c r="E1400" s="22" t="s">
        <v>23</v>
      </c>
      <c r="F1400" s="22">
        <v>50.435</v>
      </c>
    </row>
    <row r="1401" spans="1:6">
      <c r="A1401" s="22" t="s">
        <v>4162</v>
      </c>
      <c r="B1401" s="22" t="s">
        <v>4163</v>
      </c>
      <c r="C1401" s="22" t="s">
        <v>4164</v>
      </c>
      <c r="D1401" s="22" t="s">
        <v>9</v>
      </c>
      <c r="E1401" s="22" t="s">
        <v>35</v>
      </c>
      <c r="F1401" s="22">
        <v>94.392</v>
      </c>
    </row>
    <row r="1402" spans="1:6">
      <c r="A1402" s="22" t="s">
        <v>4165</v>
      </c>
      <c r="B1402" s="22" t="s">
        <v>4166</v>
      </c>
      <c r="C1402" s="22" t="s">
        <v>4167</v>
      </c>
      <c r="D1402" s="22" t="s">
        <v>9</v>
      </c>
      <c r="E1402" s="22" t="s">
        <v>23</v>
      </c>
      <c r="F1402" s="22">
        <v>6.28</v>
      </c>
    </row>
    <row r="1403" spans="1:6">
      <c r="A1403" s="22" t="s">
        <v>4168</v>
      </c>
      <c r="B1403" s="22" t="s">
        <v>4169</v>
      </c>
      <c r="C1403" s="22" t="s">
        <v>4170</v>
      </c>
      <c r="D1403" s="22" t="s">
        <v>9</v>
      </c>
      <c r="E1403" s="22" t="s">
        <v>23</v>
      </c>
      <c r="F1403" s="22">
        <v>99.615</v>
      </c>
    </row>
    <row r="1404" spans="1:6">
      <c r="A1404" s="22" t="s">
        <v>4171</v>
      </c>
      <c r="B1404" s="22" t="s">
        <v>4172</v>
      </c>
      <c r="C1404" s="22" t="s">
        <v>4173</v>
      </c>
      <c r="D1404" s="22" t="s">
        <v>9</v>
      </c>
      <c r="E1404" s="22" t="s">
        <v>23</v>
      </c>
      <c r="F1404" s="22">
        <v>635.498</v>
      </c>
    </row>
    <row r="1405" spans="1:6">
      <c r="A1405" s="22" t="s">
        <v>4174</v>
      </c>
      <c r="B1405" s="22" t="s">
        <v>776</v>
      </c>
      <c r="C1405" s="22" t="s">
        <v>4175</v>
      </c>
      <c r="D1405" s="22" t="s">
        <v>9</v>
      </c>
      <c r="E1405" s="22" t="s">
        <v>31</v>
      </c>
      <c r="F1405" s="22">
        <v>743.932</v>
      </c>
    </row>
    <row r="1406" spans="1:6">
      <c r="A1406" s="22" t="s">
        <v>4176</v>
      </c>
      <c r="B1406" s="22" t="s">
        <v>4177</v>
      </c>
      <c r="C1406" s="22" t="s">
        <v>4178</v>
      </c>
      <c r="D1406" s="22" t="s">
        <v>9</v>
      </c>
      <c r="E1406" s="22" t="s">
        <v>27</v>
      </c>
      <c r="F1406" s="22">
        <v>2807.586</v>
      </c>
    </row>
    <row r="1407" spans="1:6">
      <c r="A1407" s="22" t="s">
        <v>4179</v>
      </c>
      <c r="B1407" s="22" t="s">
        <v>4180</v>
      </c>
      <c r="C1407" s="22" t="s">
        <v>4181</v>
      </c>
      <c r="D1407" s="22" t="s">
        <v>9</v>
      </c>
      <c r="E1407" s="22" t="s">
        <v>39</v>
      </c>
      <c r="F1407" s="22">
        <v>2196.101</v>
      </c>
    </row>
    <row r="1408" spans="1:6">
      <c r="A1408" s="22" t="s">
        <v>4182</v>
      </c>
      <c r="B1408" s="22" t="s">
        <v>4183</v>
      </c>
      <c r="C1408" s="22" t="s">
        <v>4184</v>
      </c>
      <c r="D1408" s="22" t="s">
        <v>9</v>
      </c>
      <c r="E1408" s="22" t="s">
        <v>23</v>
      </c>
      <c r="F1408" s="22">
        <v>150.127</v>
      </c>
    </row>
    <row r="1409" spans="1:6">
      <c r="A1409" s="22" t="s">
        <v>4185</v>
      </c>
      <c r="B1409" s="22" t="s">
        <v>4186</v>
      </c>
      <c r="C1409" s="22" t="s">
        <v>4187</v>
      </c>
      <c r="D1409" s="22" t="s">
        <v>9</v>
      </c>
      <c r="E1409" s="22" t="s">
        <v>23</v>
      </c>
      <c r="F1409" s="22">
        <v>9.995</v>
      </c>
    </row>
    <row r="1410" spans="1:6">
      <c r="A1410" s="22" t="s">
        <v>4188</v>
      </c>
      <c r="B1410" s="22" t="s">
        <v>4189</v>
      </c>
      <c r="C1410" s="22" t="s">
        <v>4190</v>
      </c>
      <c r="D1410" s="22" t="s">
        <v>9</v>
      </c>
      <c r="E1410" s="22" t="s">
        <v>23</v>
      </c>
      <c r="F1410" s="22">
        <v>474.326</v>
      </c>
    </row>
    <row r="1411" spans="1:6">
      <c r="A1411" s="22" t="s">
        <v>4191</v>
      </c>
      <c r="B1411" s="22" t="s">
        <v>4192</v>
      </c>
      <c r="C1411" s="22" t="s">
        <v>4193</v>
      </c>
      <c r="D1411" s="22" t="s">
        <v>9</v>
      </c>
      <c r="E1411" s="22" t="s">
        <v>23</v>
      </c>
      <c r="F1411" s="22">
        <v>394.927</v>
      </c>
    </row>
    <row r="1412" spans="1:6">
      <c r="A1412" s="22" t="s">
        <v>4194</v>
      </c>
      <c r="B1412" s="22" t="s">
        <v>4195</v>
      </c>
      <c r="C1412" s="22" t="s">
        <v>4196</v>
      </c>
      <c r="D1412" s="22" t="s">
        <v>9</v>
      </c>
      <c r="E1412" s="22" t="s">
        <v>35</v>
      </c>
      <c r="F1412" s="22">
        <v>63.788</v>
      </c>
    </row>
    <row r="1413" spans="1:6">
      <c r="A1413" s="22" t="s">
        <v>4197</v>
      </c>
      <c r="B1413" s="22" t="s">
        <v>4198</v>
      </c>
      <c r="C1413" s="22" t="s">
        <v>4199</v>
      </c>
      <c r="D1413" s="22" t="s">
        <v>9</v>
      </c>
      <c r="E1413" s="22" t="s">
        <v>23</v>
      </c>
      <c r="F1413" s="22">
        <v>192.298</v>
      </c>
    </row>
    <row r="1414" spans="1:6">
      <c r="A1414" s="22" t="s">
        <v>4200</v>
      </c>
      <c r="B1414" s="22" t="s">
        <v>4201</v>
      </c>
      <c r="C1414" s="22" t="s">
        <v>4202</v>
      </c>
      <c r="D1414" s="22" t="s">
        <v>9</v>
      </c>
      <c r="E1414" s="22" t="s">
        <v>23</v>
      </c>
      <c r="F1414" s="22">
        <v>29.791</v>
      </c>
    </row>
    <row r="1415" spans="1:6">
      <c r="A1415" s="22" t="s">
        <v>4203</v>
      </c>
      <c r="B1415" s="22" t="s">
        <v>4204</v>
      </c>
      <c r="C1415" s="22" t="s">
        <v>4205</v>
      </c>
      <c r="D1415" s="22" t="s">
        <v>9</v>
      </c>
      <c r="E1415" s="22" t="s">
        <v>23</v>
      </c>
      <c r="F1415" s="22">
        <v>26.047</v>
      </c>
    </row>
    <row r="1416" spans="1:6">
      <c r="A1416" s="22" t="s">
        <v>4206</v>
      </c>
      <c r="B1416" s="22" t="s">
        <v>4207</v>
      </c>
      <c r="C1416" s="22" t="s">
        <v>4208</v>
      </c>
      <c r="D1416" s="22" t="s">
        <v>9</v>
      </c>
      <c r="E1416" s="22" t="s">
        <v>23</v>
      </c>
      <c r="F1416" s="22">
        <v>19.115</v>
      </c>
    </row>
    <row r="1417" spans="1:6">
      <c r="A1417" s="22" t="s">
        <v>4209</v>
      </c>
      <c r="B1417" s="22" t="s">
        <v>4210</v>
      </c>
      <c r="C1417" s="22" t="s">
        <v>4211</v>
      </c>
      <c r="D1417" s="22" t="s">
        <v>9</v>
      </c>
      <c r="E1417" s="22" t="s">
        <v>35</v>
      </c>
      <c r="F1417" s="22">
        <v>214.874</v>
      </c>
    </row>
    <row r="1418" spans="1:6">
      <c r="A1418" s="22" t="s">
        <v>4212</v>
      </c>
      <c r="B1418" s="22" t="s">
        <v>4213</v>
      </c>
      <c r="C1418" s="22" t="s">
        <v>4214</v>
      </c>
      <c r="D1418" s="22" t="s">
        <v>9</v>
      </c>
      <c r="E1418" s="22" t="s">
        <v>23</v>
      </c>
      <c r="F1418" s="22">
        <v>211.746</v>
      </c>
    </row>
    <row r="1419" spans="1:6">
      <c r="A1419" s="22" t="s">
        <v>4215</v>
      </c>
      <c r="B1419" s="22" t="s">
        <v>1285</v>
      </c>
      <c r="C1419" s="22" t="s">
        <v>4216</v>
      </c>
      <c r="D1419" s="22" t="s">
        <v>9</v>
      </c>
      <c r="E1419" s="22" t="s">
        <v>31</v>
      </c>
      <c r="F1419" s="22">
        <v>324.045</v>
      </c>
    </row>
    <row r="1420" spans="1:6">
      <c r="A1420" s="22" t="s">
        <v>4217</v>
      </c>
      <c r="B1420" s="22" t="s">
        <v>4218</v>
      </c>
      <c r="C1420" s="22" t="s">
        <v>4219</v>
      </c>
      <c r="D1420" s="22" t="s">
        <v>9</v>
      </c>
      <c r="E1420" s="22" t="s">
        <v>23</v>
      </c>
      <c r="F1420" s="22">
        <v>2360.042</v>
      </c>
    </row>
    <row r="1421" spans="1:6">
      <c r="A1421" s="22" t="s">
        <v>4220</v>
      </c>
      <c r="B1421" s="22" t="s">
        <v>3013</v>
      </c>
      <c r="C1421" s="22" t="s">
        <v>4221</v>
      </c>
      <c r="D1421" s="22" t="s">
        <v>9</v>
      </c>
      <c r="E1421" s="22" t="s">
        <v>44</v>
      </c>
      <c r="F1421" s="22">
        <v>409.003</v>
      </c>
    </row>
    <row r="1422" spans="1:6">
      <c r="A1422" s="22" t="s">
        <v>4222</v>
      </c>
      <c r="B1422" s="22" t="s">
        <v>4223</v>
      </c>
      <c r="C1422" s="22" t="s">
        <v>4224</v>
      </c>
      <c r="D1422" s="22" t="s">
        <v>9</v>
      </c>
      <c r="E1422" s="22" t="s">
        <v>35</v>
      </c>
    </row>
    <row r="1423" spans="1:6">
      <c r="A1423" s="22" t="s">
        <v>4225</v>
      </c>
      <c r="B1423" s="22" t="s">
        <v>4226</v>
      </c>
      <c r="C1423" s="22" t="s">
        <v>4227</v>
      </c>
      <c r="D1423" s="22" t="s">
        <v>9</v>
      </c>
      <c r="E1423" s="22" t="s">
        <v>23</v>
      </c>
      <c r="F1423" s="22">
        <v>808.905</v>
      </c>
    </row>
    <row r="1424" spans="1:6">
      <c r="A1424" s="22" t="s">
        <v>4228</v>
      </c>
      <c r="B1424" s="22" t="s">
        <v>4229</v>
      </c>
      <c r="C1424" s="22" t="s">
        <v>4230</v>
      </c>
      <c r="D1424" s="22" t="s">
        <v>9</v>
      </c>
      <c r="E1424" s="22" t="s">
        <v>27</v>
      </c>
      <c r="F1424" s="22">
        <v>195.193</v>
      </c>
    </row>
    <row r="1425" spans="1:6">
      <c r="A1425" s="22" t="s">
        <v>4231</v>
      </c>
      <c r="B1425" s="22" t="s">
        <v>4232</v>
      </c>
      <c r="C1425" s="22" t="s">
        <v>2145</v>
      </c>
      <c r="D1425" s="22" t="s">
        <v>9</v>
      </c>
      <c r="E1425" s="22" t="s">
        <v>35</v>
      </c>
      <c r="F1425" s="22">
        <v>871.835</v>
      </c>
    </row>
    <row r="1426" spans="1:6">
      <c r="A1426" s="22" t="s">
        <v>4233</v>
      </c>
      <c r="B1426" s="22" t="s">
        <v>4234</v>
      </c>
      <c r="C1426" s="22" t="s">
        <v>4235</v>
      </c>
      <c r="D1426" s="22" t="s">
        <v>9</v>
      </c>
      <c r="E1426" s="22" t="s">
        <v>23</v>
      </c>
      <c r="F1426" s="22">
        <v>22.913</v>
      </c>
    </row>
    <row r="1427" spans="1:6">
      <c r="A1427" s="22" t="s">
        <v>4236</v>
      </c>
      <c r="B1427" s="22" t="s">
        <v>4237</v>
      </c>
      <c r="C1427" s="22" t="s">
        <v>4238</v>
      </c>
      <c r="D1427" s="22" t="s">
        <v>9</v>
      </c>
      <c r="E1427" s="22" t="s">
        <v>14</v>
      </c>
      <c r="F1427" s="22">
        <v>30.771</v>
      </c>
    </row>
    <row r="1428" spans="1:6">
      <c r="A1428" s="22" t="s">
        <v>4239</v>
      </c>
      <c r="B1428" s="22" t="s">
        <v>4240</v>
      </c>
      <c r="C1428" s="22" t="s">
        <v>4241</v>
      </c>
      <c r="D1428" s="22" t="s">
        <v>9</v>
      </c>
      <c r="E1428" s="22" t="s">
        <v>23</v>
      </c>
      <c r="F1428" s="22">
        <v>14.531</v>
      </c>
    </row>
    <row r="1429" spans="1:6">
      <c r="A1429" s="22" t="s">
        <v>4242</v>
      </c>
      <c r="B1429" s="22" t="s">
        <v>4243</v>
      </c>
      <c r="C1429" s="22" t="s">
        <v>4244</v>
      </c>
      <c r="D1429" s="22" t="s">
        <v>9</v>
      </c>
      <c r="E1429" s="22" t="s">
        <v>23</v>
      </c>
      <c r="F1429" s="22">
        <v>1469.332</v>
      </c>
    </row>
    <row r="1430" spans="1:6">
      <c r="A1430" s="22" t="s">
        <v>4245</v>
      </c>
      <c r="B1430" s="22" t="s">
        <v>4246</v>
      </c>
      <c r="C1430" s="22" t="s">
        <v>4247</v>
      </c>
      <c r="D1430" s="22" t="s">
        <v>9</v>
      </c>
      <c r="E1430" s="22" t="s">
        <v>23</v>
      </c>
      <c r="F1430" s="22">
        <v>28.857</v>
      </c>
    </row>
    <row r="1431" spans="1:6">
      <c r="A1431" s="22" t="s">
        <v>4248</v>
      </c>
      <c r="B1431" s="22" t="s">
        <v>3941</v>
      </c>
      <c r="C1431" s="22" t="s">
        <v>4249</v>
      </c>
      <c r="D1431" s="22" t="s">
        <v>9</v>
      </c>
      <c r="E1431" s="22" t="s">
        <v>23</v>
      </c>
      <c r="F1431" s="22">
        <v>2366.253</v>
      </c>
    </row>
    <row r="1432" spans="1:6">
      <c r="A1432" s="22" t="s">
        <v>4250</v>
      </c>
      <c r="B1432" s="22" t="s">
        <v>4251</v>
      </c>
      <c r="C1432" s="22" t="s">
        <v>4252</v>
      </c>
      <c r="D1432" s="22" t="s">
        <v>9</v>
      </c>
      <c r="E1432" s="22" t="s">
        <v>50</v>
      </c>
      <c r="F1432" s="22">
        <v>764.718</v>
      </c>
    </row>
    <row r="1433" spans="1:6">
      <c r="A1433" s="22" t="s">
        <v>4253</v>
      </c>
      <c r="B1433" s="22" t="s">
        <v>4254</v>
      </c>
      <c r="C1433" s="22" t="s">
        <v>4255</v>
      </c>
      <c r="D1433" s="22" t="s">
        <v>9</v>
      </c>
      <c r="E1433" s="22" t="s">
        <v>23</v>
      </c>
      <c r="F1433" s="22">
        <v>800.035</v>
      </c>
    </row>
    <row r="1434" spans="1:6">
      <c r="A1434" s="22" t="s">
        <v>4256</v>
      </c>
      <c r="B1434" s="22" t="s">
        <v>4257</v>
      </c>
      <c r="C1434" s="22" t="s">
        <v>4258</v>
      </c>
      <c r="D1434" s="22" t="s">
        <v>9</v>
      </c>
      <c r="E1434" s="22" t="s">
        <v>23</v>
      </c>
      <c r="F1434" s="22">
        <v>1041.985</v>
      </c>
    </row>
    <row r="1435" spans="1:6">
      <c r="A1435" s="22" t="s">
        <v>4259</v>
      </c>
      <c r="B1435" s="22" t="s">
        <v>4260</v>
      </c>
      <c r="C1435" s="22" t="s">
        <v>4261</v>
      </c>
      <c r="D1435" s="22" t="s">
        <v>9</v>
      </c>
      <c r="E1435" s="22" t="s">
        <v>23</v>
      </c>
      <c r="F1435" s="22">
        <v>109.323</v>
      </c>
    </row>
    <row r="1436" spans="1:6">
      <c r="A1436" s="22" t="s">
        <v>4262</v>
      </c>
      <c r="B1436" s="22" t="s">
        <v>4263</v>
      </c>
      <c r="C1436" s="22" t="s">
        <v>4264</v>
      </c>
      <c r="D1436" s="22" t="s">
        <v>9</v>
      </c>
      <c r="E1436" s="22" t="s">
        <v>23</v>
      </c>
      <c r="F1436" s="22">
        <v>222.638</v>
      </c>
    </row>
    <row r="1437" spans="1:6">
      <c r="A1437" s="22" t="s">
        <v>4265</v>
      </c>
      <c r="B1437" s="22" t="s">
        <v>4266</v>
      </c>
      <c r="C1437" s="22" t="s">
        <v>4267</v>
      </c>
      <c r="D1437" s="22" t="s">
        <v>9</v>
      </c>
      <c r="E1437" s="22" t="s">
        <v>14</v>
      </c>
      <c r="F1437" s="22">
        <v>65.018</v>
      </c>
    </row>
    <row r="1438" spans="1:6">
      <c r="A1438" s="22" t="s">
        <v>4268</v>
      </c>
      <c r="B1438" s="22" t="s">
        <v>4269</v>
      </c>
      <c r="C1438" s="22" t="s">
        <v>4270</v>
      </c>
      <c r="D1438" s="22" t="s">
        <v>9</v>
      </c>
      <c r="E1438" s="22" t="s">
        <v>50</v>
      </c>
      <c r="F1438" s="22">
        <v>4.882</v>
      </c>
    </row>
    <row r="1439" spans="1:6">
      <c r="A1439" s="22" t="s">
        <v>4271</v>
      </c>
      <c r="B1439" s="22" t="s">
        <v>4272</v>
      </c>
      <c r="C1439" s="22" t="s">
        <v>4273</v>
      </c>
      <c r="D1439" s="22" t="s">
        <v>9</v>
      </c>
      <c r="E1439" s="22" t="s">
        <v>23</v>
      </c>
      <c r="F1439" s="22">
        <v>39.384</v>
      </c>
    </row>
    <row r="1440" spans="1:6">
      <c r="A1440" s="22" t="s">
        <v>4274</v>
      </c>
      <c r="B1440" s="22" t="s">
        <v>4275</v>
      </c>
      <c r="C1440" s="22" t="s">
        <v>4276</v>
      </c>
      <c r="D1440" s="22" t="s">
        <v>9</v>
      </c>
      <c r="E1440" s="22" t="s">
        <v>35</v>
      </c>
      <c r="F1440" s="22">
        <v>24.248</v>
      </c>
    </row>
    <row r="1441" spans="1:6">
      <c r="A1441" s="22" t="s">
        <v>4277</v>
      </c>
      <c r="B1441" s="22" t="s">
        <v>759</v>
      </c>
      <c r="C1441" s="22" t="s">
        <v>4278</v>
      </c>
      <c r="D1441" s="22" t="s">
        <v>9</v>
      </c>
      <c r="E1441" s="22" t="s">
        <v>31</v>
      </c>
      <c r="F1441" s="22">
        <v>25.32</v>
      </c>
    </row>
    <row r="1442" spans="1:6">
      <c r="A1442" s="22" t="s">
        <v>4279</v>
      </c>
      <c r="B1442" s="22" t="s">
        <v>4280</v>
      </c>
      <c r="C1442" s="22" t="s">
        <v>4281</v>
      </c>
      <c r="D1442" s="22" t="s">
        <v>9</v>
      </c>
      <c r="E1442" s="22" t="s">
        <v>23</v>
      </c>
      <c r="F1442" s="22">
        <v>84.072</v>
      </c>
    </row>
    <row r="1443" spans="1:6">
      <c r="A1443" s="22" t="s">
        <v>4282</v>
      </c>
      <c r="B1443" s="22" t="s">
        <v>4283</v>
      </c>
      <c r="C1443" s="22" t="s">
        <v>3557</v>
      </c>
      <c r="D1443" s="22" t="s">
        <v>9</v>
      </c>
      <c r="E1443" s="22" t="s">
        <v>27</v>
      </c>
      <c r="F1443" s="22">
        <v>2424.559</v>
      </c>
    </row>
    <row r="1444" spans="1:6">
      <c r="A1444" s="22" t="s">
        <v>4284</v>
      </c>
      <c r="B1444" s="22" t="s">
        <v>4285</v>
      </c>
      <c r="C1444" s="22" t="s">
        <v>4286</v>
      </c>
      <c r="D1444" s="22" t="s">
        <v>9</v>
      </c>
      <c r="E1444" s="22" t="s">
        <v>35</v>
      </c>
      <c r="F1444" s="22">
        <v>282.991</v>
      </c>
    </row>
    <row r="1445" spans="1:6">
      <c r="A1445" s="22" t="s">
        <v>4287</v>
      </c>
      <c r="B1445" s="22" t="s">
        <v>4288</v>
      </c>
      <c r="C1445" s="22" t="s">
        <v>4289</v>
      </c>
      <c r="D1445" s="22" t="s">
        <v>9</v>
      </c>
      <c r="E1445" s="22" t="s">
        <v>35</v>
      </c>
      <c r="F1445" s="22">
        <v>403.278</v>
      </c>
    </row>
    <row r="1446" spans="1:6">
      <c r="A1446" s="22" t="s">
        <v>4290</v>
      </c>
      <c r="B1446" s="22" t="s">
        <v>4291</v>
      </c>
      <c r="C1446" s="22" t="s">
        <v>4292</v>
      </c>
      <c r="D1446" s="22" t="s">
        <v>9</v>
      </c>
      <c r="E1446" s="22" t="s">
        <v>23</v>
      </c>
      <c r="F1446" s="22">
        <v>26.464</v>
      </c>
    </row>
    <row r="1447" spans="1:6">
      <c r="A1447" s="22" t="s">
        <v>4293</v>
      </c>
      <c r="B1447" s="22" t="s">
        <v>4294</v>
      </c>
      <c r="C1447" s="22" t="s">
        <v>4295</v>
      </c>
      <c r="D1447" s="22" t="s">
        <v>9</v>
      </c>
      <c r="E1447" s="22" t="s">
        <v>23</v>
      </c>
      <c r="F1447" s="22">
        <v>1367.237</v>
      </c>
    </row>
    <row r="1448" spans="1:6">
      <c r="A1448" s="22" t="s">
        <v>4296</v>
      </c>
      <c r="B1448" s="22" t="s">
        <v>4297</v>
      </c>
      <c r="C1448" s="22" t="s">
        <v>4298</v>
      </c>
      <c r="D1448" s="22" t="s">
        <v>9</v>
      </c>
      <c r="E1448" s="22" t="s">
        <v>23</v>
      </c>
      <c r="F1448" s="22">
        <v>206.971</v>
      </c>
    </row>
    <row r="1449" spans="1:6">
      <c r="A1449" s="22" t="s">
        <v>4299</v>
      </c>
      <c r="B1449" s="22" t="s">
        <v>4300</v>
      </c>
      <c r="C1449" s="22" t="s">
        <v>4301</v>
      </c>
      <c r="D1449" s="22" t="s">
        <v>9</v>
      </c>
      <c r="E1449" s="22" t="s">
        <v>23</v>
      </c>
      <c r="F1449" s="22">
        <v>210.788</v>
      </c>
    </row>
    <row r="1450" spans="1:6">
      <c r="A1450" s="22" t="s">
        <v>4302</v>
      </c>
      <c r="B1450" s="22" t="s">
        <v>4303</v>
      </c>
      <c r="C1450" s="22" t="s">
        <v>4304</v>
      </c>
      <c r="D1450" s="22" t="s">
        <v>9</v>
      </c>
      <c r="E1450" s="22" t="s">
        <v>31</v>
      </c>
      <c r="F1450" s="22">
        <v>3.621</v>
      </c>
    </row>
    <row r="1451" spans="1:6">
      <c r="A1451" s="22" t="s">
        <v>4305</v>
      </c>
      <c r="B1451" s="22" t="s">
        <v>4306</v>
      </c>
      <c r="C1451" s="22" t="s">
        <v>4307</v>
      </c>
      <c r="D1451" s="22" t="s">
        <v>9</v>
      </c>
      <c r="E1451" s="22" t="s">
        <v>23</v>
      </c>
      <c r="F1451" s="22">
        <v>567.99</v>
      </c>
    </row>
    <row r="1452" spans="1:6">
      <c r="A1452" s="22" t="s">
        <v>4308</v>
      </c>
      <c r="B1452" s="22" t="s">
        <v>3110</v>
      </c>
      <c r="C1452" s="22" t="s">
        <v>4309</v>
      </c>
      <c r="D1452" s="22" t="s">
        <v>9</v>
      </c>
      <c r="E1452" s="22" t="s">
        <v>57</v>
      </c>
      <c r="F1452" s="22">
        <v>31.871</v>
      </c>
    </row>
    <row r="1453" spans="1:6">
      <c r="A1453" s="22" t="s">
        <v>4310</v>
      </c>
      <c r="B1453" s="22" t="s">
        <v>4311</v>
      </c>
      <c r="C1453" s="22" t="s">
        <v>4312</v>
      </c>
      <c r="D1453" s="22" t="s">
        <v>9</v>
      </c>
      <c r="E1453" s="22" t="s">
        <v>50</v>
      </c>
      <c r="F1453" s="22">
        <v>30.561</v>
      </c>
    </row>
    <row r="1454" spans="1:6">
      <c r="A1454" s="22" t="s">
        <v>4313</v>
      </c>
      <c r="B1454" s="22" t="s">
        <v>4314</v>
      </c>
      <c r="C1454" s="22" t="s">
        <v>4315</v>
      </c>
      <c r="D1454" s="22" t="s">
        <v>9</v>
      </c>
      <c r="E1454" s="22" t="s">
        <v>23</v>
      </c>
      <c r="F1454" s="22">
        <v>72.024</v>
      </c>
    </row>
    <row r="1455" spans="1:6">
      <c r="A1455" s="22" t="s">
        <v>4316</v>
      </c>
      <c r="B1455" s="22" t="s">
        <v>1211</v>
      </c>
      <c r="C1455" s="22" t="s">
        <v>4317</v>
      </c>
      <c r="D1455" s="22" t="s">
        <v>9</v>
      </c>
      <c r="E1455" s="22" t="s">
        <v>31</v>
      </c>
      <c r="F1455" s="22">
        <v>80.437</v>
      </c>
    </row>
    <row r="1456" spans="1:6">
      <c r="A1456" s="22" t="s">
        <v>4318</v>
      </c>
      <c r="B1456" s="22" t="s">
        <v>4319</v>
      </c>
      <c r="C1456" s="22" t="s">
        <v>4320</v>
      </c>
      <c r="D1456" s="22" t="s">
        <v>9</v>
      </c>
      <c r="E1456" s="22" t="s">
        <v>27</v>
      </c>
      <c r="F1456" s="22">
        <v>185.7</v>
      </c>
    </row>
    <row r="1457" spans="1:6">
      <c r="A1457" s="22" t="s">
        <v>4321</v>
      </c>
      <c r="B1457" s="22" t="s">
        <v>3821</v>
      </c>
      <c r="C1457" s="22" t="s">
        <v>4322</v>
      </c>
      <c r="D1457" s="22" t="s">
        <v>9</v>
      </c>
      <c r="E1457" s="22" t="s">
        <v>57</v>
      </c>
      <c r="F1457" s="22">
        <v>106.076</v>
      </c>
    </row>
    <row r="1458" spans="1:6">
      <c r="A1458" s="22" t="s">
        <v>4323</v>
      </c>
      <c r="B1458" s="22" t="s">
        <v>4324</v>
      </c>
      <c r="C1458" s="22" t="s">
        <v>4325</v>
      </c>
      <c r="D1458" s="22" t="s">
        <v>9</v>
      </c>
      <c r="E1458" s="22" t="s">
        <v>23</v>
      </c>
      <c r="F1458" s="22">
        <v>18.004</v>
      </c>
    </row>
    <row r="1459" spans="1:6">
      <c r="A1459" s="22" t="s">
        <v>4326</v>
      </c>
      <c r="B1459" s="22" t="s">
        <v>4327</v>
      </c>
      <c r="C1459" s="22" t="s">
        <v>4328</v>
      </c>
      <c r="D1459" s="22" t="s">
        <v>9</v>
      </c>
      <c r="E1459" s="22" t="s">
        <v>23</v>
      </c>
      <c r="F1459" s="22">
        <v>1262.471</v>
      </c>
    </row>
    <row r="1460" spans="1:6">
      <c r="A1460" s="22" t="s">
        <v>4329</v>
      </c>
      <c r="B1460" s="22" t="s">
        <v>4330</v>
      </c>
      <c r="C1460" s="22" t="s">
        <v>4331</v>
      </c>
      <c r="D1460" s="22" t="s">
        <v>9</v>
      </c>
      <c r="E1460" s="22" t="s">
        <v>23</v>
      </c>
      <c r="F1460" s="22">
        <v>41.048</v>
      </c>
    </row>
    <row r="1461" spans="1:6">
      <c r="A1461" s="22" t="s">
        <v>4332</v>
      </c>
      <c r="B1461" s="22" t="s">
        <v>4333</v>
      </c>
      <c r="C1461" s="22" t="s">
        <v>4334</v>
      </c>
      <c r="D1461" s="22" t="s">
        <v>9</v>
      </c>
      <c r="E1461" s="22" t="s">
        <v>23</v>
      </c>
      <c r="F1461" s="22">
        <v>6.246</v>
      </c>
    </row>
    <row r="1462" spans="1:6">
      <c r="A1462" s="22" t="s">
        <v>4335</v>
      </c>
      <c r="B1462" s="22" t="s">
        <v>1502</v>
      </c>
      <c r="C1462" s="22" t="s">
        <v>4336</v>
      </c>
      <c r="D1462" s="22" t="s">
        <v>9</v>
      </c>
      <c r="E1462" s="22" t="s">
        <v>23</v>
      </c>
      <c r="F1462" s="22">
        <v>654.06</v>
      </c>
    </row>
    <row r="1463" spans="1:6">
      <c r="A1463" s="22" t="s">
        <v>4337</v>
      </c>
      <c r="B1463" s="22" t="s">
        <v>4338</v>
      </c>
      <c r="C1463" s="22" t="s">
        <v>4339</v>
      </c>
      <c r="D1463" s="22" t="s">
        <v>9</v>
      </c>
      <c r="E1463" s="22" t="s">
        <v>23</v>
      </c>
      <c r="F1463" s="22">
        <v>2454.44</v>
      </c>
    </row>
    <row r="1464" spans="1:6">
      <c r="A1464" s="22" t="s">
        <v>4340</v>
      </c>
      <c r="B1464" s="22" t="s">
        <v>2831</v>
      </c>
      <c r="C1464" s="22" t="s">
        <v>4341</v>
      </c>
      <c r="D1464" s="22" t="s">
        <v>9</v>
      </c>
      <c r="E1464" s="22" t="s">
        <v>23</v>
      </c>
      <c r="F1464" s="22">
        <v>1567.938</v>
      </c>
    </row>
    <row r="1465" spans="1:6">
      <c r="A1465" s="22" t="s">
        <v>4342</v>
      </c>
      <c r="B1465" s="22" t="s">
        <v>4343</v>
      </c>
      <c r="C1465" s="22" t="s">
        <v>4344</v>
      </c>
      <c r="D1465" s="22" t="s">
        <v>9</v>
      </c>
      <c r="E1465" s="22" t="s">
        <v>14</v>
      </c>
      <c r="F1465" s="22">
        <v>144.996</v>
      </c>
    </row>
    <row r="1466" spans="1:6">
      <c r="A1466" s="22" t="s">
        <v>4345</v>
      </c>
      <c r="B1466" s="22" t="s">
        <v>4346</v>
      </c>
      <c r="C1466" s="22" t="s">
        <v>4347</v>
      </c>
      <c r="D1466" s="22" t="s">
        <v>9</v>
      </c>
      <c r="E1466" s="22" t="s">
        <v>23</v>
      </c>
      <c r="F1466" s="22">
        <v>42371.281</v>
      </c>
    </row>
    <row r="1467" spans="1:6">
      <c r="A1467" s="22" t="s">
        <v>4348</v>
      </c>
      <c r="B1467" s="22" t="s">
        <v>4349</v>
      </c>
      <c r="C1467" s="22" t="s">
        <v>4350</v>
      </c>
      <c r="D1467" s="22" t="s">
        <v>9</v>
      </c>
      <c r="E1467" s="22" t="s">
        <v>57</v>
      </c>
      <c r="F1467" s="22">
        <v>36.05</v>
      </c>
    </row>
    <row r="1468" spans="1:6">
      <c r="A1468" s="22" t="s">
        <v>4351</v>
      </c>
      <c r="B1468" s="22" t="s">
        <v>4352</v>
      </c>
      <c r="C1468" s="22" t="s">
        <v>4353</v>
      </c>
      <c r="D1468" s="22" t="s">
        <v>9</v>
      </c>
      <c r="E1468" s="22" t="s">
        <v>23</v>
      </c>
      <c r="F1468" s="22">
        <v>314.885</v>
      </c>
    </row>
    <row r="1469" spans="1:6">
      <c r="A1469" s="22" t="s">
        <v>4354</v>
      </c>
      <c r="B1469" s="22" t="s">
        <v>4355</v>
      </c>
      <c r="C1469" s="22" t="s">
        <v>4356</v>
      </c>
      <c r="D1469" s="22" t="s">
        <v>9</v>
      </c>
      <c r="E1469" s="22" t="s">
        <v>31</v>
      </c>
      <c r="F1469" s="22">
        <v>5.645</v>
      </c>
    </row>
    <row r="1470" spans="1:6">
      <c r="A1470" s="22" t="s">
        <v>4357</v>
      </c>
      <c r="B1470" s="22" t="s">
        <v>4358</v>
      </c>
      <c r="C1470" s="22" t="s">
        <v>4359</v>
      </c>
      <c r="D1470" s="22" t="s">
        <v>9</v>
      </c>
      <c r="E1470" s="22" t="s">
        <v>57</v>
      </c>
      <c r="F1470" s="22">
        <v>1.861</v>
      </c>
    </row>
    <row r="1471" spans="1:6">
      <c r="A1471" s="22" t="s">
        <v>4360</v>
      </c>
      <c r="B1471" s="22" t="s">
        <v>4361</v>
      </c>
      <c r="C1471" s="22" t="s">
        <v>4362</v>
      </c>
      <c r="D1471" s="22" t="s">
        <v>9</v>
      </c>
      <c r="E1471" s="22" t="s">
        <v>23</v>
      </c>
      <c r="F1471" s="22">
        <v>154.83</v>
      </c>
    </row>
    <row r="1472" spans="1:6">
      <c r="A1472" s="22" t="s">
        <v>4363</v>
      </c>
      <c r="B1472" s="22" t="s">
        <v>1323</v>
      </c>
      <c r="C1472" s="22" t="s">
        <v>4364</v>
      </c>
      <c r="D1472" s="22" t="s">
        <v>9</v>
      </c>
      <c r="E1472" s="22" t="s">
        <v>23</v>
      </c>
      <c r="F1472" s="22">
        <v>2888.742</v>
      </c>
    </row>
    <row r="1473" spans="1:6">
      <c r="A1473" s="22" t="s">
        <v>4365</v>
      </c>
      <c r="B1473" s="22" t="s">
        <v>4366</v>
      </c>
      <c r="C1473" s="22" t="s">
        <v>4367</v>
      </c>
      <c r="D1473" s="22" t="s">
        <v>9</v>
      </c>
      <c r="E1473" s="22" t="s">
        <v>23</v>
      </c>
      <c r="F1473" s="22">
        <v>9131.924</v>
      </c>
    </row>
    <row r="1474" spans="1:6">
      <c r="A1474" s="22" t="s">
        <v>4368</v>
      </c>
      <c r="B1474" s="22" t="s">
        <v>4369</v>
      </c>
      <c r="C1474" s="22" t="s">
        <v>4370</v>
      </c>
      <c r="D1474" s="22" t="s">
        <v>9</v>
      </c>
      <c r="E1474" s="22" t="s">
        <v>27</v>
      </c>
      <c r="F1474" s="22">
        <v>60.075</v>
      </c>
    </row>
    <row r="1475" spans="1:6">
      <c r="A1475" s="22" t="s">
        <v>4371</v>
      </c>
      <c r="B1475" s="22" t="s">
        <v>4372</v>
      </c>
      <c r="C1475" s="22" t="s">
        <v>4373</v>
      </c>
      <c r="D1475" s="22" t="s">
        <v>9</v>
      </c>
      <c r="E1475" s="22" t="s">
        <v>23</v>
      </c>
      <c r="F1475" s="22">
        <v>50.003</v>
      </c>
    </row>
    <row r="1476" spans="1:6">
      <c r="A1476" s="22" t="s">
        <v>4374</v>
      </c>
      <c r="B1476" s="22" t="s">
        <v>4375</v>
      </c>
      <c r="C1476" s="22" t="s">
        <v>4376</v>
      </c>
      <c r="D1476" s="22" t="s">
        <v>9</v>
      </c>
      <c r="E1476" s="22" t="s">
        <v>35</v>
      </c>
      <c r="F1476" s="22">
        <v>28.61</v>
      </c>
    </row>
    <row r="1477" spans="1:6">
      <c r="A1477" s="22" t="s">
        <v>4377</v>
      </c>
      <c r="B1477" s="22" t="s">
        <v>4378</v>
      </c>
      <c r="C1477" s="22" t="s">
        <v>4379</v>
      </c>
      <c r="D1477" s="22" t="s">
        <v>9</v>
      </c>
      <c r="E1477" s="22" t="s">
        <v>23</v>
      </c>
      <c r="F1477" s="22">
        <v>30.999</v>
      </c>
    </row>
    <row r="1478" spans="1:6">
      <c r="A1478" s="22" t="s">
        <v>4380</v>
      </c>
      <c r="B1478" s="22" t="s">
        <v>4381</v>
      </c>
      <c r="C1478" s="22" t="s">
        <v>4382</v>
      </c>
      <c r="D1478" s="22" t="s">
        <v>9</v>
      </c>
      <c r="E1478" s="22" t="s">
        <v>23</v>
      </c>
      <c r="F1478" s="22">
        <v>138345.656</v>
      </c>
    </row>
    <row r="1479" spans="1:6">
      <c r="A1479" s="22" t="s">
        <v>4383</v>
      </c>
      <c r="B1479" s="22" t="s">
        <v>3110</v>
      </c>
      <c r="C1479" s="22" t="s">
        <v>4384</v>
      </c>
      <c r="D1479" s="22" t="s">
        <v>9</v>
      </c>
      <c r="E1479" s="22" t="s">
        <v>57</v>
      </c>
      <c r="F1479" s="22">
        <v>58.982</v>
      </c>
    </row>
    <row r="1480" spans="1:6">
      <c r="A1480" s="22" t="s">
        <v>4385</v>
      </c>
      <c r="B1480" s="22" t="s">
        <v>4386</v>
      </c>
      <c r="C1480" s="22" t="s">
        <v>4387</v>
      </c>
      <c r="D1480" s="22" t="s">
        <v>9</v>
      </c>
      <c r="E1480" s="22" t="s">
        <v>23</v>
      </c>
      <c r="F1480" s="22">
        <v>187.577</v>
      </c>
    </row>
    <row r="1481" spans="1:6">
      <c r="A1481" s="22" t="s">
        <v>4388</v>
      </c>
      <c r="B1481" s="22" t="s">
        <v>4389</v>
      </c>
      <c r="C1481" s="22" t="s">
        <v>4390</v>
      </c>
      <c r="D1481" s="22" t="s">
        <v>9</v>
      </c>
      <c r="E1481" s="22" t="s">
        <v>23</v>
      </c>
      <c r="F1481" s="22">
        <v>3.436</v>
      </c>
    </row>
    <row r="1482" spans="1:6">
      <c r="A1482" s="22" t="s">
        <v>4391</v>
      </c>
      <c r="B1482" s="22" t="s">
        <v>4392</v>
      </c>
      <c r="C1482" s="22" t="s">
        <v>4393</v>
      </c>
      <c r="D1482" s="22" t="s">
        <v>9</v>
      </c>
      <c r="E1482" s="22" t="s">
        <v>23</v>
      </c>
      <c r="F1482" s="22">
        <v>50.189</v>
      </c>
    </row>
    <row r="1483" spans="1:6">
      <c r="A1483" s="22" t="s">
        <v>4394</v>
      </c>
      <c r="B1483" s="22" t="s">
        <v>4395</v>
      </c>
      <c r="C1483" s="22" t="s">
        <v>4396</v>
      </c>
      <c r="D1483" s="22" t="s">
        <v>9</v>
      </c>
      <c r="E1483" s="22" t="s">
        <v>23</v>
      </c>
      <c r="F1483" s="22">
        <v>51.179</v>
      </c>
    </row>
    <row r="1484" spans="1:6">
      <c r="A1484" s="22" t="s">
        <v>4397</v>
      </c>
      <c r="B1484" s="22" t="s">
        <v>4398</v>
      </c>
      <c r="C1484" s="22" t="s">
        <v>4399</v>
      </c>
      <c r="D1484" s="22" t="s">
        <v>9</v>
      </c>
      <c r="E1484" s="22" t="s">
        <v>23</v>
      </c>
      <c r="F1484" s="22">
        <v>70933.672</v>
      </c>
    </row>
    <row r="1485" spans="1:6">
      <c r="A1485" s="22" t="s">
        <v>4400</v>
      </c>
      <c r="B1485" s="22" t="s">
        <v>4401</v>
      </c>
      <c r="C1485" s="22" t="s">
        <v>4402</v>
      </c>
      <c r="D1485" s="22" t="s">
        <v>9</v>
      </c>
      <c r="E1485" s="22" t="s">
        <v>23</v>
      </c>
      <c r="F1485" s="22">
        <v>25.086</v>
      </c>
    </row>
    <row r="1486" spans="1:6">
      <c r="A1486" s="22" t="s">
        <v>4403</v>
      </c>
      <c r="B1486" s="22" t="s">
        <v>4404</v>
      </c>
      <c r="C1486" s="22" t="s">
        <v>4405</v>
      </c>
      <c r="D1486" s="22" t="s">
        <v>9</v>
      </c>
      <c r="E1486" s="22" t="s">
        <v>39</v>
      </c>
    </row>
    <row r="1487" spans="1:6">
      <c r="A1487" s="22" t="s">
        <v>4406</v>
      </c>
      <c r="B1487" s="22" t="s">
        <v>4407</v>
      </c>
      <c r="C1487" s="22" t="s">
        <v>4408</v>
      </c>
      <c r="D1487" s="22" t="s">
        <v>9</v>
      </c>
      <c r="E1487" s="22" t="s">
        <v>23</v>
      </c>
      <c r="F1487" s="22">
        <v>16.391</v>
      </c>
    </row>
    <row r="1488" spans="1:6">
      <c r="A1488" s="22" t="s">
        <v>4409</v>
      </c>
      <c r="B1488" s="22" t="s">
        <v>4410</v>
      </c>
      <c r="C1488" s="22" t="s">
        <v>4411</v>
      </c>
      <c r="D1488" s="22" t="s">
        <v>9</v>
      </c>
      <c r="E1488" s="22" t="s">
        <v>31</v>
      </c>
      <c r="F1488" s="22">
        <v>13.238</v>
      </c>
    </row>
    <row r="1489" spans="1:6">
      <c r="A1489" s="22" t="s">
        <v>4412</v>
      </c>
      <c r="B1489" s="22" t="s">
        <v>4413</v>
      </c>
      <c r="C1489" s="22" t="s">
        <v>4414</v>
      </c>
      <c r="D1489" s="22" t="s">
        <v>9</v>
      </c>
      <c r="E1489" s="22" t="s">
        <v>35</v>
      </c>
      <c r="F1489" s="22">
        <v>211.071</v>
      </c>
    </row>
    <row r="1490" spans="1:6">
      <c r="A1490" s="22" t="s">
        <v>4415</v>
      </c>
      <c r="B1490" s="22" t="s">
        <v>4416</v>
      </c>
      <c r="C1490" s="22" t="s">
        <v>4417</v>
      </c>
      <c r="D1490" s="22" t="s">
        <v>9</v>
      </c>
      <c r="E1490" s="22" t="s">
        <v>23</v>
      </c>
      <c r="F1490" s="22">
        <v>1349.969</v>
      </c>
    </row>
    <row r="1491" spans="1:6">
      <c r="A1491" s="22" t="s">
        <v>4418</v>
      </c>
      <c r="B1491" s="22" t="s">
        <v>4419</v>
      </c>
      <c r="C1491" s="22" t="s">
        <v>4420</v>
      </c>
      <c r="D1491" s="22" t="s">
        <v>9</v>
      </c>
      <c r="E1491" s="22" t="s">
        <v>23</v>
      </c>
      <c r="F1491" s="22">
        <v>3.257</v>
      </c>
    </row>
    <row r="1492" spans="1:6">
      <c r="A1492" s="22" t="s">
        <v>4421</v>
      </c>
      <c r="B1492" s="22" t="s">
        <v>4422</v>
      </c>
      <c r="C1492" s="22" t="s">
        <v>4423</v>
      </c>
      <c r="D1492" s="22" t="s">
        <v>9</v>
      </c>
      <c r="E1492" s="22" t="s">
        <v>23</v>
      </c>
      <c r="F1492" s="22">
        <v>20.502</v>
      </c>
    </row>
    <row r="1493" spans="1:6">
      <c r="A1493" s="22" t="s">
        <v>4424</v>
      </c>
      <c r="B1493" s="22" t="s">
        <v>4425</v>
      </c>
      <c r="C1493" s="22" t="s">
        <v>4426</v>
      </c>
      <c r="D1493" s="22" t="s">
        <v>9</v>
      </c>
      <c r="E1493" s="22" t="s">
        <v>50</v>
      </c>
      <c r="F1493" s="22">
        <v>2.438</v>
      </c>
    </row>
    <row r="1494" spans="1:6">
      <c r="A1494" s="22" t="s">
        <v>4427</v>
      </c>
      <c r="B1494" s="22" t="s">
        <v>4428</v>
      </c>
      <c r="C1494" s="22" t="s">
        <v>4429</v>
      </c>
      <c r="D1494" s="22" t="s">
        <v>9</v>
      </c>
      <c r="E1494" s="22" t="s">
        <v>23</v>
      </c>
      <c r="F1494" s="22">
        <v>155.423</v>
      </c>
    </row>
    <row r="1495" spans="1:6">
      <c r="A1495" s="22" t="s">
        <v>4430</v>
      </c>
      <c r="B1495" s="22" t="s">
        <v>4431</v>
      </c>
      <c r="C1495" s="22" t="s">
        <v>4432</v>
      </c>
      <c r="D1495" s="22" t="s">
        <v>9</v>
      </c>
      <c r="E1495" s="22" t="s">
        <v>23</v>
      </c>
      <c r="F1495" s="22">
        <v>734.314</v>
      </c>
    </row>
    <row r="1496" spans="1:6">
      <c r="A1496" s="22" t="s">
        <v>4433</v>
      </c>
      <c r="B1496" s="22" t="s">
        <v>4434</v>
      </c>
      <c r="C1496" s="22" t="s">
        <v>4435</v>
      </c>
      <c r="D1496" s="22" t="s">
        <v>9</v>
      </c>
      <c r="E1496" s="22" t="s">
        <v>35</v>
      </c>
      <c r="F1496" s="22">
        <v>517.836</v>
      </c>
    </row>
    <row r="1497" spans="1:6">
      <c r="A1497" s="22" t="s">
        <v>4436</v>
      </c>
      <c r="B1497" s="22" t="s">
        <v>4437</v>
      </c>
      <c r="C1497" s="22" t="s">
        <v>4438</v>
      </c>
      <c r="D1497" s="22" t="s">
        <v>9</v>
      </c>
      <c r="E1497" s="22" t="s">
        <v>57</v>
      </c>
      <c r="F1497" s="22">
        <v>102.773</v>
      </c>
    </row>
    <row r="1498" spans="1:6">
      <c r="A1498" s="22" t="s">
        <v>4439</v>
      </c>
      <c r="B1498" s="22" t="s">
        <v>4440</v>
      </c>
      <c r="C1498" s="22" t="s">
        <v>4441</v>
      </c>
      <c r="D1498" s="22" t="s">
        <v>9</v>
      </c>
      <c r="E1498" s="22" t="s">
        <v>23</v>
      </c>
      <c r="F1498" s="22">
        <v>200.905</v>
      </c>
    </row>
    <row r="1499" spans="1:6">
      <c r="A1499" s="22" t="s">
        <v>4442</v>
      </c>
      <c r="B1499" s="22" t="s">
        <v>4443</v>
      </c>
      <c r="C1499" s="22" t="s">
        <v>4444</v>
      </c>
      <c r="D1499" s="22" t="s">
        <v>9</v>
      </c>
      <c r="E1499" s="22" t="s">
        <v>27</v>
      </c>
      <c r="F1499" s="22">
        <v>115.795</v>
      </c>
    </row>
    <row r="1500" spans="1:6">
      <c r="A1500" s="22" t="s">
        <v>4445</v>
      </c>
      <c r="B1500" s="22" t="s">
        <v>4446</v>
      </c>
      <c r="C1500" s="22" t="s">
        <v>4447</v>
      </c>
      <c r="D1500" s="22" t="s">
        <v>9</v>
      </c>
      <c r="E1500" s="22" t="s">
        <v>35</v>
      </c>
      <c r="F1500" s="22">
        <v>65.173</v>
      </c>
    </row>
    <row r="1501" spans="1:6">
      <c r="A1501" s="22" t="s">
        <v>4448</v>
      </c>
      <c r="B1501" s="22" t="s">
        <v>4449</v>
      </c>
      <c r="C1501" s="22" t="s">
        <v>4450</v>
      </c>
      <c r="D1501" s="22" t="s">
        <v>9</v>
      </c>
      <c r="E1501" s="22" t="s">
        <v>23</v>
      </c>
      <c r="F1501" s="22">
        <v>3993.472</v>
      </c>
    </row>
    <row r="1502" spans="1:6">
      <c r="A1502" s="22" t="s">
        <v>4451</v>
      </c>
      <c r="B1502" s="22" t="s">
        <v>4452</v>
      </c>
      <c r="C1502" s="22" t="s">
        <v>4453</v>
      </c>
      <c r="D1502" s="22" t="s">
        <v>9</v>
      </c>
      <c r="E1502" s="22" t="s">
        <v>23</v>
      </c>
      <c r="F1502" s="22">
        <v>115.337</v>
      </c>
    </row>
    <row r="1503" spans="1:6">
      <c r="A1503" s="22" t="s">
        <v>4454</v>
      </c>
      <c r="B1503" s="22" t="s">
        <v>4455</v>
      </c>
      <c r="C1503" s="22" t="s">
        <v>4456</v>
      </c>
      <c r="D1503" s="22" t="s">
        <v>9</v>
      </c>
      <c r="E1503" s="22" t="s">
        <v>23</v>
      </c>
      <c r="F1503" s="22">
        <v>0.874</v>
      </c>
    </row>
    <row r="1504" spans="1:6">
      <c r="A1504" s="22" t="s">
        <v>4457</v>
      </c>
      <c r="B1504" s="22" t="s">
        <v>4458</v>
      </c>
      <c r="C1504" s="22" t="s">
        <v>4459</v>
      </c>
      <c r="D1504" s="22" t="s">
        <v>9</v>
      </c>
      <c r="E1504" s="22" t="s">
        <v>27</v>
      </c>
      <c r="F1504" s="22">
        <v>367.777</v>
      </c>
    </row>
    <row r="1505" spans="1:6">
      <c r="A1505" s="22" t="s">
        <v>4460</v>
      </c>
      <c r="B1505" s="22" t="s">
        <v>4461</v>
      </c>
      <c r="C1505" s="22" t="s">
        <v>4462</v>
      </c>
      <c r="D1505" s="22" t="s">
        <v>9</v>
      </c>
      <c r="E1505" s="22" t="s">
        <v>27</v>
      </c>
      <c r="F1505" s="22">
        <v>131.87</v>
      </c>
    </row>
    <row r="1506" spans="1:6">
      <c r="A1506" s="22" t="s">
        <v>4463</v>
      </c>
      <c r="B1506" s="22" t="s">
        <v>4464</v>
      </c>
      <c r="C1506" s="22" t="s">
        <v>4465</v>
      </c>
      <c r="D1506" s="22" t="s">
        <v>9</v>
      </c>
      <c r="E1506" s="22" t="s">
        <v>31</v>
      </c>
      <c r="F1506" s="22">
        <v>416.843</v>
      </c>
    </row>
    <row r="1507" spans="1:6">
      <c r="A1507" s="22" t="s">
        <v>4466</v>
      </c>
      <c r="B1507" s="22" t="s">
        <v>4467</v>
      </c>
      <c r="C1507" s="22" t="s">
        <v>4468</v>
      </c>
      <c r="D1507" s="22" t="s">
        <v>9</v>
      </c>
      <c r="E1507" s="22" t="s">
        <v>14</v>
      </c>
      <c r="F1507" s="22">
        <v>102.487</v>
      </c>
    </row>
    <row r="1508" spans="1:6">
      <c r="A1508" s="22" t="s">
        <v>4469</v>
      </c>
      <c r="B1508" s="22" t="s">
        <v>4470</v>
      </c>
      <c r="C1508" s="22" t="s">
        <v>4471</v>
      </c>
      <c r="D1508" s="22" t="s">
        <v>9</v>
      </c>
      <c r="E1508" s="22" t="s">
        <v>23</v>
      </c>
      <c r="F1508" s="22">
        <v>1782.807</v>
      </c>
    </row>
    <row r="1509" spans="1:6">
      <c r="A1509" s="22" t="s">
        <v>4472</v>
      </c>
      <c r="B1509" s="22" t="s">
        <v>2871</v>
      </c>
      <c r="C1509" s="22" t="s">
        <v>4473</v>
      </c>
      <c r="D1509" s="22" t="s">
        <v>9</v>
      </c>
      <c r="E1509" s="22" t="s">
        <v>23</v>
      </c>
      <c r="F1509" s="22">
        <v>9.55</v>
      </c>
    </row>
    <row r="1510" spans="1:6">
      <c r="A1510" s="22" t="s">
        <v>4474</v>
      </c>
      <c r="B1510" s="22" t="s">
        <v>4475</v>
      </c>
      <c r="C1510" s="22" t="s">
        <v>4476</v>
      </c>
      <c r="D1510" s="22" t="s">
        <v>9</v>
      </c>
      <c r="E1510" s="22" t="s">
        <v>23</v>
      </c>
      <c r="F1510" s="22">
        <v>10300.622</v>
      </c>
    </row>
    <row r="1511" spans="1:6">
      <c r="A1511" s="22" t="s">
        <v>4477</v>
      </c>
      <c r="B1511" s="22" t="s">
        <v>4478</v>
      </c>
      <c r="C1511" s="22" t="s">
        <v>4479</v>
      </c>
      <c r="D1511" s="22" t="s">
        <v>9</v>
      </c>
      <c r="E1511" s="22" t="s">
        <v>27</v>
      </c>
      <c r="F1511" s="22">
        <v>3753.417</v>
      </c>
    </row>
    <row r="1512" spans="1:6">
      <c r="A1512" s="22" t="s">
        <v>4480</v>
      </c>
      <c r="B1512" s="22" t="s">
        <v>4481</v>
      </c>
      <c r="C1512" s="22" t="s">
        <v>4482</v>
      </c>
      <c r="D1512" s="22" t="s">
        <v>9</v>
      </c>
      <c r="E1512" s="22" t="s">
        <v>27</v>
      </c>
      <c r="F1512" s="22">
        <v>448.826</v>
      </c>
    </row>
    <row r="1513" spans="1:6">
      <c r="A1513" s="22" t="s">
        <v>4483</v>
      </c>
      <c r="B1513" s="22" t="s">
        <v>4484</v>
      </c>
      <c r="C1513" s="22" t="s">
        <v>4485</v>
      </c>
      <c r="D1513" s="22" t="s">
        <v>9</v>
      </c>
      <c r="E1513" s="22" t="s">
        <v>23</v>
      </c>
      <c r="F1513" s="22">
        <v>43.143</v>
      </c>
    </row>
    <row r="1514" spans="1:6">
      <c r="A1514" s="22" t="s">
        <v>4486</v>
      </c>
      <c r="B1514" s="22" t="s">
        <v>4487</v>
      </c>
      <c r="C1514" s="22" t="s">
        <v>4488</v>
      </c>
      <c r="D1514" s="22" t="s">
        <v>9</v>
      </c>
      <c r="E1514" s="22" t="s">
        <v>57</v>
      </c>
      <c r="F1514" s="22">
        <v>70.35</v>
      </c>
    </row>
    <row r="1515" spans="1:6">
      <c r="A1515" s="22" t="s">
        <v>4489</v>
      </c>
      <c r="B1515" s="22" t="s">
        <v>4490</v>
      </c>
      <c r="C1515" s="22" t="s">
        <v>4491</v>
      </c>
      <c r="D1515" s="22" t="s">
        <v>9</v>
      </c>
      <c r="E1515" s="22" t="s">
        <v>23</v>
      </c>
      <c r="F1515" s="22">
        <v>868.64</v>
      </c>
    </row>
    <row r="1516" spans="1:6">
      <c r="A1516" s="22" t="s">
        <v>4492</v>
      </c>
      <c r="B1516" s="22" t="s">
        <v>4493</v>
      </c>
      <c r="C1516" s="22" t="s">
        <v>4494</v>
      </c>
      <c r="D1516" s="22" t="s">
        <v>9</v>
      </c>
      <c r="E1516" s="22" t="s">
        <v>23</v>
      </c>
      <c r="F1516" s="22">
        <v>17657.16</v>
      </c>
    </row>
    <row r="1517" spans="1:6">
      <c r="A1517" s="22" t="s">
        <v>4495</v>
      </c>
      <c r="B1517" s="22" t="s">
        <v>1775</v>
      </c>
      <c r="C1517" s="22" t="s">
        <v>4496</v>
      </c>
      <c r="D1517" s="22" t="s">
        <v>9</v>
      </c>
      <c r="E1517" s="22" t="s">
        <v>27</v>
      </c>
      <c r="F1517" s="22">
        <v>5030.679</v>
      </c>
    </row>
    <row r="1518" spans="1:6">
      <c r="A1518" s="22" t="s">
        <v>4497</v>
      </c>
      <c r="B1518" s="22" t="s">
        <v>4498</v>
      </c>
      <c r="C1518" s="22" t="s">
        <v>4499</v>
      </c>
      <c r="D1518" s="22" t="s">
        <v>9</v>
      </c>
      <c r="E1518" s="22" t="s">
        <v>14</v>
      </c>
      <c r="F1518" s="22">
        <v>213.529</v>
      </c>
    </row>
    <row r="1519" spans="1:6">
      <c r="A1519" s="22" t="s">
        <v>4500</v>
      </c>
      <c r="B1519" s="22" t="s">
        <v>4501</v>
      </c>
      <c r="C1519" s="22" t="s">
        <v>4502</v>
      </c>
      <c r="D1519" s="22" t="s">
        <v>9</v>
      </c>
      <c r="E1519" s="22" t="s">
        <v>23</v>
      </c>
      <c r="F1519" s="22">
        <v>7.454</v>
      </c>
    </row>
    <row r="1520" spans="1:6">
      <c r="A1520" s="22" t="s">
        <v>4503</v>
      </c>
      <c r="B1520" s="22" t="s">
        <v>4504</v>
      </c>
      <c r="C1520" s="22" t="s">
        <v>4505</v>
      </c>
      <c r="D1520" s="22" t="s">
        <v>9</v>
      </c>
      <c r="E1520" s="22" t="s">
        <v>50</v>
      </c>
      <c r="F1520" s="22">
        <v>3.846</v>
      </c>
    </row>
    <row r="1521" spans="1:6">
      <c r="A1521" s="22" t="s">
        <v>4506</v>
      </c>
      <c r="B1521" s="22" t="s">
        <v>4507</v>
      </c>
      <c r="C1521" s="22" t="s">
        <v>4508</v>
      </c>
      <c r="D1521" s="22" t="s">
        <v>9</v>
      </c>
      <c r="E1521" s="22" t="s">
        <v>23</v>
      </c>
      <c r="F1521" s="22">
        <v>2.535</v>
      </c>
    </row>
    <row r="1522" spans="1:6">
      <c r="A1522" s="22" t="s">
        <v>4509</v>
      </c>
      <c r="B1522" s="22" t="s">
        <v>4510</v>
      </c>
      <c r="C1522" s="22" t="s">
        <v>4511</v>
      </c>
      <c r="D1522" s="22" t="s">
        <v>9</v>
      </c>
      <c r="E1522" s="22" t="s">
        <v>27</v>
      </c>
      <c r="F1522" s="22">
        <v>619.861</v>
      </c>
    </row>
    <row r="1523" spans="1:6">
      <c r="A1523" s="22" t="s">
        <v>4512</v>
      </c>
      <c r="B1523" s="22" t="s">
        <v>4513</v>
      </c>
      <c r="C1523" s="22" t="s">
        <v>4514</v>
      </c>
      <c r="D1523" s="22" t="s">
        <v>9</v>
      </c>
      <c r="E1523" s="22" t="s">
        <v>23</v>
      </c>
      <c r="F1523" s="22">
        <v>3.777</v>
      </c>
    </row>
    <row r="1524" spans="1:6">
      <c r="A1524" s="22" t="s">
        <v>4515</v>
      </c>
      <c r="B1524" s="22" t="s">
        <v>4516</v>
      </c>
      <c r="C1524" s="22" t="s">
        <v>4517</v>
      </c>
      <c r="D1524" s="22" t="s">
        <v>9</v>
      </c>
      <c r="E1524" s="22" t="s">
        <v>14</v>
      </c>
      <c r="F1524" s="22">
        <v>191.004</v>
      </c>
    </row>
    <row r="1525" spans="1:6">
      <c r="A1525" s="22" t="s">
        <v>4518</v>
      </c>
      <c r="B1525" s="22" t="s">
        <v>4519</v>
      </c>
      <c r="C1525" s="22" t="s">
        <v>4520</v>
      </c>
      <c r="D1525" s="22" t="s">
        <v>9</v>
      </c>
      <c r="E1525" s="22" t="s">
        <v>23</v>
      </c>
      <c r="F1525" s="22">
        <v>51.411</v>
      </c>
    </row>
    <row r="1526" spans="1:6">
      <c r="A1526" s="22" t="s">
        <v>4521</v>
      </c>
      <c r="B1526" s="22" t="s">
        <v>4522</v>
      </c>
      <c r="C1526" s="22" t="s">
        <v>4523</v>
      </c>
      <c r="D1526" s="22" t="s">
        <v>9</v>
      </c>
      <c r="E1526" s="22" t="s">
        <v>27</v>
      </c>
      <c r="F1526" s="22">
        <v>330</v>
      </c>
    </row>
    <row r="1527" spans="1:6">
      <c r="A1527" s="22" t="s">
        <v>4524</v>
      </c>
      <c r="B1527" s="22" t="s">
        <v>4525</v>
      </c>
      <c r="C1527" s="22" t="s">
        <v>4526</v>
      </c>
      <c r="D1527" s="22" t="s">
        <v>9</v>
      </c>
      <c r="E1527" s="22" t="s">
        <v>82</v>
      </c>
    </row>
    <row r="1528" spans="1:6">
      <c r="A1528" s="22" t="s">
        <v>4527</v>
      </c>
      <c r="B1528" s="22" t="s">
        <v>4528</v>
      </c>
      <c r="C1528" s="22" t="s">
        <v>4529</v>
      </c>
      <c r="D1528" s="22" t="s">
        <v>9</v>
      </c>
      <c r="E1528" s="22" t="s">
        <v>23</v>
      </c>
      <c r="F1528" s="22">
        <v>149636.656</v>
      </c>
    </row>
    <row r="1529" spans="1:6">
      <c r="A1529" s="22" t="s">
        <v>4530</v>
      </c>
      <c r="B1529" s="22" t="s">
        <v>4531</v>
      </c>
      <c r="C1529" s="22" t="s">
        <v>4532</v>
      </c>
      <c r="D1529" s="22" t="s">
        <v>9</v>
      </c>
      <c r="E1529" s="22" t="s">
        <v>23</v>
      </c>
      <c r="F1529" s="22">
        <v>40.703</v>
      </c>
    </row>
    <row r="1530" spans="1:6">
      <c r="A1530" s="22" t="s">
        <v>4533</v>
      </c>
      <c r="B1530" s="22" t="s">
        <v>4534</v>
      </c>
      <c r="C1530" s="22" t="s">
        <v>4535</v>
      </c>
      <c r="D1530" s="22" t="s">
        <v>9</v>
      </c>
      <c r="E1530" s="22" t="s">
        <v>23</v>
      </c>
      <c r="F1530" s="22">
        <v>54.305</v>
      </c>
    </row>
    <row r="1531" spans="1:6">
      <c r="A1531" s="22" t="s">
        <v>4536</v>
      </c>
      <c r="B1531" s="22" t="s">
        <v>4537</v>
      </c>
      <c r="C1531" s="22" t="s">
        <v>4538</v>
      </c>
      <c r="D1531" s="22" t="s">
        <v>9</v>
      </c>
      <c r="E1531" s="22" t="s">
        <v>23</v>
      </c>
      <c r="F1531" s="22">
        <v>111.173</v>
      </c>
    </row>
    <row r="1532" spans="1:6">
      <c r="A1532" s="22" t="s">
        <v>4539</v>
      </c>
      <c r="B1532" s="22" t="s">
        <v>4540</v>
      </c>
      <c r="C1532" s="22" t="s">
        <v>4541</v>
      </c>
      <c r="D1532" s="22" t="s">
        <v>9</v>
      </c>
      <c r="E1532" s="22" t="s">
        <v>23</v>
      </c>
      <c r="F1532" s="22">
        <v>2235.115</v>
      </c>
    </row>
    <row r="1533" spans="1:6">
      <c r="A1533" s="22" t="s">
        <v>4542</v>
      </c>
      <c r="B1533" s="22" t="s">
        <v>4543</v>
      </c>
      <c r="C1533" s="22" t="s">
        <v>4544</v>
      </c>
      <c r="D1533" s="22" t="s">
        <v>9</v>
      </c>
      <c r="E1533" s="22" t="s">
        <v>40</v>
      </c>
      <c r="F1533" s="22">
        <v>428.873</v>
      </c>
    </row>
    <row r="1534" spans="1:6">
      <c r="A1534" s="22" t="s">
        <v>4545</v>
      </c>
      <c r="B1534" s="22" t="s">
        <v>4546</v>
      </c>
      <c r="C1534" s="22" t="s">
        <v>4547</v>
      </c>
      <c r="D1534" s="22" t="s">
        <v>9</v>
      </c>
      <c r="E1534" s="22" t="s">
        <v>27</v>
      </c>
      <c r="F1534" s="22">
        <v>265.928</v>
      </c>
    </row>
    <row r="1535" spans="1:6">
      <c r="A1535" s="22" t="s">
        <v>4548</v>
      </c>
      <c r="B1535" s="22" t="s">
        <v>4549</v>
      </c>
      <c r="C1535" s="22" t="s">
        <v>4550</v>
      </c>
      <c r="D1535" s="22" t="s">
        <v>9</v>
      </c>
      <c r="E1535" s="22" t="s">
        <v>23</v>
      </c>
      <c r="F1535" s="22">
        <v>1245.839</v>
      </c>
    </row>
    <row r="1536" spans="1:6">
      <c r="A1536" s="22" t="s">
        <v>4551</v>
      </c>
      <c r="B1536" s="22" t="s">
        <v>2445</v>
      </c>
      <c r="C1536" s="22" t="s">
        <v>4552</v>
      </c>
      <c r="D1536" s="22" t="s">
        <v>9</v>
      </c>
      <c r="E1536" s="22" t="s">
        <v>23</v>
      </c>
      <c r="F1536" s="22">
        <v>3727.267</v>
      </c>
    </row>
    <row r="1537" spans="1:6">
      <c r="A1537" s="22" t="s">
        <v>4553</v>
      </c>
      <c r="B1537" s="22" t="s">
        <v>4554</v>
      </c>
      <c r="C1537" s="22" t="s">
        <v>4555</v>
      </c>
      <c r="D1537" s="22" t="s">
        <v>9</v>
      </c>
      <c r="E1537" s="22" t="s">
        <v>27</v>
      </c>
      <c r="F1537" s="22">
        <v>151.16</v>
      </c>
    </row>
    <row r="1538" spans="1:6">
      <c r="A1538" s="22" t="s">
        <v>4556</v>
      </c>
      <c r="B1538" s="22" t="s">
        <v>4557</v>
      </c>
      <c r="C1538" s="22" t="s">
        <v>4558</v>
      </c>
      <c r="D1538" s="22" t="s">
        <v>9</v>
      </c>
      <c r="E1538" s="22" t="s">
        <v>23</v>
      </c>
      <c r="F1538" s="22">
        <v>2838.553</v>
      </c>
    </row>
    <row r="1539" spans="1:6">
      <c r="A1539" s="22" t="s">
        <v>4559</v>
      </c>
      <c r="B1539" s="22" t="s">
        <v>4560</v>
      </c>
      <c r="C1539" s="22" t="s">
        <v>4561</v>
      </c>
      <c r="D1539" s="22" t="s">
        <v>9</v>
      </c>
      <c r="E1539" s="22" t="s">
        <v>27</v>
      </c>
      <c r="F1539" s="22">
        <v>322.003</v>
      </c>
    </row>
    <row r="1540" spans="1:6">
      <c r="A1540" s="22" t="s">
        <v>4562</v>
      </c>
      <c r="B1540" s="22" t="s">
        <v>4563</v>
      </c>
      <c r="C1540" s="22" t="s">
        <v>4564</v>
      </c>
      <c r="D1540" s="22" t="s">
        <v>9</v>
      </c>
      <c r="E1540" s="22" t="s">
        <v>27</v>
      </c>
      <c r="F1540" s="22">
        <v>931.321</v>
      </c>
    </row>
    <row r="1541" spans="1:6">
      <c r="A1541" s="22" t="s">
        <v>4565</v>
      </c>
      <c r="B1541" s="22" t="s">
        <v>3223</v>
      </c>
      <c r="C1541" s="22" t="s">
        <v>4566</v>
      </c>
      <c r="D1541" s="22" t="s">
        <v>9</v>
      </c>
      <c r="E1541" s="22" t="s">
        <v>27</v>
      </c>
      <c r="F1541" s="22">
        <v>3729.362</v>
      </c>
    </row>
    <row r="1542" spans="1:6">
      <c r="A1542" s="22" t="s">
        <v>4567</v>
      </c>
      <c r="B1542" s="22" t="s">
        <v>4568</v>
      </c>
      <c r="C1542" s="22" t="s">
        <v>4569</v>
      </c>
      <c r="D1542" s="22" t="s">
        <v>9</v>
      </c>
      <c r="E1542" s="22" t="s">
        <v>35</v>
      </c>
      <c r="F1542" s="22">
        <v>29.219</v>
      </c>
    </row>
    <row r="1543" spans="1:6">
      <c r="A1543" s="22" t="s">
        <v>4570</v>
      </c>
      <c r="B1543" s="22" t="s">
        <v>4571</v>
      </c>
      <c r="C1543" s="22" t="s">
        <v>4572</v>
      </c>
      <c r="D1543" s="22" t="s">
        <v>9</v>
      </c>
      <c r="E1543" s="22" t="s">
        <v>61</v>
      </c>
      <c r="F1543" s="22">
        <v>51.869</v>
      </c>
    </row>
    <row r="1544" spans="1:6">
      <c r="A1544" s="22" t="s">
        <v>4573</v>
      </c>
      <c r="B1544" s="22" t="s">
        <v>4574</v>
      </c>
      <c r="C1544" s="22" t="s">
        <v>4575</v>
      </c>
      <c r="D1544" s="22" t="s">
        <v>9</v>
      </c>
      <c r="E1544" s="22" t="s">
        <v>78</v>
      </c>
      <c r="F1544" s="22">
        <v>126.147</v>
      </c>
    </row>
    <row r="1545" spans="1:6">
      <c r="A1545" s="22" t="s">
        <v>4576</v>
      </c>
      <c r="B1545" s="22" t="s">
        <v>4577</v>
      </c>
      <c r="C1545" s="22" t="s">
        <v>4578</v>
      </c>
      <c r="D1545" s="22" t="s">
        <v>9</v>
      </c>
      <c r="E1545" s="22" t="s">
        <v>31</v>
      </c>
      <c r="F1545" s="22">
        <v>420.418</v>
      </c>
    </row>
    <row r="1546" spans="1:6">
      <c r="A1546" s="22" t="s">
        <v>4579</v>
      </c>
      <c r="B1546" s="22" t="s">
        <v>4580</v>
      </c>
      <c r="C1546" s="22" t="s">
        <v>4581</v>
      </c>
      <c r="D1546" s="22" t="s">
        <v>9</v>
      </c>
      <c r="E1546" s="22" t="s">
        <v>27</v>
      </c>
      <c r="F1546" s="22">
        <v>10.838</v>
      </c>
    </row>
    <row r="1547" spans="1:6">
      <c r="A1547" s="22" t="s">
        <v>4582</v>
      </c>
      <c r="B1547" s="22" t="s">
        <v>4583</v>
      </c>
      <c r="C1547" s="22" t="s">
        <v>4584</v>
      </c>
      <c r="D1547" s="22" t="s">
        <v>9</v>
      </c>
      <c r="E1547" s="22" t="s">
        <v>23</v>
      </c>
      <c r="F1547" s="22">
        <v>5043.187</v>
      </c>
    </row>
    <row r="1548" spans="1:6">
      <c r="A1548" s="22" t="s">
        <v>4585</v>
      </c>
      <c r="B1548" s="22" t="s">
        <v>4586</v>
      </c>
      <c r="C1548" s="22" t="s">
        <v>4587</v>
      </c>
      <c r="D1548" s="22" t="s">
        <v>9</v>
      </c>
      <c r="E1548" s="22" t="s">
        <v>57</v>
      </c>
      <c r="F1548" s="22">
        <v>369.081</v>
      </c>
    </row>
    <row r="1549" spans="1:6">
      <c r="A1549" s="22" t="s">
        <v>4588</v>
      </c>
      <c r="B1549" s="22" t="s">
        <v>4589</v>
      </c>
      <c r="C1549" s="22" t="s">
        <v>4590</v>
      </c>
      <c r="D1549" s="22" t="s">
        <v>9</v>
      </c>
      <c r="E1549" s="22" t="s">
        <v>23</v>
      </c>
      <c r="F1549" s="22">
        <v>2382.437</v>
      </c>
    </row>
    <row r="1550" spans="1:6">
      <c r="A1550" s="22" t="s">
        <v>4591</v>
      </c>
      <c r="B1550" s="22" t="s">
        <v>4592</v>
      </c>
      <c r="C1550" s="22" t="s">
        <v>4593</v>
      </c>
      <c r="D1550" s="22" t="s">
        <v>9</v>
      </c>
      <c r="E1550" s="22" t="s">
        <v>23</v>
      </c>
      <c r="F1550" s="22">
        <v>614.575</v>
      </c>
    </row>
    <row r="1551" spans="1:6">
      <c r="A1551" s="22" t="s">
        <v>4594</v>
      </c>
      <c r="B1551" s="22" t="s">
        <v>4595</v>
      </c>
      <c r="C1551" s="22" t="s">
        <v>4596</v>
      </c>
      <c r="D1551" s="22" t="s">
        <v>9</v>
      </c>
      <c r="E1551" s="22" t="s">
        <v>23</v>
      </c>
      <c r="F1551" s="22">
        <v>4551.993</v>
      </c>
    </row>
    <row r="1552" spans="1:6">
      <c r="A1552" s="22" t="s">
        <v>4597</v>
      </c>
      <c r="B1552" s="22" t="s">
        <v>2445</v>
      </c>
      <c r="C1552" s="22" t="s">
        <v>4598</v>
      </c>
      <c r="D1552" s="22" t="s">
        <v>9</v>
      </c>
      <c r="E1552" s="22" t="s">
        <v>27</v>
      </c>
      <c r="F1552" s="22">
        <v>1304.966</v>
      </c>
    </row>
    <row r="1553" spans="1:6">
      <c r="A1553" s="22" t="s">
        <v>4599</v>
      </c>
      <c r="B1553" s="22" t="s">
        <v>4600</v>
      </c>
      <c r="C1553" s="22" t="s">
        <v>4601</v>
      </c>
      <c r="D1553" s="22" t="s">
        <v>9</v>
      </c>
      <c r="E1553" s="22" t="s">
        <v>23</v>
      </c>
      <c r="F1553" s="22">
        <v>63129.09</v>
      </c>
    </row>
    <row r="1554" spans="1:6">
      <c r="A1554" s="22" t="s">
        <v>4602</v>
      </c>
      <c r="B1554" s="22" t="s">
        <v>4603</v>
      </c>
      <c r="C1554" s="22" t="s">
        <v>4604</v>
      </c>
      <c r="D1554" s="22" t="s">
        <v>9</v>
      </c>
      <c r="E1554" s="22" t="s">
        <v>23</v>
      </c>
      <c r="F1554" s="22">
        <v>6305.414</v>
      </c>
    </row>
    <row r="1555" spans="1:6">
      <c r="A1555" s="22" t="s">
        <v>4605</v>
      </c>
      <c r="B1555" s="22" t="s">
        <v>4606</v>
      </c>
      <c r="C1555" s="22" t="s">
        <v>4607</v>
      </c>
      <c r="D1555" s="22" t="s">
        <v>9</v>
      </c>
      <c r="E1555" s="22" t="s">
        <v>31</v>
      </c>
      <c r="F1555" s="22">
        <v>8.305</v>
      </c>
    </row>
    <row r="1556" spans="1:6">
      <c r="A1556" s="22" t="s">
        <v>4608</v>
      </c>
      <c r="B1556" s="22" t="s">
        <v>1223</v>
      </c>
      <c r="C1556" s="22" t="s">
        <v>4609</v>
      </c>
      <c r="D1556" s="22" t="s">
        <v>9</v>
      </c>
      <c r="E1556" s="22" t="s">
        <v>62</v>
      </c>
      <c r="F1556" s="22">
        <v>39.071</v>
      </c>
    </row>
    <row r="1557" spans="1:6">
      <c r="A1557" s="22" t="s">
        <v>4610</v>
      </c>
      <c r="B1557" s="22" t="s">
        <v>4611</v>
      </c>
      <c r="C1557" s="22" t="s">
        <v>4612</v>
      </c>
      <c r="D1557" s="22" t="s">
        <v>9</v>
      </c>
      <c r="E1557" s="22" t="s">
        <v>23</v>
      </c>
      <c r="F1557" s="22">
        <v>293.238</v>
      </c>
    </row>
    <row r="1558" spans="1:6">
      <c r="A1558" s="22" t="s">
        <v>4613</v>
      </c>
      <c r="B1558" s="22" t="s">
        <v>4614</v>
      </c>
      <c r="C1558" s="22" t="s">
        <v>4615</v>
      </c>
      <c r="D1558" s="22" t="s">
        <v>9</v>
      </c>
      <c r="E1558" s="22" t="s">
        <v>23</v>
      </c>
      <c r="F1558" s="22">
        <v>8.711</v>
      </c>
    </row>
    <row r="1559" spans="1:6">
      <c r="A1559" s="22" t="s">
        <v>4616</v>
      </c>
      <c r="B1559" s="22" t="s">
        <v>4617</v>
      </c>
      <c r="C1559" s="22" t="s">
        <v>4618</v>
      </c>
      <c r="D1559" s="22" t="s">
        <v>9</v>
      </c>
      <c r="E1559" s="22" t="s">
        <v>23</v>
      </c>
      <c r="F1559" s="22">
        <v>2237.019</v>
      </c>
    </row>
    <row r="1560" spans="1:6">
      <c r="A1560" s="22" t="s">
        <v>4619</v>
      </c>
      <c r="B1560" s="22" t="s">
        <v>4620</v>
      </c>
      <c r="C1560" s="22" t="s">
        <v>4621</v>
      </c>
      <c r="D1560" s="22" t="s">
        <v>9</v>
      </c>
      <c r="E1560" s="22" t="s">
        <v>23</v>
      </c>
      <c r="F1560" s="22">
        <v>304.83</v>
      </c>
    </row>
    <row r="1561" spans="1:6">
      <c r="A1561" s="22" t="s">
        <v>4622</v>
      </c>
      <c r="B1561" s="22" t="s">
        <v>4623</v>
      </c>
      <c r="C1561" s="22" t="s">
        <v>4624</v>
      </c>
      <c r="D1561" s="22" t="s">
        <v>9</v>
      </c>
      <c r="E1561" s="22" t="s">
        <v>23</v>
      </c>
      <c r="F1561" s="22">
        <v>708.499</v>
      </c>
    </row>
    <row r="1562" spans="1:6">
      <c r="A1562" s="22" t="s">
        <v>4625</v>
      </c>
      <c r="B1562" s="22" t="s">
        <v>4626</v>
      </c>
      <c r="C1562" s="22" t="s">
        <v>4627</v>
      </c>
      <c r="D1562" s="22" t="s">
        <v>9</v>
      </c>
      <c r="E1562" s="22" t="s">
        <v>27</v>
      </c>
      <c r="F1562" s="22">
        <v>55.649</v>
      </c>
    </row>
    <row r="1563" spans="1:6">
      <c r="A1563" s="22" t="s">
        <v>4628</v>
      </c>
      <c r="B1563" s="22" t="s">
        <v>4629</v>
      </c>
      <c r="C1563" s="22" t="s">
        <v>4630</v>
      </c>
      <c r="D1563" s="22" t="s">
        <v>9</v>
      </c>
      <c r="E1563" s="22" t="s">
        <v>23</v>
      </c>
      <c r="F1563" s="22">
        <v>430.95</v>
      </c>
    </row>
    <row r="1564" spans="1:6">
      <c r="A1564" s="22" t="s">
        <v>4631</v>
      </c>
      <c r="B1564" s="22" t="s">
        <v>4632</v>
      </c>
      <c r="C1564" s="22" t="s">
        <v>4633</v>
      </c>
      <c r="D1564" s="22" t="s">
        <v>9</v>
      </c>
      <c r="E1564" s="22" t="s">
        <v>39</v>
      </c>
      <c r="F1564" s="22">
        <v>326.741</v>
      </c>
    </row>
    <row r="1565" spans="1:6">
      <c r="A1565" s="22" t="s">
        <v>4634</v>
      </c>
      <c r="B1565" s="22" t="s">
        <v>3345</v>
      </c>
      <c r="C1565" s="22" t="s">
        <v>4635</v>
      </c>
      <c r="D1565" s="22" t="s">
        <v>9</v>
      </c>
      <c r="E1565" s="22" t="s">
        <v>23</v>
      </c>
      <c r="F1565" s="22">
        <v>3657.295</v>
      </c>
    </row>
    <row r="1566" spans="1:6">
      <c r="A1566" s="22" t="s">
        <v>4636</v>
      </c>
      <c r="B1566" s="22" t="s">
        <v>4637</v>
      </c>
      <c r="C1566" s="22" t="s">
        <v>4638</v>
      </c>
      <c r="D1566" s="22" t="s">
        <v>9</v>
      </c>
      <c r="E1566" s="22" t="s">
        <v>23</v>
      </c>
      <c r="F1566" s="22">
        <v>7.931</v>
      </c>
    </row>
    <row r="1567" spans="1:6">
      <c r="A1567" s="22" t="s">
        <v>4639</v>
      </c>
      <c r="B1567" s="22" t="s">
        <v>4640</v>
      </c>
      <c r="C1567" s="22" t="s">
        <v>4641</v>
      </c>
      <c r="D1567" s="22" t="s">
        <v>9</v>
      </c>
      <c r="E1567" s="22" t="s">
        <v>27</v>
      </c>
      <c r="F1567" s="22">
        <v>50.217</v>
      </c>
    </row>
    <row r="1568" spans="1:6">
      <c r="A1568" s="22" t="s">
        <v>4642</v>
      </c>
      <c r="B1568" s="22" t="s">
        <v>4643</v>
      </c>
      <c r="C1568" s="22" t="s">
        <v>4644</v>
      </c>
      <c r="D1568" s="22" t="s">
        <v>9</v>
      </c>
      <c r="E1568" s="22" t="s">
        <v>27</v>
      </c>
      <c r="F1568" s="22">
        <v>125.518</v>
      </c>
    </row>
    <row r="1569" spans="1:6">
      <c r="A1569" s="22" t="s">
        <v>4645</v>
      </c>
      <c r="B1569" s="22" t="s">
        <v>4646</v>
      </c>
      <c r="C1569" s="22" t="s">
        <v>4647</v>
      </c>
      <c r="D1569" s="22" t="s">
        <v>9</v>
      </c>
      <c r="E1569" s="22" t="s">
        <v>44</v>
      </c>
      <c r="F1569" s="22">
        <v>409.184</v>
      </c>
    </row>
    <row r="1570" spans="1:6">
      <c r="A1570" s="22" t="s">
        <v>4648</v>
      </c>
      <c r="B1570" s="22" t="s">
        <v>4649</v>
      </c>
      <c r="C1570" s="22" t="s">
        <v>4650</v>
      </c>
      <c r="D1570" s="22" t="s">
        <v>9</v>
      </c>
      <c r="E1570" s="22" t="s">
        <v>78</v>
      </c>
      <c r="F1570" s="22">
        <v>2553.222</v>
      </c>
    </row>
    <row r="1571" spans="1:6">
      <c r="A1571" s="22" t="s">
        <v>4651</v>
      </c>
      <c r="B1571" s="22" t="s">
        <v>4652</v>
      </c>
      <c r="C1571" s="22" t="s">
        <v>4653</v>
      </c>
      <c r="D1571" s="22" t="s">
        <v>9</v>
      </c>
      <c r="E1571" s="22" t="s">
        <v>39</v>
      </c>
    </row>
    <row r="1572" spans="1:6">
      <c r="A1572" s="22" t="s">
        <v>4654</v>
      </c>
      <c r="B1572" s="22" t="s">
        <v>3402</v>
      </c>
      <c r="C1572" s="22" t="s">
        <v>4655</v>
      </c>
      <c r="D1572" s="22" t="s">
        <v>9</v>
      </c>
      <c r="E1572" s="22" t="s">
        <v>35</v>
      </c>
      <c r="F1572" s="22">
        <v>933.607</v>
      </c>
    </row>
    <row r="1573" spans="1:6">
      <c r="A1573" s="22" t="s">
        <v>4656</v>
      </c>
      <c r="B1573" s="22" t="s">
        <v>4657</v>
      </c>
      <c r="C1573" s="22" t="s">
        <v>4658</v>
      </c>
      <c r="D1573" s="22" t="s">
        <v>9</v>
      </c>
      <c r="E1573" s="22" t="s">
        <v>31</v>
      </c>
      <c r="F1573" s="22">
        <v>3376.226</v>
      </c>
    </row>
    <row r="1574" spans="1:6">
      <c r="A1574" s="22" t="s">
        <v>4659</v>
      </c>
      <c r="B1574" s="22" t="s">
        <v>4660</v>
      </c>
      <c r="C1574" s="22" t="s">
        <v>4661</v>
      </c>
      <c r="D1574" s="22" t="s">
        <v>9</v>
      </c>
      <c r="E1574" s="22" t="s">
        <v>14</v>
      </c>
      <c r="F1574" s="22">
        <v>46.315</v>
      </c>
    </row>
    <row r="1575" spans="1:6">
      <c r="A1575" s="22" t="s">
        <v>4662</v>
      </c>
      <c r="B1575" s="22" t="s">
        <v>4663</v>
      </c>
      <c r="C1575" s="22" t="s">
        <v>4664</v>
      </c>
      <c r="D1575" s="22" t="s">
        <v>9</v>
      </c>
      <c r="E1575" s="22" t="s">
        <v>39</v>
      </c>
      <c r="F1575" s="22">
        <v>1473.579</v>
      </c>
    </row>
    <row r="1576" spans="1:6">
      <c r="A1576" s="22" t="s">
        <v>4665</v>
      </c>
      <c r="B1576" s="22" t="s">
        <v>4666</v>
      </c>
      <c r="C1576" s="22" t="s">
        <v>4667</v>
      </c>
      <c r="D1576" s="22" t="s">
        <v>9</v>
      </c>
      <c r="E1576" s="22" t="s">
        <v>31</v>
      </c>
      <c r="F1576" s="22">
        <v>1931.87</v>
      </c>
    </row>
    <row r="1577" spans="1:6">
      <c r="A1577" s="22" t="s">
        <v>4668</v>
      </c>
      <c r="B1577" s="22" t="s">
        <v>4669</v>
      </c>
      <c r="C1577" s="22" t="s">
        <v>4670</v>
      </c>
      <c r="D1577" s="22" t="s">
        <v>9</v>
      </c>
      <c r="E1577" s="22" t="s">
        <v>57</v>
      </c>
      <c r="F1577" s="22">
        <v>9.49</v>
      </c>
    </row>
    <row r="1578" spans="1:6">
      <c r="A1578" s="22" t="s">
        <v>4671</v>
      </c>
      <c r="B1578" s="22" t="s">
        <v>3110</v>
      </c>
      <c r="C1578" s="22" t="s">
        <v>4672</v>
      </c>
      <c r="D1578" s="22" t="s">
        <v>9</v>
      </c>
      <c r="E1578" s="22" t="s">
        <v>57</v>
      </c>
      <c r="F1578" s="22">
        <v>48.487</v>
      </c>
    </row>
    <row r="1579" spans="1:6">
      <c r="A1579" s="22" t="s">
        <v>4673</v>
      </c>
      <c r="B1579" s="22" t="s">
        <v>4674</v>
      </c>
      <c r="C1579" s="22" t="s">
        <v>4675</v>
      </c>
      <c r="D1579" s="22" t="s">
        <v>9</v>
      </c>
      <c r="E1579" s="22" t="s">
        <v>105</v>
      </c>
      <c r="F1579" s="22">
        <v>455.316</v>
      </c>
    </row>
    <row r="1580" spans="1:6">
      <c r="A1580" s="22" t="s">
        <v>4676</v>
      </c>
      <c r="B1580" s="22" t="s">
        <v>4677</v>
      </c>
      <c r="C1580" s="22" t="s">
        <v>4678</v>
      </c>
      <c r="D1580" s="22" t="s">
        <v>9</v>
      </c>
      <c r="E1580" s="22" t="s">
        <v>23</v>
      </c>
      <c r="F1580" s="22">
        <v>380.5</v>
      </c>
    </row>
    <row r="1581" spans="1:6">
      <c r="A1581" s="22" t="s">
        <v>4679</v>
      </c>
      <c r="B1581" s="22" t="s">
        <v>4680</v>
      </c>
      <c r="C1581" s="22" t="s">
        <v>4681</v>
      </c>
      <c r="D1581" s="22" t="s">
        <v>9</v>
      </c>
      <c r="E1581" s="22" t="s">
        <v>23</v>
      </c>
      <c r="F1581" s="22">
        <v>941.377</v>
      </c>
    </row>
    <row r="1582" spans="1:6">
      <c r="A1582" s="22" t="s">
        <v>4682</v>
      </c>
      <c r="B1582" s="22" t="s">
        <v>1754</v>
      </c>
      <c r="C1582" s="22" t="s">
        <v>3244</v>
      </c>
      <c r="D1582" s="22" t="s">
        <v>9</v>
      </c>
      <c r="E1582" s="22" t="s">
        <v>35</v>
      </c>
      <c r="F1582" s="22">
        <v>22.501</v>
      </c>
    </row>
    <row r="1583" spans="1:6">
      <c r="A1583" s="22" t="s">
        <v>4683</v>
      </c>
      <c r="B1583" s="22" t="s">
        <v>4684</v>
      </c>
      <c r="C1583" s="22" t="s">
        <v>4685</v>
      </c>
      <c r="D1583" s="22" t="s">
        <v>9</v>
      </c>
      <c r="E1583" s="22" t="s">
        <v>23</v>
      </c>
      <c r="F1583" s="22">
        <v>1641.215</v>
      </c>
    </row>
    <row r="1584" spans="1:6">
      <c r="A1584" s="22" t="s">
        <v>4686</v>
      </c>
      <c r="B1584" s="22" t="s">
        <v>4687</v>
      </c>
      <c r="C1584" s="22" t="s">
        <v>4688</v>
      </c>
      <c r="D1584" s="22" t="s">
        <v>9</v>
      </c>
      <c r="E1584" s="22" t="s">
        <v>57</v>
      </c>
      <c r="F1584" s="22">
        <v>18.98</v>
      </c>
    </row>
    <row r="1585" spans="1:6">
      <c r="A1585" s="22" t="s">
        <v>4689</v>
      </c>
      <c r="B1585" s="22" t="s">
        <v>4690</v>
      </c>
      <c r="C1585" s="22" t="s">
        <v>4691</v>
      </c>
      <c r="D1585" s="22" t="s">
        <v>9</v>
      </c>
      <c r="E1585" s="22" t="s">
        <v>23</v>
      </c>
      <c r="F1585" s="22">
        <v>38.198</v>
      </c>
    </row>
    <row r="1586" spans="1:6">
      <c r="A1586" s="22" t="s">
        <v>4692</v>
      </c>
      <c r="B1586" s="22" t="s">
        <v>4693</v>
      </c>
      <c r="C1586" s="22" t="s">
        <v>4694</v>
      </c>
      <c r="D1586" s="22" t="s">
        <v>9</v>
      </c>
      <c r="E1586" s="22" t="s">
        <v>35</v>
      </c>
      <c r="F1586" s="22">
        <v>48.751</v>
      </c>
    </row>
    <row r="1587" spans="1:6">
      <c r="A1587" s="22" t="s">
        <v>4695</v>
      </c>
      <c r="B1587" s="22" t="s">
        <v>4696</v>
      </c>
      <c r="C1587" s="22" t="s">
        <v>4697</v>
      </c>
      <c r="D1587" s="22" t="s">
        <v>9</v>
      </c>
      <c r="E1587" s="22" t="s">
        <v>27</v>
      </c>
      <c r="F1587" s="22">
        <v>7165.637</v>
      </c>
    </row>
    <row r="1588" spans="1:6">
      <c r="A1588" s="22" t="s">
        <v>4698</v>
      </c>
      <c r="B1588" s="22" t="s">
        <v>4699</v>
      </c>
      <c r="C1588" s="22" t="s">
        <v>4700</v>
      </c>
      <c r="D1588" s="22" t="s">
        <v>9</v>
      </c>
      <c r="E1588" s="22" t="s">
        <v>31</v>
      </c>
      <c r="F1588" s="22">
        <v>36.932</v>
      </c>
    </row>
    <row r="1589" spans="1:6">
      <c r="A1589" s="22" t="s">
        <v>4701</v>
      </c>
      <c r="B1589" s="22" t="s">
        <v>4702</v>
      </c>
      <c r="C1589" s="22" t="s">
        <v>4703</v>
      </c>
      <c r="D1589" s="22" t="s">
        <v>9</v>
      </c>
      <c r="E1589" s="22" t="s">
        <v>23</v>
      </c>
      <c r="F1589" s="22">
        <v>26.861</v>
      </c>
    </row>
    <row r="1590" spans="1:6">
      <c r="A1590" s="22" t="s">
        <v>4704</v>
      </c>
      <c r="B1590" s="22" t="s">
        <v>4705</v>
      </c>
      <c r="C1590" s="22" t="s">
        <v>4706</v>
      </c>
      <c r="D1590" s="22" t="s">
        <v>9</v>
      </c>
      <c r="E1590" s="22" t="s">
        <v>35</v>
      </c>
      <c r="F1590" s="22">
        <v>404.356</v>
      </c>
    </row>
    <row r="1591" spans="1:6">
      <c r="A1591" s="22" t="s">
        <v>4707</v>
      </c>
      <c r="B1591" s="22" t="s">
        <v>4708</v>
      </c>
      <c r="C1591" s="22" t="s">
        <v>4709</v>
      </c>
      <c r="D1591" s="22" t="s">
        <v>9</v>
      </c>
      <c r="E1591" s="22" t="s">
        <v>40</v>
      </c>
      <c r="F1591" s="22">
        <v>56.23</v>
      </c>
    </row>
    <row r="1592" spans="1:6">
      <c r="A1592" s="22" t="s">
        <v>4710</v>
      </c>
      <c r="B1592" s="22" t="s">
        <v>4711</v>
      </c>
      <c r="C1592" s="22" t="s">
        <v>4712</v>
      </c>
      <c r="D1592" s="22" t="s">
        <v>9</v>
      </c>
      <c r="E1592" s="22" t="s">
        <v>23</v>
      </c>
      <c r="F1592" s="22">
        <v>7146.844</v>
      </c>
    </row>
    <row r="1593" spans="1:6">
      <c r="A1593" s="22" t="s">
        <v>4713</v>
      </c>
      <c r="B1593" s="22" t="s">
        <v>1541</v>
      </c>
      <c r="C1593" s="22" t="s">
        <v>4714</v>
      </c>
      <c r="D1593" s="22" t="s">
        <v>9</v>
      </c>
      <c r="E1593" s="22" t="s">
        <v>23</v>
      </c>
      <c r="F1593" s="22">
        <v>10.531</v>
      </c>
    </row>
    <row r="1594" spans="1:6">
      <c r="A1594" s="22" t="s">
        <v>4715</v>
      </c>
      <c r="B1594" s="22" t="s">
        <v>4716</v>
      </c>
      <c r="C1594" s="22" t="s">
        <v>4717</v>
      </c>
      <c r="D1594" s="22" t="s">
        <v>9</v>
      </c>
      <c r="E1594" s="22" t="s">
        <v>23</v>
      </c>
      <c r="F1594" s="22">
        <v>758.276</v>
      </c>
    </row>
    <row r="1595" spans="1:6">
      <c r="A1595" s="22" t="s">
        <v>4718</v>
      </c>
      <c r="B1595" s="22" t="s">
        <v>4719</v>
      </c>
      <c r="C1595" s="22" t="s">
        <v>4720</v>
      </c>
      <c r="D1595" s="22" t="s">
        <v>9</v>
      </c>
      <c r="E1595" s="22" t="s">
        <v>57</v>
      </c>
      <c r="F1595" s="22">
        <v>476.582</v>
      </c>
    </row>
    <row r="1596" spans="1:6">
      <c r="A1596" s="22" t="s">
        <v>4721</v>
      </c>
      <c r="B1596" s="22" t="s">
        <v>4722</v>
      </c>
      <c r="C1596" s="22" t="s">
        <v>4723</v>
      </c>
      <c r="D1596" s="22" t="s">
        <v>9</v>
      </c>
      <c r="E1596" s="22" t="s">
        <v>23</v>
      </c>
      <c r="F1596" s="22">
        <v>65.29</v>
      </c>
    </row>
    <row r="1597" spans="1:6">
      <c r="A1597" s="22" t="s">
        <v>4724</v>
      </c>
      <c r="B1597" s="22" t="s">
        <v>4725</v>
      </c>
      <c r="C1597" s="22" t="s">
        <v>4726</v>
      </c>
      <c r="D1597" s="22" t="s">
        <v>9</v>
      </c>
      <c r="E1597" s="22" t="s">
        <v>23</v>
      </c>
      <c r="F1597" s="22">
        <v>1971.883</v>
      </c>
    </row>
    <row r="1598" spans="1:6">
      <c r="A1598" s="22" t="s">
        <v>4727</v>
      </c>
      <c r="B1598" s="22" t="s">
        <v>4728</v>
      </c>
      <c r="C1598" s="22" t="s">
        <v>4729</v>
      </c>
      <c r="D1598" s="22" t="s">
        <v>9</v>
      </c>
      <c r="E1598" s="22" t="s">
        <v>23</v>
      </c>
      <c r="F1598" s="22">
        <v>71.022</v>
      </c>
    </row>
    <row r="1599" spans="1:6">
      <c r="A1599" s="22" t="s">
        <v>4730</v>
      </c>
      <c r="B1599" s="22" t="s">
        <v>4731</v>
      </c>
      <c r="C1599" s="22" t="s">
        <v>4732</v>
      </c>
      <c r="D1599" s="22" t="s">
        <v>9</v>
      </c>
      <c r="E1599" s="22" t="s">
        <v>23</v>
      </c>
      <c r="F1599" s="22">
        <v>105.387</v>
      </c>
    </row>
    <row r="1600" spans="1:6">
      <c r="A1600" s="22" t="s">
        <v>4733</v>
      </c>
      <c r="B1600" s="22" t="s">
        <v>4734</v>
      </c>
      <c r="C1600" s="22" t="s">
        <v>4735</v>
      </c>
      <c r="D1600" s="22" t="s">
        <v>9</v>
      </c>
      <c r="E1600" s="22" t="s">
        <v>35</v>
      </c>
      <c r="F1600" s="22">
        <v>162.874</v>
      </c>
    </row>
    <row r="1601" spans="1:6">
      <c r="A1601" s="22" t="s">
        <v>4736</v>
      </c>
      <c r="B1601" s="22" t="s">
        <v>4737</v>
      </c>
      <c r="C1601" s="22" t="s">
        <v>1206</v>
      </c>
      <c r="D1601" s="22" t="s">
        <v>9</v>
      </c>
      <c r="E1601" s="22" t="s">
        <v>35</v>
      </c>
      <c r="F1601" s="22">
        <v>66.215</v>
      </c>
    </row>
    <row r="1602" spans="1:6">
      <c r="A1602" s="22" t="s">
        <v>4738</v>
      </c>
      <c r="B1602" s="22" t="s">
        <v>4739</v>
      </c>
      <c r="C1602" s="22" t="s">
        <v>4740</v>
      </c>
      <c r="D1602" s="22" t="s">
        <v>9</v>
      </c>
      <c r="E1602" s="22" t="s">
        <v>23</v>
      </c>
      <c r="F1602" s="22">
        <v>1068.929</v>
      </c>
    </row>
    <row r="1603" spans="1:6">
      <c r="A1603" s="22" t="s">
        <v>4741</v>
      </c>
      <c r="B1603" s="22" t="s">
        <v>4742</v>
      </c>
      <c r="C1603" s="22" t="s">
        <v>4743</v>
      </c>
      <c r="D1603" s="22" t="s">
        <v>9</v>
      </c>
      <c r="E1603" s="22" t="s">
        <v>23</v>
      </c>
      <c r="F1603" s="22">
        <v>1274.953</v>
      </c>
    </row>
    <row r="1604" spans="1:6">
      <c r="A1604" s="22" t="s">
        <v>4744</v>
      </c>
      <c r="B1604" s="22" t="s">
        <v>4745</v>
      </c>
      <c r="C1604" s="22" t="s">
        <v>4746</v>
      </c>
      <c r="D1604" s="22" t="s">
        <v>9</v>
      </c>
      <c r="E1604" s="22" t="s">
        <v>27</v>
      </c>
      <c r="F1604" s="22">
        <v>230.859</v>
      </c>
    </row>
    <row r="1605" spans="1:6">
      <c r="A1605" s="22" t="s">
        <v>4747</v>
      </c>
      <c r="B1605" s="22" t="s">
        <v>4748</v>
      </c>
      <c r="C1605" s="22" t="s">
        <v>4749</v>
      </c>
      <c r="D1605" s="22" t="s">
        <v>9</v>
      </c>
      <c r="E1605" s="22" t="s">
        <v>23</v>
      </c>
      <c r="F1605" s="22">
        <v>1076.259</v>
      </c>
    </row>
    <row r="1606" spans="1:6">
      <c r="A1606" s="22" t="s">
        <v>4750</v>
      </c>
      <c r="B1606" s="22" t="s">
        <v>4751</v>
      </c>
      <c r="C1606" s="22" t="s">
        <v>4752</v>
      </c>
      <c r="D1606" s="22" t="s">
        <v>9</v>
      </c>
      <c r="E1606" s="22" t="s">
        <v>23</v>
      </c>
      <c r="F1606" s="22">
        <v>10683.053</v>
      </c>
    </row>
    <row r="1607" spans="1:6">
      <c r="A1607" s="22" t="s">
        <v>4753</v>
      </c>
      <c r="B1607" s="22" t="s">
        <v>4754</v>
      </c>
      <c r="C1607" s="22" t="s">
        <v>4755</v>
      </c>
      <c r="D1607" s="22" t="s">
        <v>9</v>
      </c>
      <c r="E1607" s="22" t="s">
        <v>23</v>
      </c>
      <c r="F1607" s="22">
        <v>157.941</v>
      </c>
    </row>
    <row r="1608" spans="1:6">
      <c r="A1608" s="22" t="s">
        <v>4756</v>
      </c>
      <c r="B1608" s="22" t="s">
        <v>4757</v>
      </c>
      <c r="C1608" s="22" t="s">
        <v>4758</v>
      </c>
      <c r="D1608" s="22" t="s">
        <v>9</v>
      </c>
      <c r="E1608" s="22" t="s">
        <v>23</v>
      </c>
      <c r="F1608" s="22">
        <v>100.587</v>
      </c>
    </row>
    <row r="1609" spans="1:6">
      <c r="A1609" s="22" t="s">
        <v>4759</v>
      </c>
      <c r="B1609" s="22" t="s">
        <v>4760</v>
      </c>
      <c r="C1609" s="22" t="s">
        <v>4761</v>
      </c>
      <c r="D1609" s="22" t="s">
        <v>9</v>
      </c>
      <c r="E1609" s="22" t="s">
        <v>23</v>
      </c>
      <c r="F1609" s="22">
        <v>19993.338</v>
      </c>
    </row>
    <row r="1610" spans="1:6">
      <c r="A1610" s="22" t="s">
        <v>4762</v>
      </c>
      <c r="B1610" s="22" t="s">
        <v>1241</v>
      </c>
      <c r="C1610" s="22" t="s">
        <v>4763</v>
      </c>
      <c r="D1610" s="22" t="s">
        <v>9</v>
      </c>
      <c r="E1610" s="22" t="s">
        <v>27</v>
      </c>
      <c r="F1610" s="22">
        <v>85.432</v>
      </c>
    </row>
    <row r="1611" spans="1:6">
      <c r="A1611" s="22" t="s">
        <v>4764</v>
      </c>
      <c r="B1611" s="22" t="s">
        <v>4765</v>
      </c>
      <c r="C1611" s="22" t="s">
        <v>4766</v>
      </c>
      <c r="D1611" s="22" t="s">
        <v>9</v>
      </c>
      <c r="E1611" s="22" t="s">
        <v>23</v>
      </c>
      <c r="F1611" s="22">
        <v>35.569</v>
      </c>
    </row>
    <row r="1612" spans="1:6">
      <c r="A1612" s="22" t="s">
        <v>4767</v>
      </c>
      <c r="B1612" s="22" t="s">
        <v>4768</v>
      </c>
      <c r="C1612" s="22" t="s">
        <v>4769</v>
      </c>
      <c r="D1612" s="22" t="s">
        <v>9</v>
      </c>
      <c r="E1612" s="22" t="s">
        <v>35</v>
      </c>
      <c r="F1612" s="22">
        <v>10.402</v>
      </c>
    </row>
    <row r="1613" spans="1:6">
      <c r="A1613" s="22" t="s">
        <v>4770</v>
      </c>
      <c r="B1613" s="22" t="s">
        <v>4771</v>
      </c>
      <c r="C1613" s="22" t="s">
        <v>4772</v>
      </c>
      <c r="D1613" s="22" t="s">
        <v>9</v>
      </c>
      <c r="E1613" s="22" t="s">
        <v>44</v>
      </c>
      <c r="F1613" s="22">
        <v>74.36</v>
      </c>
    </row>
    <row r="1614" spans="1:6">
      <c r="A1614" s="22" t="s">
        <v>4773</v>
      </c>
      <c r="B1614" s="22" t="s">
        <v>4774</v>
      </c>
      <c r="C1614" s="22" t="s">
        <v>4775</v>
      </c>
      <c r="D1614" s="22" t="s">
        <v>9</v>
      </c>
      <c r="E1614" s="22" t="s">
        <v>14</v>
      </c>
      <c r="F1614" s="22">
        <v>84.605</v>
      </c>
    </row>
    <row r="1615" spans="1:6">
      <c r="A1615" s="22" t="s">
        <v>4776</v>
      </c>
      <c r="B1615" s="22" t="s">
        <v>4777</v>
      </c>
      <c r="C1615" s="22" t="s">
        <v>4778</v>
      </c>
      <c r="D1615" s="22" t="s">
        <v>9</v>
      </c>
      <c r="E1615" s="22" t="s">
        <v>62</v>
      </c>
      <c r="F1615" s="22">
        <v>21.112</v>
      </c>
    </row>
    <row r="1616" spans="1:6">
      <c r="A1616" s="22" t="s">
        <v>4779</v>
      </c>
      <c r="B1616" s="22" t="s">
        <v>4780</v>
      </c>
      <c r="C1616" s="22" t="s">
        <v>4781</v>
      </c>
      <c r="D1616" s="22" t="s">
        <v>9</v>
      </c>
      <c r="E1616" s="22" t="s">
        <v>23</v>
      </c>
      <c r="F1616" s="22">
        <v>29.593</v>
      </c>
    </row>
    <row r="1617" spans="1:6">
      <c r="A1617" s="22" t="s">
        <v>4782</v>
      </c>
      <c r="B1617" s="22" t="s">
        <v>1775</v>
      </c>
      <c r="C1617" s="22" t="s">
        <v>4783</v>
      </c>
      <c r="D1617" s="22" t="s">
        <v>9</v>
      </c>
      <c r="E1617" s="22" t="s">
        <v>27</v>
      </c>
      <c r="F1617" s="22">
        <v>649.47</v>
      </c>
    </row>
    <row r="1618" spans="1:6">
      <c r="A1618" s="22" t="s">
        <v>4784</v>
      </c>
      <c r="B1618" s="22" t="s">
        <v>4785</v>
      </c>
      <c r="C1618" s="22" t="s">
        <v>4786</v>
      </c>
      <c r="D1618" s="22" t="s">
        <v>9</v>
      </c>
      <c r="E1618" s="22" t="s">
        <v>23</v>
      </c>
      <c r="F1618" s="22">
        <v>669.56</v>
      </c>
    </row>
    <row r="1619" spans="1:6">
      <c r="A1619" s="22" t="s">
        <v>4787</v>
      </c>
      <c r="B1619" s="22" t="s">
        <v>2227</v>
      </c>
      <c r="C1619" s="22" t="s">
        <v>4788</v>
      </c>
      <c r="D1619" s="22" t="s">
        <v>9</v>
      </c>
      <c r="E1619" s="22" t="s">
        <v>31</v>
      </c>
      <c r="F1619" s="22">
        <v>1.199</v>
      </c>
    </row>
    <row r="1620" spans="1:6">
      <c r="A1620" s="22" t="s">
        <v>4789</v>
      </c>
      <c r="B1620" s="22" t="s">
        <v>4790</v>
      </c>
      <c r="C1620" s="22" t="s">
        <v>4791</v>
      </c>
      <c r="D1620" s="22" t="s">
        <v>9</v>
      </c>
      <c r="E1620" s="22" t="s">
        <v>27</v>
      </c>
      <c r="F1620" s="22">
        <v>457.625</v>
      </c>
    </row>
    <row r="1621" spans="1:6">
      <c r="A1621" s="22" t="s">
        <v>4792</v>
      </c>
      <c r="B1621" s="22" t="s">
        <v>4793</v>
      </c>
      <c r="C1621" s="22" t="s">
        <v>4794</v>
      </c>
      <c r="D1621" s="22" t="s">
        <v>9</v>
      </c>
      <c r="E1621" s="22" t="s">
        <v>39</v>
      </c>
      <c r="F1621" s="22">
        <v>1812.138</v>
      </c>
    </row>
    <row r="1622" spans="1:6">
      <c r="A1622" s="22" t="s">
        <v>4795</v>
      </c>
      <c r="B1622" s="22" t="s">
        <v>4796</v>
      </c>
      <c r="C1622" s="22" t="s">
        <v>4797</v>
      </c>
      <c r="D1622" s="22" t="s">
        <v>9</v>
      </c>
      <c r="E1622" s="22" t="s">
        <v>50</v>
      </c>
      <c r="F1622" s="22">
        <v>16.54</v>
      </c>
    </row>
    <row r="1623" spans="1:6">
      <c r="A1623" s="22" t="s">
        <v>4798</v>
      </c>
      <c r="B1623" s="22" t="s">
        <v>4030</v>
      </c>
      <c r="C1623" s="22" t="s">
        <v>4799</v>
      </c>
      <c r="D1623" s="22" t="s">
        <v>9</v>
      </c>
      <c r="E1623" s="22" t="s">
        <v>23</v>
      </c>
      <c r="F1623" s="22">
        <v>3883.297</v>
      </c>
    </row>
    <row r="1624" spans="1:6">
      <c r="A1624" s="22" t="s">
        <v>4800</v>
      </c>
      <c r="B1624" s="22" t="s">
        <v>4801</v>
      </c>
      <c r="C1624" s="22" t="s">
        <v>4802</v>
      </c>
      <c r="D1624" s="22" t="s">
        <v>9</v>
      </c>
      <c r="E1624" s="22" t="s">
        <v>57</v>
      </c>
      <c r="F1624" s="22">
        <v>47.127</v>
      </c>
    </row>
    <row r="1625" spans="1:6">
      <c r="A1625" s="22" t="s">
        <v>4803</v>
      </c>
      <c r="B1625" s="22" t="s">
        <v>4804</v>
      </c>
      <c r="C1625" s="22" t="s">
        <v>4805</v>
      </c>
      <c r="D1625" s="22" t="s">
        <v>9</v>
      </c>
      <c r="E1625" s="22" t="s">
        <v>23</v>
      </c>
      <c r="F1625" s="22">
        <v>342.156</v>
      </c>
    </row>
    <row r="1626" spans="1:6">
      <c r="A1626" s="22" t="s">
        <v>4806</v>
      </c>
      <c r="B1626" s="22" t="s">
        <v>1241</v>
      </c>
      <c r="C1626" s="22" t="s">
        <v>4807</v>
      </c>
      <c r="D1626" s="22" t="s">
        <v>9</v>
      </c>
      <c r="E1626" s="22" t="s">
        <v>27</v>
      </c>
      <c r="F1626" s="22">
        <v>476.446</v>
      </c>
    </row>
    <row r="1627" spans="1:6">
      <c r="A1627" s="22" t="s">
        <v>4808</v>
      </c>
      <c r="B1627" s="22" t="s">
        <v>4809</v>
      </c>
      <c r="C1627" s="22" t="s">
        <v>4810</v>
      </c>
      <c r="D1627" s="22" t="s">
        <v>9</v>
      </c>
      <c r="E1627" s="22" t="s">
        <v>27</v>
      </c>
      <c r="F1627" s="22">
        <v>1197.16</v>
      </c>
    </row>
    <row r="1628" spans="1:6">
      <c r="A1628" s="22" t="s">
        <v>4811</v>
      </c>
      <c r="B1628" s="22" t="s">
        <v>4812</v>
      </c>
      <c r="C1628" s="22" t="s">
        <v>4813</v>
      </c>
      <c r="D1628" s="22" t="s">
        <v>9</v>
      </c>
      <c r="E1628" s="22" t="s">
        <v>31</v>
      </c>
      <c r="F1628" s="22">
        <v>562.966</v>
      </c>
    </row>
    <row r="1629" spans="1:6">
      <c r="A1629" s="22" t="s">
        <v>4814</v>
      </c>
      <c r="B1629" s="22" t="s">
        <v>4815</v>
      </c>
      <c r="C1629" s="22" t="s">
        <v>4816</v>
      </c>
      <c r="D1629" s="22" t="s">
        <v>9</v>
      </c>
      <c r="E1629" s="22" t="s">
        <v>23</v>
      </c>
      <c r="F1629" s="22">
        <v>1301.091</v>
      </c>
    </row>
    <row r="1630" spans="1:6">
      <c r="A1630" s="22" t="s">
        <v>4817</v>
      </c>
      <c r="B1630" s="22" t="s">
        <v>4818</v>
      </c>
      <c r="C1630" s="22" t="s">
        <v>4819</v>
      </c>
      <c r="D1630" s="22" t="s">
        <v>9</v>
      </c>
      <c r="E1630" s="22" t="s">
        <v>57</v>
      </c>
      <c r="F1630" s="22">
        <v>124.992</v>
      </c>
    </row>
    <row r="1631" spans="1:6">
      <c r="A1631" s="22" t="s">
        <v>4820</v>
      </c>
      <c r="B1631" s="22" t="s">
        <v>4821</v>
      </c>
      <c r="C1631" s="22" t="s">
        <v>4822</v>
      </c>
      <c r="D1631" s="22" t="s">
        <v>9</v>
      </c>
      <c r="E1631" s="22" t="s">
        <v>23</v>
      </c>
      <c r="F1631" s="22">
        <v>4568.981</v>
      </c>
    </row>
    <row r="1632" spans="1:6">
      <c r="A1632" s="22" t="s">
        <v>4823</v>
      </c>
      <c r="B1632" s="22" t="s">
        <v>4824</v>
      </c>
      <c r="C1632" s="22" t="s">
        <v>4825</v>
      </c>
      <c r="D1632" s="22" t="s">
        <v>9</v>
      </c>
      <c r="E1632" s="22" t="s">
        <v>14</v>
      </c>
      <c r="F1632" s="22">
        <v>893.43</v>
      </c>
    </row>
    <row r="1633" spans="1:6">
      <c r="A1633" s="22" t="s">
        <v>4826</v>
      </c>
      <c r="B1633" s="22" t="s">
        <v>3036</v>
      </c>
      <c r="C1633" s="22" t="s">
        <v>4827</v>
      </c>
      <c r="D1633" s="22" t="s">
        <v>9</v>
      </c>
      <c r="E1633" s="22" t="s">
        <v>57</v>
      </c>
      <c r="F1633" s="22">
        <v>32.649</v>
      </c>
    </row>
    <row r="1634" spans="1:6">
      <c r="A1634" s="22" t="s">
        <v>4828</v>
      </c>
      <c r="B1634" s="22" t="s">
        <v>4829</v>
      </c>
      <c r="C1634" s="22" t="s">
        <v>4830</v>
      </c>
      <c r="D1634" s="22" t="s">
        <v>9</v>
      </c>
      <c r="E1634" s="22" t="s">
        <v>27</v>
      </c>
      <c r="F1634" s="22">
        <v>1255.485</v>
      </c>
    </row>
    <row r="1635" spans="1:6">
      <c r="A1635" s="22" t="s">
        <v>4831</v>
      </c>
      <c r="B1635" s="22" t="s">
        <v>4832</v>
      </c>
      <c r="C1635" s="22" t="s">
        <v>4833</v>
      </c>
      <c r="D1635" s="22" t="s">
        <v>9</v>
      </c>
      <c r="E1635" s="22" t="s">
        <v>66</v>
      </c>
      <c r="F1635" s="22">
        <v>113.331</v>
      </c>
    </row>
    <row r="1636" spans="1:6">
      <c r="A1636" s="22" t="s">
        <v>4834</v>
      </c>
      <c r="B1636" s="22" t="s">
        <v>4835</v>
      </c>
      <c r="C1636" s="22" t="s">
        <v>4836</v>
      </c>
      <c r="D1636" s="22" t="s">
        <v>9</v>
      </c>
      <c r="E1636" s="22" t="s">
        <v>35</v>
      </c>
      <c r="F1636" s="22">
        <v>495.102</v>
      </c>
    </row>
    <row r="1637" spans="1:6">
      <c r="A1637" s="22" t="s">
        <v>4837</v>
      </c>
      <c r="B1637" s="22" t="s">
        <v>4838</v>
      </c>
      <c r="C1637" s="22" t="s">
        <v>4839</v>
      </c>
      <c r="D1637" s="22" t="s">
        <v>9</v>
      </c>
      <c r="E1637" s="22" t="s">
        <v>14</v>
      </c>
      <c r="F1637" s="22">
        <v>148.093</v>
      </c>
    </row>
    <row r="1638" spans="1:6">
      <c r="A1638" s="22" t="s">
        <v>4840</v>
      </c>
      <c r="B1638" s="22" t="s">
        <v>4841</v>
      </c>
      <c r="C1638" s="22" t="s">
        <v>4842</v>
      </c>
      <c r="D1638" s="22" t="s">
        <v>9</v>
      </c>
      <c r="E1638" s="22" t="s">
        <v>35</v>
      </c>
      <c r="F1638" s="22">
        <v>587.023</v>
      </c>
    </row>
    <row r="1639" spans="1:6">
      <c r="A1639" s="22" t="s">
        <v>4843</v>
      </c>
      <c r="B1639" s="22" t="s">
        <v>4844</v>
      </c>
      <c r="C1639" s="22" t="s">
        <v>4845</v>
      </c>
      <c r="D1639" s="22" t="s">
        <v>9</v>
      </c>
      <c r="E1639" s="22" t="s">
        <v>23</v>
      </c>
      <c r="F1639" s="22">
        <v>448.34</v>
      </c>
    </row>
    <row r="1640" spans="1:6">
      <c r="A1640" s="22" t="s">
        <v>4846</v>
      </c>
      <c r="B1640" s="22" t="s">
        <v>542</v>
      </c>
      <c r="C1640" s="22" t="s">
        <v>4847</v>
      </c>
      <c r="D1640" s="22" t="s">
        <v>9</v>
      </c>
      <c r="E1640" s="22" t="s">
        <v>23</v>
      </c>
      <c r="F1640" s="22">
        <v>665.157</v>
      </c>
    </row>
    <row r="1641" spans="1:6">
      <c r="A1641" s="22" t="s">
        <v>4848</v>
      </c>
      <c r="B1641" s="22" t="s">
        <v>4849</v>
      </c>
      <c r="C1641" s="22" t="s">
        <v>4850</v>
      </c>
      <c r="D1641" s="22" t="s">
        <v>9</v>
      </c>
      <c r="E1641" s="22" t="s">
        <v>23</v>
      </c>
      <c r="F1641" s="22">
        <v>63.621</v>
      </c>
    </row>
    <row r="1642" spans="1:6">
      <c r="A1642" s="22" t="s">
        <v>4851</v>
      </c>
      <c r="B1642" s="22" t="s">
        <v>4852</v>
      </c>
      <c r="C1642" s="22" t="s">
        <v>4853</v>
      </c>
      <c r="D1642" s="22" t="s">
        <v>9</v>
      </c>
      <c r="E1642" s="22" t="s">
        <v>14</v>
      </c>
      <c r="F1642" s="22">
        <v>179.975</v>
      </c>
    </row>
    <row r="1643" spans="1:6">
      <c r="A1643" s="22" t="s">
        <v>4854</v>
      </c>
      <c r="B1643" s="22" t="s">
        <v>2445</v>
      </c>
      <c r="C1643" s="22" t="s">
        <v>4855</v>
      </c>
      <c r="D1643" s="22" t="s">
        <v>9</v>
      </c>
      <c r="E1643" s="22" t="s">
        <v>27</v>
      </c>
      <c r="F1643" s="22">
        <v>21.453</v>
      </c>
    </row>
    <row r="1644" spans="1:6">
      <c r="A1644" s="22" t="s">
        <v>4856</v>
      </c>
      <c r="B1644" s="22" t="s">
        <v>4857</v>
      </c>
      <c r="C1644" s="22" t="s">
        <v>4858</v>
      </c>
      <c r="D1644" s="22" t="s">
        <v>9</v>
      </c>
      <c r="E1644" s="22" t="s">
        <v>23</v>
      </c>
      <c r="F1644" s="22">
        <v>278.655</v>
      </c>
    </row>
    <row r="1645" spans="1:6">
      <c r="A1645" s="22" t="s">
        <v>4859</v>
      </c>
      <c r="B1645" s="22" t="s">
        <v>4860</v>
      </c>
      <c r="C1645" s="22" t="s">
        <v>4861</v>
      </c>
      <c r="D1645" s="22" t="s">
        <v>9</v>
      </c>
      <c r="E1645" s="22" t="s">
        <v>27</v>
      </c>
      <c r="F1645" s="22">
        <v>51.75</v>
      </c>
    </row>
    <row r="1646" spans="1:6">
      <c r="A1646" s="22" t="s">
        <v>4862</v>
      </c>
      <c r="B1646" s="22" t="s">
        <v>4519</v>
      </c>
      <c r="C1646" s="22" t="s">
        <v>4863</v>
      </c>
      <c r="D1646" s="22" t="s">
        <v>9</v>
      </c>
      <c r="E1646" s="22" t="s">
        <v>23</v>
      </c>
      <c r="F1646" s="22">
        <v>64.823</v>
      </c>
    </row>
    <row r="1647" spans="1:6">
      <c r="A1647" s="22" t="s">
        <v>4864</v>
      </c>
      <c r="B1647" s="22" t="s">
        <v>4865</v>
      </c>
      <c r="C1647" s="22" t="s">
        <v>4866</v>
      </c>
      <c r="D1647" s="22" t="s">
        <v>9</v>
      </c>
      <c r="E1647" s="22" t="s">
        <v>23</v>
      </c>
      <c r="F1647" s="22">
        <v>1563.327</v>
      </c>
    </row>
    <row r="1648" spans="1:6">
      <c r="A1648" s="22" t="s">
        <v>4867</v>
      </c>
      <c r="B1648" s="22" t="s">
        <v>1559</v>
      </c>
      <c r="C1648" s="22" t="s">
        <v>4868</v>
      </c>
      <c r="D1648" s="22" t="s">
        <v>9</v>
      </c>
      <c r="E1648" s="22" t="s">
        <v>44</v>
      </c>
      <c r="F1648" s="22">
        <v>35.103</v>
      </c>
    </row>
    <row r="1649" spans="1:6">
      <c r="A1649" s="22" t="s">
        <v>4869</v>
      </c>
      <c r="B1649" s="22" t="s">
        <v>4870</v>
      </c>
      <c r="C1649" s="22" t="s">
        <v>4871</v>
      </c>
      <c r="D1649" s="22" t="s">
        <v>9</v>
      </c>
      <c r="E1649" s="22" t="s">
        <v>14</v>
      </c>
      <c r="F1649" s="22">
        <v>76.97</v>
      </c>
    </row>
    <row r="1650" spans="1:6">
      <c r="A1650" s="22" t="s">
        <v>4872</v>
      </c>
      <c r="B1650" s="22" t="s">
        <v>4873</v>
      </c>
      <c r="C1650" s="22" t="s">
        <v>4874</v>
      </c>
      <c r="D1650" s="22" t="s">
        <v>9</v>
      </c>
      <c r="E1650" s="22" t="s">
        <v>57</v>
      </c>
      <c r="F1650" s="22">
        <v>140.118</v>
      </c>
    </row>
    <row r="1651" spans="1:6">
      <c r="A1651" s="22" t="s">
        <v>4875</v>
      </c>
      <c r="B1651" s="22" t="s">
        <v>4876</v>
      </c>
      <c r="C1651" s="22" t="s">
        <v>4877</v>
      </c>
      <c r="D1651" s="22" t="s">
        <v>9</v>
      </c>
      <c r="E1651" s="22" t="s">
        <v>35</v>
      </c>
      <c r="F1651" s="22">
        <v>1.328</v>
      </c>
    </row>
    <row r="1652" spans="1:6">
      <c r="A1652" s="22" t="s">
        <v>4878</v>
      </c>
      <c r="B1652" s="22" t="s">
        <v>4879</v>
      </c>
      <c r="C1652" s="22" t="s">
        <v>4880</v>
      </c>
      <c r="D1652" s="22" t="s">
        <v>9</v>
      </c>
      <c r="E1652" s="22" t="s">
        <v>35</v>
      </c>
      <c r="F1652" s="22">
        <v>121.896</v>
      </c>
    </row>
    <row r="1653" spans="1:6">
      <c r="A1653" s="22" t="s">
        <v>4881</v>
      </c>
      <c r="B1653" s="22" t="s">
        <v>4882</v>
      </c>
      <c r="C1653" s="22" t="s">
        <v>4883</v>
      </c>
      <c r="D1653" s="22" t="s">
        <v>9</v>
      </c>
      <c r="E1653" s="22" t="s">
        <v>23</v>
      </c>
      <c r="F1653" s="22">
        <v>1452.388</v>
      </c>
    </row>
    <row r="1654" spans="1:6">
      <c r="A1654" s="22" t="s">
        <v>4884</v>
      </c>
      <c r="B1654" s="22" t="s">
        <v>4885</v>
      </c>
      <c r="C1654" s="22" t="s">
        <v>4886</v>
      </c>
      <c r="D1654" s="22" t="s">
        <v>9</v>
      </c>
      <c r="E1654" s="22" t="s">
        <v>35</v>
      </c>
      <c r="F1654" s="22">
        <v>197.197</v>
      </c>
    </row>
    <row r="1655" spans="1:6">
      <c r="A1655" s="22" t="s">
        <v>4887</v>
      </c>
      <c r="B1655" s="22" t="s">
        <v>4888</v>
      </c>
      <c r="C1655" s="22" t="s">
        <v>4889</v>
      </c>
      <c r="D1655" s="22" t="s">
        <v>9</v>
      </c>
      <c r="E1655" s="22" t="s">
        <v>27</v>
      </c>
      <c r="F1655" s="22">
        <v>47.688</v>
      </c>
    </row>
    <row r="1656" spans="1:6">
      <c r="A1656" s="22" t="s">
        <v>4890</v>
      </c>
      <c r="B1656" s="22" t="s">
        <v>888</v>
      </c>
      <c r="C1656" s="22" t="s">
        <v>4891</v>
      </c>
      <c r="D1656" s="22" t="s">
        <v>9</v>
      </c>
      <c r="E1656" s="22" t="s">
        <v>31</v>
      </c>
      <c r="F1656" s="22">
        <v>206.735</v>
      </c>
    </row>
    <row r="1657" spans="1:6">
      <c r="A1657" s="22" t="s">
        <v>4892</v>
      </c>
      <c r="B1657" s="22" t="s">
        <v>4893</v>
      </c>
      <c r="C1657" s="22" t="s">
        <v>4894</v>
      </c>
      <c r="D1657" s="22" t="s">
        <v>9</v>
      </c>
      <c r="E1657" s="22" t="s">
        <v>35</v>
      </c>
      <c r="F1657" s="22">
        <v>60.129</v>
      </c>
    </row>
    <row r="1658" spans="1:6">
      <c r="A1658" s="22" t="s">
        <v>4895</v>
      </c>
      <c r="B1658" s="22" t="s">
        <v>4896</v>
      </c>
      <c r="C1658" s="22" t="s">
        <v>4897</v>
      </c>
      <c r="D1658" s="22" t="s">
        <v>9</v>
      </c>
      <c r="E1658" s="22" t="s">
        <v>62</v>
      </c>
      <c r="F1658" s="22">
        <v>111.354</v>
      </c>
    </row>
    <row r="1659" spans="1:6">
      <c r="A1659" s="22" t="s">
        <v>4898</v>
      </c>
      <c r="B1659" s="22" t="s">
        <v>4899</v>
      </c>
      <c r="C1659" s="22" t="s">
        <v>4900</v>
      </c>
      <c r="D1659" s="22" t="s">
        <v>9</v>
      </c>
      <c r="E1659" s="22" t="s">
        <v>57</v>
      </c>
      <c r="F1659" s="22">
        <v>44.536</v>
      </c>
    </row>
    <row r="1660" spans="1:6">
      <c r="A1660" s="22" t="s">
        <v>4901</v>
      </c>
      <c r="B1660" s="22" t="s">
        <v>4902</v>
      </c>
      <c r="C1660" s="22" t="s">
        <v>4903</v>
      </c>
      <c r="D1660" s="22" t="s">
        <v>9</v>
      </c>
      <c r="E1660" s="22" t="s">
        <v>14</v>
      </c>
      <c r="F1660" s="22">
        <v>80.695</v>
      </c>
    </row>
    <row r="1661" spans="1:6">
      <c r="A1661" s="22" t="s">
        <v>4904</v>
      </c>
      <c r="B1661" s="22" t="s">
        <v>4905</v>
      </c>
      <c r="C1661" s="22" t="s">
        <v>4906</v>
      </c>
      <c r="D1661" s="22" t="s">
        <v>9</v>
      </c>
      <c r="E1661" s="22" t="s">
        <v>35</v>
      </c>
      <c r="F1661" s="22">
        <v>115.127</v>
      </c>
    </row>
    <row r="1662" spans="1:6">
      <c r="A1662" s="22" t="s">
        <v>4907</v>
      </c>
      <c r="B1662" s="22" t="s">
        <v>4908</v>
      </c>
      <c r="C1662" s="22" t="s">
        <v>4909</v>
      </c>
      <c r="D1662" s="22" t="s">
        <v>9</v>
      </c>
      <c r="E1662" s="22" t="s">
        <v>23</v>
      </c>
      <c r="F1662" s="22">
        <v>107.032</v>
      </c>
    </row>
    <row r="1663" spans="1:6">
      <c r="A1663" s="22" t="s">
        <v>4910</v>
      </c>
      <c r="B1663" s="22" t="s">
        <v>4911</v>
      </c>
      <c r="C1663" s="22" t="s">
        <v>4912</v>
      </c>
      <c r="D1663" s="22" t="s">
        <v>9</v>
      </c>
      <c r="E1663" s="22" t="s">
        <v>23</v>
      </c>
      <c r="F1663" s="22">
        <v>74.155</v>
      </c>
    </row>
    <row r="1664" spans="1:6">
      <c r="A1664" s="22" t="s">
        <v>4913</v>
      </c>
      <c r="B1664" s="22" t="s">
        <v>4914</v>
      </c>
      <c r="C1664" s="22" t="s">
        <v>4915</v>
      </c>
      <c r="D1664" s="22" t="s">
        <v>9</v>
      </c>
      <c r="E1664" s="22" t="s">
        <v>27</v>
      </c>
      <c r="F1664" s="22">
        <v>219.418</v>
      </c>
    </row>
    <row r="1665" spans="1:6">
      <c r="A1665" s="22" t="s">
        <v>4916</v>
      </c>
      <c r="B1665" s="22" t="s">
        <v>4917</v>
      </c>
      <c r="C1665" s="22" t="s">
        <v>4918</v>
      </c>
      <c r="D1665" s="22" t="s">
        <v>9</v>
      </c>
      <c r="E1665" s="22" t="s">
        <v>23</v>
      </c>
      <c r="F1665" s="22">
        <v>171.264</v>
      </c>
    </row>
    <row r="1666" spans="1:6">
      <c r="A1666" s="22" t="s">
        <v>4919</v>
      </c>
      <c r="B1666" s="22" t="s">
        <v>4920</v>
      </c>
      <c r="C1666" s="22" t="s">
        <v>4921</v>
      </c>
      <c r="D1666" s="22" t="s">
        <v>9</v>
      </c>
      <c r="E1666" s="22" t="s">
        <v>27</v>
      </c>
      <c r="F1666" s="22">
        <v>6189.371</v>
      </c>
    </row>
    <row r="1667" spans="1:6">
      <c r="A1667" s="22" t="s">
        <v>4922</v>
      </c>
      <c r="B1667" s="22" t="s">
        <v>4923</v>
      </c>
      <c r="C1667" s="22" t="s">
        <v>4924</v>
      </c>
      <c r="D1667" s="22" t="s">
        <v>9</v>
      </c>
      <c r="E1667" s="22" t="s">
        <v>35</v>
      </c>
      <c r="F1667" s="22">
        <v>195.003</v>
      </c>
    </row>
    <row r="1668" spans="1:6">
      <c r="A1668" s="22" t="s">
        <v>4925</v>
      </c>
      <c r="B1668" s="22" t="s">
        <v>4926</v>
      </c>
      <c r="C1668" s="22" t="s">
        <v>4927</v>
      </c>
      <c r="D1668" s="22" t="s">
        <v>9</v>
      </c>
      <c r="E1668" s="22" t="s">
        <v>23</v>
      </c>
      <c r="F1668" s="22">
        <v>1456.999</v>
      </c>
    </row>
    <row r="1669" spans="1:6">
      <c r="A1669" s="22" t="s">
        <v>4928</v>
      </c>
      <c r="B1669" s="22" t="s">
        <v>4929</v>
      </c>
      <c r="C1669" s="22" t="s">
        <v>4930</v>
      </c>
      <c r="D1669" s="22" t="s">
        <v>9</v>
      </c>
      <c r="E1669" s="22" t="s">
        <v>23</v>
      </c>
      <c r="F1669" s="22">
        <v>4222.497</v>
      </c>
    </row>
    <row r="1670" spans="1:6">
      <c r="A1670" s="22" t="s">
        <v>4931</v>
      </c>
      <c r="B1670" s="22" t="s">
        <v>4932</v>
      </c>
      <c r="C1670" s="22" t="s">
        <v>4933</v>
      </c>
      <c r="D1670" s="22" t="s">
        <v>9</v>
      </c>
      <c r="E1670" s="22" t="s">
        <v>50</v>
      </c>
      <c r="F1670" s="22">
        <v>45.341</v>
      </c>
    </row>
    <row r="1671" spans="1:6">
      <c r="A1671" s="22" t="s">
        <v>4934</v>
      </c>
      <c r="B1671" s="22" t="s">
        <v>4935</v>
      </c>
      <c r="C1671" s="22" t="s">
        <v>4936</v>
      </c>
      <c r="D1671" s="22" t="s">
        <v>9</v>
      </c>
      <c r="E1671" s="22" t="s">
        <v>14</v>
      </c>
      <c r="F1671" s="22">
        <v>262.424</v>
      </c>
    </row>
    <row r="1672" spans="1:6">
      <c r="A1672" s="22" t="s">
        <v>4937</v>
      </c>
      <c r="B1672" s="22" t="s">
        <v>3345</v>
      </c>
      <c r="C1672" s="22" t="s">
        <v>4938</v>
      </c>
      <c r="D1672" s="22" t="s">
        <v>9</v>
      </c>
      <c r="E1672" s="22" t="s">
        <v>27</v>
      </c>
      <c r="F1672" s="22">
        <v>437.987</v>
      </c>
    </row>
    <row r="1673" spans="1:6">
      <c r="A1673" s="22" t="s">
        <v>4939</v>
      </c>
      <c r="B1673" s="22" t="s">
        <v>2542</v>
      </c>
      <c r="C1673" s="22" t="s">
        <v>4940</v>
      </c>
      <c r="D1673" s="22" t="s">
        <v>9</v>
      </c>
      <c r="E1673" s="22" t="s">
        <v>27</v>
      </c>
      <c r="F1673" s="22">
        <v>476.345</v>
      </c>
    </row>
    <row r="1674" spans="1:6">
      <c r="A1674" s="22" t="s">
        <v>4941</v>
      </c>
      <c r="B1674" s="22" t="s">
        <v>4942</v>
      </c>
      <c r="C1674" s="22" t="s">
        <v>4943</v>
      </c>
      <c r="D1674" s="22" t="s">
        <v>9</v>
      </c>
      <c r="E1674" s="22" t="s">
        <v>23</v>
      </c>
      <c r="F1674" s="22">
        <v>413.219</v>
      </c>
    </row>
    <row r="1675" spans="1:6">
      <c r="A1675" s="22" t="s">
        <v>4944</v>
      </c>
      <c r="B1675" s="22" t="s">
        <v>4945</v>
      </c>
      <c r="C1675" s="22" t="s">
        <v>4946</v>
      </c>
      <c r="D1675" s="22" t="s">
        <v>9</v>
      </c>
      <c r="E1675" s="22" t="s">
        <v>23</v>
      </c>
      <c r="F1675" s="22">
        <v>875.515</v>
      </c>
    </row>
    <row r="1676" spans="1:6">
      <c r="A1676" s="22" t="s">
        <v>4947</v>
      </c>
      <c r="B1676" s="22" t="s">
        <v>456</v>
      </c>
      <c r="C1676" s="22" t="s">
        <v>4948</v>
      </c>
      <c r="D1676" s="22" t="s">
        <v>9</v>
      </c>
      <c r="E1676" s="22" t="s">
        <v>27</v>
      </c>
      <c r="F1676" s="22">
        <v>84.617</v>
      </c>
    </row>
    <row r="1677" spans="1:6">
      <c r="A1677" s="22" t="s">
        <v>4949</v>
      </c>
      <c r="B1677" s="22" t="s">
        <v>4950</v>
      </c>
      <c r="C1677" s="22" t="s">
        <v>4951</v>
      </c>
      <c r="D1677" s="22" t="s">
        <v>9</v>
      </c>
      <c r="E1677" s="22" t="s">
        <v>14</v>
      </c>
      <c r="F1677" s="22">
        <v>75.292</v>
      </c>
    </row>
    <row r="1678" spans="1:6">
      <c r="A1678" s="22" t="s">
        <v>4952</v>
      </c>
      <c r="B1678" s="22" t="s">
        <v>4953</v>
      </c>
      <c r="C1678" s="22" t="s">
        <v>4953</v>
      </c>
      <c r="D1678" s="22" t="s">
        <v>9</v>
      </c>
      <c r="E1678" s="22" t="s">
        <v>14</v>
      </c>
      <c r="F1678" s="22">
        <v>930.638</v>
      </c>
    </row>
    <row r="1679" spans="1:6">
      <c r="A1679" s="22" t="s">
        <v>4954</v>
      </c>
      <c r="B1679" s="22" t="s">
        <v>4955</v>
      </c>
      <c r="C1679" s="22" t="s">
        <v>4956</v>
      </c>
      <c r="D1679" s="22" t="s">
        <v>9</v>
      </c>
      <c r="E1679" s="22" t="s">
        <v>27</v>
      </c>
      <c r="F1679" s="22">
        <v>154.875</v>
      </c>
    </row>
    <row r="1680" spans="1:6">
      <c r="A1680" s="22" t="s">
        <v>4957</v>
      </c>
      <c r="B1680" s="22" t="s">
        <v>4958</v>
      </c>
      <c r="C1680" s="22" t="s">
        <v>4959</v>
      </c>
      <c r="D1680" s="22" t="s">
        <v>9</v>
      </c>
      <c r="E1680" s="22" t="s">
        <v>35</v>
      </c>
      <c r="F1680" s="22">
        <v>37.477</v>
      </c>
    </row>
    <row r="1681" spans="1:6">
      <c r="A1681" s="22" t="s">
        <v>4960</v>
      </c>
      <c r="B1681" s="22" t="s">
        <v>4961</v>
      </c>
      <c r="C1681" s="22" t="s">
        <v>4962</v>
      </c>
      <c r="D1681" s="22" t="s">
        <v>9</v>
      </c>
      <c r="E1681" s="22" t="s">
        <v>40</v>
      </c>
      <c r="F1681" s="22">
        <v>1301.178</v>
      </c>
    </row>
    <row r="1682" spans="1:6">
      <c r="A1682" s="22" t="s">
        <v>4963</v>
      </c>
      <c r="B1682" s="22" t="s">
        <v>4964</v>
      </c>
      <c r="C1682" s="22" t="s">
        <v>4965</v>
      </c>
      <c r="D1682" s="22" t="s">
        <v>9</v>
      </c>
      <c r="E1682" s="22" t="s">
        <v>35</v>
      </c>
      <c r="F1682" s="22">
        <v>39.33</v>
      </c>
    </row>
    <row r="1683" spans="1:6">
      <c r="A1683" s="22" t="s">
        <v>4966</v>
      </c>
      <c r="B1683" s="22" t="s">
        <v>4967</v>
      </c>
      <c r="C1683" s="22" t="s">
        <v>4968</v>
      </c>
      <c r="D1683" s="22" t="s">
        <v>9</v>
      </c>
      <c r="E1683" s="22" t="s">
        <v>23</v>
      </c>
      <c r="F1683" s="22">
        <v>13.058</v>
      </c>
    </row>
    <row r="1684" spans="1:6">
      <c r="A1684" s="22" t="s">
        <v>4969</v>
      </c>
      <c r="B1684" s="22" t="s">
        <v>4970</v>
      </c>
      <c r="C1684" s="22" t="s">
        <v>4971</v>
      </c>
      <c r="D1684" s="22" t="s">
        <v>9</v>
      </c>
      <c r="E1684" s="22" t="s">
        <v>35</v>
      </c>
      <c r="F1684" s="22">
        <v>31.913</v>
      </c>
    </row>
    <row r="1685" spans="1:6">
      <c r="A1685" s="22" t="s">
        <v>4972</v>
      </c>
      <c r="B1685" s="22" t="s">
        <v>4973</v>
      </c>
      <c r="C1685" s="22" t="s">
        <v>4974</v>
      </c>
      <c r="D1685" s="22" t="s">
        <v>9</v>
      </c>
      <c r="E1685" s="22" t="s">
        <v>23</v>
      </c>
      <c r="F1685" s="22">
        <v>8.683</v>
      </c>
    </row>
    <row r="1686" spans="1:6">
      <c r="A1686" s="22" t="s">
        <v>4975</v>
      </c>
      <c r="B1686" s="22" t="s">
        <v>4976</v>
      </c>
      <c r="C1686" s="22" t="s">
        <v>4977</v>
      </c>
      <c r="D1686" s="22" t="s">
        <v>9</v>
      </c>
      <c r="E1686" s="22" t="s">
        <v>62</v>
      </c>
      <c r="F1686" s="22">
        <v>6.664</v>
      </c>
    </row>
    <row r="1687" spans="1:6">
      <c r="A1687" s="22" t="s">
        <v>4978</v>
      </c>
      <c r="B1687" s="22" t="s">
        <v>4979</v>
      </c>
      <c r="C1687" s="22" t="s">
        <v>4980</v>
      </c>
      <c r="D1687" s="22" t="s">
        <v>9</v>
      </c>
      <c r="E1687" s="22" t="s">
        <v>23</v>
      </c>
      <c r="F1687" s="22">
        <v>580.397</v>
      </c>
    </row>
    <row r="1688" spans="1:6">
      <c r="A1688" s="22" t="s">
        <v>4981</v>
      </c>
      <c r="B1688" s="22" t="s">
        <v>934</v>
      </c>
      <c r="C1688" s="22" t="s">
        <v>4982</v>
      </c>
      <c r="D1688" s="22" t="s">
        <v>9</v>
      </c>
      <c r="E1688" s="22" t="s">
        <v>31</v>
      </c>
      <c r="F1688" s="22">
        <v>11.677</v>
      </c>
    </row>
    <row r="1689" spans="1:6">
      <c r="A1689" s="22" t="s">
        <v>4983</v>
      </c>
      <c r="B1689" s="22" t="s">
        <v>4984</v>
      </c>
      <c r="C1689" s="22" t="s">
        <v>4985</v>
      </c>
      <c r="D1689" s="22" t="s">
        <v>9</v>
      </c>
      <c r="E1689" s="22" t="s">
        <v>39</v>
      </c>
      <c r="F1689" s="22">
        <v>2056.449</v>
      </c>
    </row>
    <row r="1690" spans="1:6">
      <c r="A1690" s="22" t="s">
        <v>4986</v>
      </c>
      <c r="B1690" s="22" t="s">
        <v>4987</v>
      </c>
      <c r="C1690" s="22" t="s">
        <v>4988</v>
      </c>
      <c r="D1690" s="22" t="s">
        <v>9</v>
      </c>
      <c r="E1690" s="22" t="s">
        <v>23</v>
      </c>
      <c r="F1690" s="22">
        <v>300.255</v>
      </c>
    </row>
    <row r="1691" spans="1:6">
      <c r="A1691" s="22" t="s">
        <v>4989</v>
      </c>
      <c r="B1691" s="22" t="s">
        <v>4990</v>
      </c>
      <c r="C1691" s="22" t="s">
        <v>4991</v>
      </c>
      <c r="D1691" s="22" t="s">
        <v>9</v>
      </c>
      <c r="E1691" s="22" t="s">
        <v>23</v>
      </c>
      <c r="F1691" s="22">
        <v>37.769</v>
      </c>
    </row>
    <row r="1692" spans="1:6">
      <c r="A1692" s="22" t="s">
        <v>4992</v>
      </c>
      <c r="B1692" s="22" t="s">
        <v>4993</v>
      </c>
      <c r="C1692" s="22" t="s">
        <v>4994</v>
      </c>
      <c r="D1692" s="22" t="s">
        <v>9</v>
      </c>
      <c r="E1692" s="22" t="s">
        <v>35</v>
      </c>
      <c r="F1692" s="22">
        <v>19.393</v>
      </c>
    </row>
    <row r="1693" spans="1:6">
      <c r="A1693" s="22" t="s">
        <v>4995</v>
      </c>
      <c r="B1693" s="22" t="s">
        <v>1490</v>
      </c>
      <c r="C1693" s="22" t="s">
        <v>4996</v>
      </c>
      <c r="D1693" s="22" t="s">
        <v>9</v>
      </c>
      <c r="E1693" s="22" t="s">
        <v>57</v>
      </c>
      <c r="F1693" s="22">
        <v>49.815</v>
      </c>
    </row>
    <row r="1694" spans="1:6">
      <c r="A1694" s="22" t="s">
        <v>4997</v>
      </c>
      <c r="B1694" s="22" t="s">
        <v>4998</v>
      </c>
      <c r="C1694" s="22" t="s">
        <v>4999</v>
      </c>
      <c r="D1694" s="22" t="s">
        <v>9</v>
      </c>
      <c r="E1694" s="22" t="s">
        <v>35</v>
      </c>
      <c r="F1694" s="22">
        <v>375.607</v>
      </c>
    </row>
    <row r="1695" spans="1:6">
      <c r="A1695" s="22" t="s">
        <v>5000</v>
      </c>
      <c r="B1695" s="22" t="s">
        <v>5001</v>
      </c>
      <c r="C1695" s="22" t="s">
        <v>5002</v>
      </c>
      <c r="D1695" s="22" t="s">
        <v>9</v>
      </c>
      <c r="E1695" s="22" t="s">
        <v>57</v>
      </c>
      <c r="F1695" s="22">
        <v>49.913</v>
      </c>
    </row>
    <row r="1696" spans="1:6">
      <c r="A1696" s="22" t="s">
        <v>5003</v>
      </c>
      <c r="B1696" s="22" t="s">
        <v>5004</v>
      </c>
      <c r="C1696" s="22" t="s">
        <v>5005</v>
      </c>
      <c r="D1696" s="22" t="s">
        <v>9</v>
      </c>
      <c r="E1696" s="22" t="s">
        <v>23</v>
      </c>
      <c r="F1696" s="22">
        <v>4762.039</v>
      </c>
    </row>
    <row r="1697" spans="1:6">
      <c r="A1697" s="22" t="s">
        <v>5006</v>
      </c>
      <c r="B1697" s="22" t="s">
        <v>5007</v>
      </c>
      <c r="C1697" s="22" t="s">
        <v>5008</v>
      </c>
      <c r="D1697" s="22" t="s">
        <v>9</v>
      </c>
      <c r="E1697" s="22" t="s">
        <v>39</v>
      </c>
      <c r="F1697" s="22">
        <v>1468.391</v>
      </c>
    </row>
    <row r="1698" spans="1:6">
      <c r="A1698" s="22" t="s">
        <v>5009</v>
      </c>
      <c r="B1698" s="22" t="s">
        <v>5010</v>
      </c>
      <c r="C1698" s="22" t="s">
        <v>5011</v>
      </c>
      <c r="D1698" s="22" t="s">
        <v>9</v>
      </c>
      <c r="E1698" s="22" t="s">
        <v>23</v>
      </c>
      <c r="F1698" s="22">
        <v>62.501</v>
      </c>
    </row>
    <row r="1699" spans="1:6">
      <c r="A1699" s="22" t="s">
        <v>5012</v>
      </c>
      <c r="B1699" s="22" t="s">
        <v>5013</v>
      </c>
      <c r="C1699" s="22" t="s">
        <v>5014</v>
      </c>
      <c r="D1699" s="22" t="s">
        <v>9</v>
      </c>
      <c r="E1699" s="22" t="s">
        <v>23</v>
      </c>
      <c r="F1699" s="22">
        <v>1138.822</v>
      </c>
    </row>
    <row r="1700" spans="1:6">
      <c r="A1700" s="22" t="s">
        <v>5015</v>
      </c>
      <c r="B1700" s="22" t="s">
        <v>5016</v>
      </c>
      <c r="C1700" s="22" t="s">
        <v>5017</v>
      </c>
      <c r="D1700" s="22" t="s">
        <v>9</v>
      </c>
      <c r="E1700" s="22" t="s">
        <v>23</v>
      </c>
      <c r="F1700" s="22">
        <v>3.517</v>
      </c>
    </row>
    <row r="1701" spans="1:6">
      <c r="A1701" s="22" t="s">
        <v>5018</v>
      </c>
      <c r="B1701" s="22" t="s">
        <v>5019</v>
      </c>
      <c r="C1701" s="22" t="s">
        <v>5020</v>
      </c>
      <c r="D1701" s="22" t="s">
        <v>9</v>
      </c>
      <c r="E1701" s="22" t="s">
        <v>23</v>
      </c>
      <c r="F1701" s="22">
        <v>908.868</v>
      </c>
    </row>
    <row r="1702" spans="1:6">
      <c r="A1702" s="22" t="s">
        <v>5021</v>
      </c>
      <c r="B1702" s="22" t="s">
        <v>5022</v>
      </c>
      <c r="C1702" s="22" t="s">
        <v>5023</v>
      </c>
      <c r="D1702" s="22" t="s">
        <v>9</v>
      </c>
      <c r="E1702" s="22" t="s">
        <v>35</v>
      </c>
      <c r="F1702" s="22">
        <v>181.973</v>
      </c>
    </row>
    <row r="1703" spans="1:6">
      <c r="A1703" s="22" t="s">
        <v>5024</v>
      </c>
      <c r="B1703" s="22" t="s">
        <v>5025</v>
      </c>
      <c r="C1703" s="22" t="s">
        <v>5026</v>
      </c>
      <c r="D1703" s="22" t="s">
        <v>9</v>
      </c>
      <c r="E1703" s="22" t="s">
        <v>39</v>
      </c>
    </row>
    <row r="1704" spans="1:6">
      <c r="A1704" s="22" t="s">
        <v>5027</v>
      </c>
      <c r="B1704" s="22" t="s">
        <v>5028</v>
      </c>
      <c r="C1704" s="22" t="s">
        <v>5029</v>
      </c>
      <c r="D1704" s="22" t="s">
        <v>9</v>
      </c>
      <c r="E1704" s="22" t="s">
        <v>35</v>
      </c>
      <c r="F1704" s="22">
        <v>194.077</v>
      </c>
    </row>
    <row r="1705" spans="1:6">
      <c r="A1705" s="22" t="s">
        <v>5030</v>
      </c>
      <c r="B1705" s="22" t="s">
        <v>5031</v>
      </c>
      <c r="C1705" s="22" t="s">
        <v>5032</v>
      </c>
      <c r="D1705" s="22" t="s">
        <v>9</v>
      </c>
      <c r="E1705" s="22" t="s">
        <v>23</v>
      </c>
      <c r="F1705" s="22">
        <v>474.002</v>
      </c>
    </row>
    <row r="1706" spans="1:6">
      <c r="A1706" s="22" t="s">
        <v>5033</v>
      </c>
      <c r="B1706" s="22" t="s">
        <v>5034</v>
      </c>
      <c r="C1706" s="22" t="s">
        <v>5035</v>
      </c>
      <c r="D1706" s="22" t="s">
        <v>9</v>
      </c>
      <c r="E1706" s="22" t="s">
        <v>14</v>
      </c>
      <c r="F1706" s="22">
        <v>101.91</v>
      </c>
    </row>
    <row r="1707" spans="1:6">
      <c r="A1707" s="22" t="s">
        <v>5036</v>
      </c>
      <c r="B1707" s="22" t="s">
        <v>5037</v>
      </c>
      <c r="C1707" s="22" t="s">
        <v>5038</v>
      </c>
      <c r="D1707" s="22" t="s">
        <v>9</v>
      </c>
      <c r="E1707" s="22" t="s">
        <v>31</v>
      </c>
      <c r="F1707" s="22">
        <v>1599.596</v>
      </c>
    </row>
    <row r="1708" spans="1:6">
      <c r="A1708" s="22" t="s">
        <v>5039</v>
      </c>
      <c r="B1708" s="22" t="s">
        <v>5040</v>
      </c>
      <c r="C1708" s="22" t="s">
        <v>5041</v>
      </c>
      <c r="D1708" s="22" t="s">
        <v>9</v>
      </c>
      <c r="E1708" s="22" t="s">
        <v>23</v>
      </c>
      <c r="F1708" s="22">
        <v>718.079</v>
      </c>
    </row>
    <row r="1709" spans="1:6">
      <c r="A1709" s="22" t="s">
        <v>5042</v>
      </c>
      <c r="B1709" s="22" t="s">
        <v>5043</v>
      </c>
      <c r="C1709" s="22" t="s">
        <v>5044</v>
      </c>
      <c r="D1709" s="22" t="s">
        <v>9</v>
      </c>
      <c r="E1709" s="22" t="s">
        <v>35</v>
      </c>
      <c r="F1709" s="22">
        <v>102.114</v>
      </c>
    </row>
    <row r="1710" spans="1:6">
      <c r="A1710" s="22" t="s">
        <v>5045</v>
      </c>
      <c r="B1710" s="22" t="s">
        <v>5046</v>
      </c>
      <c r="C1710" s="22" t="s">
        <v>5047</v>
      </c>
      <c r="D1710" s="22" t="s">
        <v>9</v>
      </c>
      <c r="E1710" s="22" t="s">
        <v>35</v>
      </c>
      <c r="F1710" s="22">
        <v>3334.477</v>
      </c>
    </row>
    <row r="1711" spans="1:6">
      <c r="A1711" s="22" t="s">
        <v>5048</v>
      </c>
      <c r="B1711" s="22" t="s">
        <v>5049</v>
      </c>
      <c r="C1711" s="22" t="s">
        <v>5050</v>
      </c>
      <c r="D1711" s="22" t="s">
        <v>9</v>
      </c>
      <c r="E1711" s="22" t="s">
        <v>27</v>
      </c>
      <c r="F1711" s="22">
        <v>883.21</v>
      </c>
    </row>
    <row r="1712" spans="1:6">
      <c r="A1712" s="22" t="s">
        <v>5051</v>
      </c>
      <c r="B1712" s="22" t="s">
        <v>5052</v>
      </c>
      <c r="C1712" s="22" t="s">
        <v>5053</v>
      </c>
      <c r="D1712" s="22" t="s">
        <v>9</v>
      </c>
      <c r="E1712" s="22" t="s">
        <v>50</v>
      </c>
      <c r="F1712" s="22">
        <v>51.428</v>
      </c>
    </row>
    <row r="1713" spans="1:6">
      <c r="A1713" s="22" t="s">
        <v>5054</v>
      </c>
      <c r="B1713" s="22" t="s">
        <v>5055</v>
      </c>
      <c r="C1713" s="22" t="s">
        <v>5056</v>
      </c>
      <c r="D1713" s="22" t="s">
        <v>9</v>
      </c>
      <c r="E1713" s="22" t="s">
        <v>23</v>
      </c>
      <c r="F1713" s="22">
        <v>146.014</v>
      </c>
    </row>
    <row r="1714" spans="1:6">
      <c r="A1714" s="22" t="s">
        <v>5057</v>
      </c>
      <c r="B1714" s="22" t="s">
        <v>1199</v>
      </c>
      <c r="C1714" s="22" t="s">
        <v>5058</v>
      </c>
      <c r="D1714" s="22" t="s">
        <v>9</v>
      </c>
      <c r="E1714" s="22" t="s">
        <v>31</v>
      </c>
      <c r="F1714" s="22">
        <v>781.604</v>
      </c>
    </row>
    <row r="1715" spans="1:6">
      <c r="A1715" s="22" t="s">
        <v>5059</v>
      </c>
      <c r="B1715" s="22" t="s">
        <v>5060</v>
      </c>
      <c r="C1715" s="22" t="s">
        <v>5061</v>
      </c>
      <c r="D1715" s="22" t="s">
        <v>9</v>
      </c>
      <c r="E1715" s="22" t="s">
        <v>50</v>
      </c>
      <c r="F1715" s="22">
        <v>122.185</v>
      </c>
    </row>
    <row r="1716" spans="1:6">
      <c r="A1716" s="22" t="s">
        <v>5062</v>
      </c>
      <c r="B1716" s="22" t="s">
        <v>5063</v>
      </c>
      <c r="C1716" s="22" t="s">
        <v>5064</v>
      </c>
      <c r="D1716" s="22" t="s">
        <v>9</v>
      </c>
      <c r="E1716" s="22" t="s">
        <v>35</v>
      </c>
      <c r="F1716" s="22">
        <v>474.514</v>
      </c>
    </row>
    <row r="1717" spans="1:6">
      <c r="A1717" s="22" t="s">
        <v>5065</v>
      </c>
      <c r="B1717" s="22" t="s">
        <v>5066</v>
      </c>
      <c r="C1717" s="22" t="s">
        <v>5067</v>
      </c>
      <c r="D1717" s="22" t="s">
        <v>9</v>
      </c>
      <c r="E1717" s="22" t="s">
        <v>35</v>
      </c>
      <c r="F1717" s="22">
        <v>425.12</v>
      </c>
    </row>
    <row r="1718" spans="1:6">
      <c r="A1718" s="22" t="s">
        <v>5068</v>
      </c>
      <c r="B1718" s="22" t="s">
        <v>5069</v>
      </c>
      <c r="C1718" s="22" t="s">
        <v>5070</v>
      </c>
      <c r="D1718" s="22" t="s">
        <v>9</v>
      </c>
      <c r="E1718" s="22" t="s">
        <v>35</v>
      </c>
      <c r="F1718" s="22">
        <v>24.081</v>
      </c>
    </row>
    <row r="1719" spans="1:6">
      <c r="A1719" s="22" t="s">
        <v>5071</v>
      </c>
      <c r="B1719" s="22" t="s">
        <v>5072</v>
      </c>
      <c r="C1719" s="22" t="s">
        <v>5073</v>
      </c>
      <c r="D1719" s="22" t="s">
        <v>9</v>
      </c>
      <c r="E1719" s="22" t="s">
        <v>27</v>
      </c>
      <c r="F1719" s="22">
        <v>75.889</v>
      </c>
    </row>
    <row r="1720" spans="1:6">
      <c r="A1720" s="22" t="s">
        <v>5074</v>
      </c>
      <c r="B1720" s="22" t="s">
        <v>5075</v>
      </c>
      <c r="C1720" s="22" t="s">
        <v>5076</v>
      </c>
      <c r="D1720" s="22" t="s">
        <v>9</v>
      </c>
      <c r="E1720" s="22" t="s">
        <v>23</v>
      </c>
      <c r="F1720" s="22">
        <v>17.21</v>
      </c>
    </row>
    <row r="1721" spans="1:6">
      <c r="A1721" s="22" t="s">
        <v>5077</v>
      </c>
      <c r="B1721" s="22" t="s">
        <v>5078</v>
      </c>
      <c r="C1721" s="22" t="s">
        <v>5079</v>
      </c>
      <c r="D1721" s="22" t="s">
        <v>9</v>
      </c>
      <c r="E1721" s="22" t="s">
        <v>23</v>
      </c>
      <c r="F1721" s="22">
        <v>6.299</v>
      </c>
    </row>
    <row r="1722" spans="1:6">
      <c r="A1722" s="22" t="s">
        <v>5080</v>
      </c>
      <c r="B1722" s="22" t="s">
        <v>5081</v>
      </c>
      <c r="C1722" s="22" t="s">
        <v>5082</v>
      </c>
      <c r="D1722" s="22" t="s">
        <v>9</v>
      </c>
      <c r="E1722" s="22" t="s">
        <v>35</v>
      </c>
      <c r="F1722" s="22">
        <v>98.015</v>
      </c>
    </row>
    <row r="1723" spans="1:6">
      <c r="A1723" s="22" t="s">
        <v>5083</v>
      </c>
      <c r="B1723" s="22" t="s">
        <v>5084</v>
      </c>
      <c r="C1723" s="22" t="s">
        <v>5085</v>
      </c>
      <c r="D1723" s="22" t="s">
        <v>9</v>
      </c>
      <c r="E1723" s="22" t="s">
        <v>39</v>
      </c>
    </row>
    <row r="1724" spans="1:6">
      <c r="A1724" s="22" t="s">
        <v>5086</v>
      </c>
      <c r="B1724" s="22" t="s">
        <v>5087</v>
      </c>
      <c r="C1724" s="22" t="s">
        <v>5088</v>
      </c>
      <c r="D1724" s="22" t="s">
        <v>9</v>
      </c>
      <c r="E1724" s="22" t="s">
        <v>23</v>
      </c>
      <c r="F1724" s="22">
        <v>44.44</v>
      </c>
    </row>
    <row r="1725" spans="1:6">
      <c r="A1725" s="22" t="s">
        <v>5089</v>
      </c>
      <c r="B1725" s="22" t="s">
        <v>5090</v>
      </c>
      <c r="C1725" s="22" t="s">
        <v>5091</v>
      </c>
      <c r="D1725" s="22" t="s">
        <v>9</v>
      </c>
      <c r="E1725" s="22" t="s">
        <v>35</v>
      </c>
      <c r="F1725" s="22">
        <v>721.229</v>
      </c>
    </row>
    <row r="1726" spans="1:6">
      <c r="A1726" s="22" t="s">
        <v>5092</v>
      </c>
      <c r="B1726" s="22" t="s">
        <v>5093</v>
      </c>
      <c r="C1726" s="22" t="s">
        <v>5094</v>
      </c>
      <c r="D1726" s="22" t="s">
        <v>9</v>
      </c>
      <c r="E1726" s="22" t="s">
        <v>14</v>
      </c>
      <c r="F1726" s="22">
        <v>40.634</v>
      </c>
    </row>
    <row r="1727" spans="1:6">
      <c r="A1727" s="22" t="s">
        <v>5095</v>
      </c>
      <c r="B1727" s="22" t="s">
        <v>5096</v>
      </c>
      <c r="C1727" s="22" t="s">
        <v>5097</v>
      </c>
      <c r="D1727" s="22" t="s">
        <v>9</v>
      </c>
      <c r="E1727" s="22" t="s">
        <v>39</v>
      </c>
      <c r="F1727" s="22">
        <v>254.579</v>
      </c>
    </row>
    <row r="1728" spans="1:6">
      <c r="A1728" s="22" t="s">
        <v>5098</v>
      </c>
      <c r="B1728" s="22" t="s">
        <v>5099</v>
      </c>
      <c r="C1728" s="22" t="s">
        <v>5100</v>
      </c>
      <c r="D1728" s="22" t="s">
        <v>9</v>
      </c>
      <c r="E1728" s="22" t="s">
        <v>35</v>
      </c>
      <c r="F1728" s="22">
        <v>50.179</v>
      </c>
    </row>
    <row r="1729" spans="1:6">
      <c r="A1729" s="22" t="s">
        <v>5101</v>
      </c>
      <c r="B1729" s="22" t="s">
        <v>4481</v>
      </c>
      <c r="C1729" s="22" t="s">
        <v>5102</v>
      </c>
      <c r="D1729" s="22" t="s">
        <v>9</v>
      </c>
      <c r="E1729" s="22" t="s">
        <v>27</v>
      </c>
      <c r="F1729" s="22">
        <v>12800.632</v>
      </c>
    </row>
    <row r="1730" spans="1:6">
      <c r="A1730" s="22" t="s">
        <v>5103</v>
      </c>
      <c r="B1730" s="22" t="s">
        <v>2542</v>
      </c>
      <c r="C1730" s="22" t="s">
        <v>5104</v>
      </c>
      <c r="D1730" s="22" t="s">
        <v>9</v>
      </c>
      <c r="E1730" s="22" t="s">
        <v>27</v>
      </c>
      <c r="F1730" s="22">
        <v>2252.11</v>
      </c>
    </row>
    <row r="1731" spans="1:6">
      <c r="A1731" s="22" t="s">
        <v>5105</v>
      </c>
      <c r="B1731" s="22" t="s">
        <v>5106</v>
      </c>
      <c r="C1731" s="22" t="s">
        <v>2145</v>
      </c>
      <c r="D1731" s="22" t="s">
        <v>9</v>
      </c>
      <c r="E1731" s="22" t="s">
        <v>35</v>
      </c>
      <c r="F1731" s="22">
        <v>2042.619</v>
      </c>
    </row>
    <row r="1732" spans="1:6">
      <c r="A1732" s="22" t="s">
        <v>5107</v>
      </c>
      <c r="B1732" s="22" t="s">
        <v>4478</v>
      </c>
      <c r="C1732" s="22" t="s">
        <v>5108</v>
      </c>
      <c r="D1732" s="22" t="s">
        <v>9</v>
      </c>
      <c r="E1732" s="22" t="s">
        <v>27</v>
      </c>
      <c r="F1732" s="22">
        <v>25309.697</v>
      </c>
    </row>
    <row r="1733" spans="1:6">
      <c r="A1733" s="22" t="s">
        <v>5109</v>
      </c>
      <c r="B1733" s="22" t="s">
        <v>5110</v>
      </c>
      <c r="C1733" s="22" t="s">
        <v>5111</v>
      </c>
      <c r="D1733" s="22" t="s">
        <v>9</v>
      </c>
      <c r="E1733" s="22" t="s">
        <v>35</v>
      </c>
      <c r="F1733" s="22">
        <v>260.708</v>
      </c>
    </row>
    <row r="1734" spans="1:6">
      <c r="A1734" s="22" t="s">
        <v>5112</v>
      </c>
      <c r="B1734" s="22" t="s">
        <v>5113</v>
      </c>
      <c r="C1734" s="22" t="s">
        <v>5114</v>
      </c>
      <c r="D1734" s="22" t="s">
        <v>9</v>
      </c>
      <c r="E1734" s="22" t="s">
        <v>23</v>
      </c>
      <c r="F1734" s="22">
        <v>43.758</v>
      </c>
    </row>
    <row r="1735" spans="1:6">
      <c r="A1735" s="22" t="s">
        <v>5115</v>
      </c>
      <c r="B1735" s="22" t="s">
        <v>5116</v>
      </c>
      <c r="C1735" s="22" t="s">
        <v>5117</v>
      </c>
      <c r="D1735" s="22" t="s">
        <v>9</v>
      </c>
      <c r="E1735" s="22" t="s">
        <v>23</v>
      </c>
      <c r="F1735" s="22">
        <v>58.503</v>
      </c>
    </row>
    <row r="1736" spans="1:6">
      <c r="A1736" s="22" t="s">
        <v>5118</v>
      </c>
      <c r="B1736" s="22" t="s">
        <v>1226</v>
      </c>
      <c r="C1736" s="22" t="s">
        <v>5119</v>
      </c>
      <c r="D1736" s="22" t="s">
        <v>9</v>
      </c>
      <c r="E1736" s="22" t="s">
        <v>23</v>
      </c>
      <c r="F1736" s="22">
        <v>2195.885</v>
      </c>
    </row>
    <row r="1737" spans="1:6">
      <c r="A1737" s="22" t="s">
        <v>5120</v>
      </c>
      <c r="B1737" s="22" t="s">
        <v>5121</v>
      </c>
      <c r="C1737" s="22" t="s">
        <v>5122</v>
      </c>
      <c r="D1737" s="22" t="s">
        <v>9</v>
      </c>
      <c r="E1737" s="22" t="s">
        <v>27</v>
      </c>
      <c r="F1737" s="22">
        <v>1730.611</v>
      </c>
    </row>
    <row r="1738" spans="1:6">
      <c r="A1738" s="22" t="s">
        <v>5123</v>
      </c>
      <c r="B1738" s="22" t="s">
        <v>5124</v>
      </c>
      <c r="C1738" s="22" t="s">
        <v>5125</v>
      </c>
      <c r="D1738" s="22" t="s">
        <v>9</v>
      </c>
      <c r="E1738" s="22" t="s">
        <v>23</v>
      </c>
      <c r="F1738" s="22">
        <v>4.966</v>
      </c>
    </row>
    <row r="1739" spans="1:6">
      <c r="A1739" s="22" t="s">
        <v>5126</v>
      </c>
      <c r="B1739" s="22" t="s">
        <v>5127</v>
      </c>
      <c r="C1739" s="22" t="s">
        <v>5128</v>
      </c>
      <c r="D1739" s="22" t="s">
        <v>9</v>
      </c>
      <c r="E1739" s="22" t="s">
        <v>27</v>
      </c>
      <c r="F1739" s="22">
        <v>8062.272</v>
      </c>
    </row>
    <row r="1740" spans="1:6">
      <c r="A1740" s="22" t="s">
        <v>5129</v>
      </c>
      <c r="B1740" s="22" t="s">
        <v>5130</v>
      </c>
      <c r="C1740" s="22" t="s">
        <v>5131</v>
      </c>
      <c r="D1740" s="22" t="s">
        <v>9</v>
      </c>
      <c r="E1740" s="22" t="s">
        <v>35</v>
      </c>
      <c r="F1740" s="22">
        <v>42.719</v>
      </c>
    </row>
    <row r="1741" spans="1:6">
      <c r="A1741" s="22" t="s">
        <v>5132</v>
      </c>
      <c r="B1741" s="22" t="s">
        <v>3110</v>
      </c>
      <c r="C1741" s="22" t="s">
        <v>5133</v>
      </c>
      <c r="D1741" s="22" t="s">
        <v>9</v>
      </c>
      <c r="E1741" s="22" t="s">
        <v>57</v>
      </c>
      <c r="F1741" s="22">
        <v>37.961</v>
      </c>
    </row>
    <row r="1742" spans="1:6">
      <c r="A1742" s="22" t="s">
        <v>5134</v>
      </c>
      <c r="B1742" s="22" t="s">
        <v>5135</v>
      </c>
      <c r="C1742" s="22" t="s">
        <v>5136</v>
      </c>
      <c r="D1742" s="22" t="s">
        <v>9</v>
      </c>
      <c r="E1742" s="22" t="s">
        <v>23</v>
      </c>
      <c r="F1742" s="22">
        <v>192.214</v>
      </c>
    </row>
    <row r="1743" spans="1:6">
      <c r="A1743" s="22" t="s">
        <v>5137</v>
      </c>
      <c r="B1743" s="22" t="s">
        <v>5138</v>
      </c>
      <c r="C1743" s="22" t="s">
        <v>5139</v>
      </c>
      <c r="D1743" s="22" t="s">
        <v>9</v>
      </c>
      <c r="E1743" s="22" t="s">
        <v>23</v>
      </c>
      <c r="F1743" s="22">
        <v>12426.646</v>
      </c>
    </row>
    <row r="1744" spans="1:6">
      <c r="A1744" s="22" t="s">
        <v>5140</v>
      </c>
      <c r="B1744" s="22" t="s">
        <v>5141</v>
      </c>
      <c r="C1744" s="22" t="s">
        <v>5142</v>
      </c>
      <c r="D1744" s="22" t="s">
        <v>9</v>
      </c>
      <c r="E1744" s="22" t="s">
        <v>14</v>
      </c>
      <c r="F1744" s="22">
        <v>121.468</v>
      </c>
    </row>
    <row r="1745" spans="1:6">
      <c r="A1745" s="22" t="s">
        <v>5143</v>
      </c>
      <c r="B1745" s="22" t="s">
        <v>5144</v>
      </c>
      <c r="C1745" s="22" t="s">
        <v>5145</v>
      </c>
      <c r="D1745" s="22" t="s">
        <v>9</v>
      </c>
      <c r="E1745" s="22" t="s">
        <v>35</v>
      </c>
      <c r="F1745" s="22">
        <v>558.893</v>
      </c>
    </row>
    <row r="1746" spans="1:6">
      <c r="A1746" s="22" t="s">
        <v>5146</v>
      </c>
      <c r="B1746" s="22" t="s">
        <v>5147</v>
      </c>
      <c r="C1746" s="22" t="s">
        <v>5148</v>
      </c>
      <c r="D1746" s="22" t="s">
        <v>9</v>
      </c>
      <c r="E1746" s="22" t="s">
        <v>57</v>
      </c>
      <c r="F1746" s="22">
        <v>351.072</v>
      </c>
    </row>
    <row r="1747" spans="1:6">
      <c r="A1747" s="22" t="s">
        <v>5149</v>
      </c>
      <c r="B1747" s="22" t="s">
        <v>5150</v>
      </c>
      <c r="C1747" s="22" t="s">
        <v>5151</v>
      </c>
      <c r="D1747" s="22" t="s">
        <v>9</v>
      </c>
      <c r="E1747" s="22" t="s">
        <v>35</v>
      </c>
      <c r="F1747" s="22">
        <v>57.81</v>
      </c>
    </row>
    <row r="1748" spans="1:6">
      <c r="A1748" s="22" t="s">
        <v>5152</v>
      </c>
      <c r="B1748" s="22" t="s">
        <v>5153</v>
      </c>
      <c r="C1748" s="22" t="s">
        <v>5154</v>
      </c>
      <c r="D1748" s="22" t="s">
        <v>9</v>
      </c>
      <c r="E1748" s="22" t="s">
        <v>35</v>
      </c>
      <c r="F1748" s="22">
        <v>294.053</v>
      </c>
    </row>
    <row r="1749" spans="1:6">
      <c r="A1749" s="22" t="s">
        <v>5155</v>
      </c>
      <c r="B1749" s="22" t="s">
        <v>480</v>
      </c>
      <c r="C1749" s="22" t="s">
        <v>5156</v>
      </c>
      <c r="D1749" s="22" t="s">
        <v>9</v>
      </c>
      <c r="E1749" s="22" t="s">
        <v>57</v>
      </c>
      <c r="F1749" s="22">
        <v>149.64</v>
      </c>
    </row>
    <row r="1750" spans="1:6">
      <c r="A1750" s="22" t="s">
        <v>5157</v>
      </c>
      <c r="B1750" s="22" t="s">
        <v>5158</v>
      </c>
      <c r="C1750" s="22" t="s">
        <v>5159</v>
      </c>
      <c r="D1750" s="22" t="s">
        <v>9</v>
      </c>
      <c r="E1750" s="22" t="s">
        <v>39</v>
      </c>
      <c r="F1750" s="22">
        <v>3031.967</v>
      </c>
    </row>
    <row r="1751" spans="1:6">
      <c r="A1751" s="22" t="s">
        <v>5160</v>
      </c>
      <c r="B1751" s="22" t="s">
        <v>5161</v>
      </c>
      <c r="C1751" s="22" t="s">
        <v>5162</v>
      </c>
      <c r="D1751" s="22" t="s">
        <v>9</v>
      </c>
      <c r="E1751" s="22" t="s">
        <v>14</v>
      </c>
      <c r="F1751" s="22">
        <v>134.88</v>
      </c>
    </row>
    <row r="1752" spans="1:6">
      <c r="A1752" s="22" t="s">
        <v>5163</v>
      </c>
      <c r="B1752" s="22" t="s">
        <v>2665</v>
      </c>
      <c r="C1752" s="22" t="s">
        <v>5164</v>
      </c>
      <c r="D1752" s="22" t="s">
        <v>9</v>
      </c>
      <c r="E1752" s="22" t="s">
        <v>27</v>
      </c>
      <c r="F1752" s="22">
        <v>10.884</v>
      </c>
    </row>
    <row r="1753" spans="1:6">
      <c r="A1753" s="22" t="s">
        <v>5165</v>
      </c>
      <c r="B1753" s="22" t="s">
        <v>5166</v>
      </c>
      <c r="C1753" s="22" t="s">
        <v>5167</v>
      </c>
      <c r="D1753" s="22" t="s">
        <v>9</v>
      </c>
      <c r="E1753" s="22" t="s">
        <v>57</v>
      </c>
      <c r="F1753" s="22">
        <v>147.438</v>
      </c>
    </row>
    <row r="1754" spans="1:6">
      <c r="A1754" s="22" t="s">
        <v>5168</v>
      </c>
      <c r="B1754" s="22" t="s">
        <v>5169</v>
      </c>
      <c r="C1754" s="22" t="s">
        <v>5170</v>
      </c>
      <c r="D1754" s="22" t="s">
        <v>9</v>
      </c>
      <c r="E1754" s="22" t="s">
        <v>14</v>
      </c>
      <c r="F1754" s="22">
        <v>35.419</v>
      </c>
    </row>
    <row r="1755" spans="1:6">
      <c r="A1755" s="22" t="s">
        <v>5171</v>
      </c>
      <c r="B1755" s="22" t="s">
        <v>2110</v>
      </c>
      <c r="C1755" s="22" t="s">
        <v>5172</v>
      </c>
      <c r="D1755" s="22" t="s">
        <v>9</v>
      </c>
      <c r="E1755" s="22" t="s">
        <v>27</v>
      </c>
      <c r="F1755" s="22">
        <v>2322.7</v>
      </c>
    </row>
    <row r="1756" spans="1:6">
      <c r="A1756" s="22" t="s">
        <v>5173</v>
      </c>
      <c r="B1756" s="22" t="s">
        <v>5174</v>
      </c>
      <c r="C1756" s="22" t="s">
        <v>5175</v>
      </c>
      <c r="D1756" s="22" t="s">
        <v>9</v>
      </c>
      <c r="E1756" s="22" t="s">
        <v>35</v>
      </c>
      <c r="F1756" s="22">
        <v>377.979</v>
      </c>
    </row>
    <row r="1757" spans="1:6">
      <c r="A1757" s="22" t="s">
        <v>5176</v>
      </c>
      <c r="B1757" s="22" t="s">
        <v>3110</v>
      </c>
      <c r="C1757" s="22" t="s">
        <v>5177</v>
      </c>
      <c r="D1757" s="22" t="s">
        <v>9</v>
      </c>
      <c r="E1757" s="22" t="s">
        <v>57</v>
      </c>
      <c r="F1757" s="22">
        <v>73.816</v>
      </c>
    </row>
    <row r="1758" spans="1:6">
      <c r="A1758" s="22" t="s">
        <v>5178</v>
      </c>
      <c r="B1758" s="22" t="s">
        <v>5179</v>
      </c>
      <c r="C1758" s="22" t="s">
        <v>5180</v>
      </c>
      <c r="D1758" s="22" t="s">
        <v>9</v>
      </c>
      <c r="E1758" s="22" t="s">
        <v>31</v>
      </c>
      <c r="F1758" s="22">
        <v>2.418</v>
      </c>
    </row>
    <row r="1759" spans="1:6">
      <c r="A1759" s="22" t="s">
        <v>5181</v>
      </c>
      <c r="B1759" s="22" t="s">
        <v>5182</v>
      </c>
      <c r="C1759" s="22" t="s">
        <v>5183</v>
      </c>
      <c r="D1759" s="22" t="s">
        <v>9</v>
      </c>
      <c r="E1759" s="22" t="s">
        <v>35</v>
      </c>
      <c r="F1759" s="22">
        <v>171.174</v>
      </c>
    </row>
    <row r="1760" spans="1:6">
      <c r="A1760" s="22" t="s">
        <v>5184</v>
      </c>
      <c r="B1760" s="22" t="s">
        <v>3345</v>
      </c>
      <c r="C1760" s="22" t="s">
        <v>3346</v>
      </c>
      <c r="D1760" s="22" t="s">
        <v>9</v>
      </c>
      <c r="E1760" s="22" t="s">
        <v>23</v>
      </c>
      <c r="F1760" s="22">
        <v>2024.715</v>
      </c>
    </row>
    <row r="1761" spans="1:6">
      <c r="A1761" s="22" t="s">
        <v>5185</v>
      </c>
      <c r="B1761" s="22" t="s">
        <v>5186</v>
      </c>
      <c r="C1761" s="22" t="s">
        <v>5187</v>
      </c>
      <c r="D1761" s="22" t="s">
        <v>9</v>
      </c>
      <c r="E1761" s="22" t="s">
        <v>23</v>
      </c>
      <c r="F1761" s="22">
        <v>259.327</v>
      </c>
    </row>
    <row r="1762" spans="1:6">
      <c r="A1762" s="22" t="s">
        <v>5188</v>
      </c>
      <c r="B1762" s="22" t="s">
        <v>5189</v>
      </c>
      <c r="C1762" s="22" t="s">
        <v>5190</v>
      </c>
      <c r="D1762" s="22" t="s">
        <v>9</v>
      </c>
      <c r="E1762" s="22" t="s">
        <v>31</v>
      </c>
      <c r="F1762" s="22">
        <v>150.179</v>
      </c>
    </row>
    <row r="1763" spans="1:6">
      <c r="A1763" s="22" t="s">
        <v>5191</v>
      </c>
      <c r="B1763" s="22" t="s">
        <v>5192</v>
      </c>
      <c r="C1763" s="22" t="s">
        <v>5193</v>
      </c>
      <c r="D1763" s="22" t="s">
        <v>9</v>
      </c>
      <c r="E1763" s="22" t="s">
        <v>27</v>
      </c>
      <c r="F1763" s="22">
        <v>1426.163</v>
      </c>
    </row>
    <row r="1764" spans="1:6">
      <c r="A1764" s="22" t="s">
        <v>5194</v>
      </c>
      <c r="B1764" s="22" t="s">
        <v>5195</v>
      </c>
      <c r="C1764" s="22" t="s">
        <v>1206</v>
      </c>
      <c r="D1764" s="22" t="s">
        <v>9</v>
      </c>
      <c r="E1764" s="22" t="s">
        <v>35</v>
      </c>
      <c r="F1764" s="22">
        <v>307.676</v>
      </c>
    </row>
    <row r="1765" spans="1:6">
      <c r="A1765" s="22" t="s">
        <v>5196</v>
      </c>
      <c r="B1765" s="22" t="s">
        <v>5197</v>
      </c>
      <c r="C1765" s="22" t="s">
        <v>5198</v>
      </c>
      <c r="D1765" s="22" t="s">
        <v>9</v>
      </c>
      <c r="E1765" s="22" t="s">
        <v>14</v>
      </c>
      <c r="F1765" s="22">
        <v>74.068</v>
      </c>
    </row>
    <row r="1766" spans="1:6">
      <c r="A1766" s="22" t="s">
        <v>5199</v>
      </c>
      <c r="B1766" s="22" t="s">
        <v>5200</v>
      </c>
      <c r="C1766" s="22" t="s">
        <v>5201</v>
      </c>
      <c r="D1766" s="22" t="s">
        <v>9</v>
      </c>
      <c r="E1766" s="22" t="s">
        <v>35</v>
      </c>
      <c r="F1766" s="22">
        <v>48.347</v>
      </c>
    </row>
    <row r="1767" spans="1:6">
      <c r="A1767" s="22" t="s">
        <v>5202</v>
      </c>
      <c r="B1767" s="22" t="s">
        <v>5203</v>
      </c>
      <c r="C1767" s="22" t="s">
        <v>5204</v>
      </c>
      <c r="D1767" s="22" t="s">
        <v>9</v>
      </c>
      <c r="E1767" s="22" t="s">
        <v>23</v>
      </c>
      <c r="F1767" s="22">
        <v>218.671</v>
      </c>
    </row>
    <row r="1768" spans="1:6">
      <c r="A1768" s="22" t="s">
        <v>5205</v>
      </c>
      <c r="B1768" s="22" t="s">
        <v>5206</v>
      </c>
      <c r="C1768" s="22" t="s">
        <v>5207</v>
      </c>
      <c r="D1768" s="22" t="s">
        <v>9</v>
      </c>
      <c r="E1768" s="22" t="s">
        <v>23</v>
      </c>
      <c r="F1768" s="22">
        <v>31.335</v>
      </c>
    </row>
    <row r="1769" spans="1:6">
      <c r="A1769" s="22" t="s">
        <v>5208</v>
      </c>
      <c r="B1769" s="22" t="s">
        <v>5209</v>
      </c>
      <c r="C1769" s="22" t="s">
        <v>5210</v>
      </c>
      <c r="D1769" s="22" t="s">
        <v>9</v>
      </c>
      <c r="E1769" s="22" t="s">
        <v>23</v>
      </c>
      <c r="F1769" s="22">
        <v>196.421</v>
      </c>
    </row>
    <row r="1770" spans="1:6">
      <c r="A1770" s="22" t="s">
        <v>5211</v>
      </c>
      <c r="B1770" s="22" t="s">
        <v>4637</v>
      </c>
      <c r="C1770" s="22" t="s">
        <v>5212</v>
      </c>
      <c r="D1770" s="22" t="s">
        <v>9</v>
      </c>
      <c r="E1770" s="22" t="s">
        <v>23</v>
      </c>
      <c r="F1770" s="22">
        <v>22.923</v>
      </c>
    </row>
    <row r="1771" spans="1:6">
      <c r="A1771" s="22" t="s">
        <v>5213</v>
      </c>
      <c r="B1771" s="22" t="s">
        <v>5214</v>
      </c>
      <c r="C1771" s="22" t="s">
        <v>5215</v>
      </c>
      <c r="D1771" s="22" t="s">
        <v>9</v>
      </c>
      <c r="E1771" s="22" t="s">
        <v>31</v>
      </c>
      <c r="F1771" s="22">
        <v>404.515</v>
      </c>
    </row>
    <row r="1772" spans="1:6">
      <c r="A1772" s="22" t="s">
        <v>5216</v>
      </c>
      <c r="B1772" s="22" t="s">
        <v>5217</v>
      </c>
      <c r="C1772" s="22" t="s">
        <v>5218</v>
      </c>
      <c r="D1772" s="22" t="s">
        <v>9</v>
      </c>
      <c r="E1772" s="22" t="s">
        <v>57</v>
      </c>
      <c r="F1772" s="22">
        <v>272.883</v>
      </c>
    </row>
    <row r="1773" spans="1:6">
      <c r="A1773" s="22" t="s">
        <v>5219</v>
      </c>
      <c r="B1773" s="22" t="s">
        <v>5220</v>
      </c>
      <c r="C1773" s="22" t="s">
        <v>5221</v>
      </c>
      <c r="D1773" s="22" t="s">
        <v>9</v>
      </c>
      <c r="E1773" s="22" t="s">
        <v>23</v>
      </c>
      <c r="F1773" s="22">
        <v>1053.831</v>
      </c>
    </row>
    <row r="1774" spans="1:6">
      <c r="A1774" s="22" t="s">
        <v>5222</v>
      </c>
      <c r="B1774" s="22" t="s">
        <v>5223</v>
      </c>
      <c r="C1774" s="22" t="s">
        <v>5224</v>
      </c>
      <c r="D1774" s="22" t="s">
        <v>9</v>
      </c>
      <c r="E1774" s="22" t="s">
        <v>27</v>
      </c>
      <c r="F1774" s="22">
        <v>388.193</v>
      </c>
    </row>
    <row r="1775" spans="1:6">
      <c r="A1775" s="22" t="s">
        <v>5225</v>
      </c>
      <c r="B1775" s="22" t="s">
        <v>5226</v>
      </c>
      <c r="C1775" s="22" t="s">
        <v>5227</v>
      </c>
      <c r="D1775" s="22" t="s">
        <v>9</v>
      </c>
      <c r="E1775" s="22" t="s">
        <v>35</v>
      </c>
      <c r="F1775" s="22">
        <v>23.119</v>
      </c>
    </row>
    <row r="1776" spans="1:6">
      <c r="A1776" s="22" t="s">
        <v>5228</v>
      </c>
      <c r="B1776" s="22" t="s">
        <v>5229</v>
      </c>
      <c r="C1776" s="22" t="s">
        <v>5230</v>
      </c>
      <c r="D1776" s="22" t="s">
        <v>9</v>
      </c>
      <c r="E1776" s="22" t="s">
        <v>23</v>
      </c>
      <c r="F1776" s="22">
        <v>68.57</v>
      </c>
    </row>
    <row r="1777" spans="1:6">
      <c r="A1777" s="22" t="s">
        <v>5231</v>
      </c>
      <c r="B1777" s="22" t="s">
        <v>5232</v>
      </c>
      <c r="C1777" s="22" t="s">
        <v>5233</v>
      </c>
      <c r="D1777" s="22" t="s">
        <v>9</v>
      </c>
      <c r="E1777" s="22" t="s">
        <v>23</v>
      </c>
      <c r="F1777" s="22">
        <v>1719.545</v>
      </c>
    </row>
    <row r="1778" spans="1:6">
      <c r="A1778" s="22" t="s">
        <v>5234</v>
      </c>
      <c r="B1778" s="22" t="s">
        <v>5235</v>
      </c>
      <c r="C1778" s="22" t="s">
        <v>5236</v>
      </c>
      <c r="D1778" s="22" t="s">
        <v>9</v>
      </c>
      <c r="E1778" s="22" t="s">
        <v>23</v>
      </c>
      <c r="F1778" s="22">
        <v>2739.892</v>
      </c>
    </row>
    <row r="1779" spans="1:6">
      <c r="A1779" s="22" t="s">
        <v>5237</v>
      </c>
      <c r="B1779" s="22" t="s">
        <v>5238</v>
      </c>
      <c r="C1779" s="22" t="s">
        <v>5239</v>
      </c>
      <c r="D1779" s="22" t="s">
        <v>9</v>
      </c>
      <c r="E1779" s="22" t="s">
        <v>23</v>
      </c>
      <c r="F1779" s="22">
        <v>1092.308</v>
      </c>
    </row>
    <row r="1780" spans="1:6">
      <c r="A1780" s="22" t="s">
        <v>5240</v>
      </c>
      <c r="B1780" s="22" t="s">
        <v>5241</v>
      </c>
      <c r="C1780" s="22" t="s">
        <v>5242</v>
      </c>
      <c r="D1780" s="22" t="s">
        <v>9</v>
      </c>
      <c r="E1780" s="22" t="s">
        <v>14</v>
      </c>
      <c r="F1780" s="22">
        <v>29.405</v>
      </c>
    </row>
    <row r="1781" spans="1:6">
      <c r="A1781" s="22" t="s">
        <v>5243</v>
      </c>
      <c r="B1781" s="22" t="s">
        <v>5244</v>
      </c>
      <c r="C1781" s="22" t="s">
        <v>5245</v>
      </c>
      <c r="D1781" s="22" t="s">
        <v>9</v>
      </c>
      <c r="E1781" s="22" t="s">
        <v>23</v>
      </c>
      <c r="F1781" s="22">
        <v>4.413</v>
      </c>
    </row>
    <row r="1782" spans="1:6">
      <c r="A1782" s="22" t="s">
        <v>5246</v>
      </c>
      <c r="B1782" s="22" t="s">
        <v>5247</v>
      </c>
      <c r="C1782" s="22" t="s">
        <v>5247</v>
      </c>
      <c r="D1782" s="22" t="s">
        <v>9</v>
      </c>
      <c r="E1782" s="22" t="s">
        <v>14</v>
      </c>
      <c r="F1782" s="22">
        <v>337.516</v>
      </c>
    </row>
    <row r="1783" spans="1:6">
      <c r="A1783" s="22" t="s">
        <v>5248</v>
      </c>
      <c r="B1783" s="22" t="s">
        <v>5249</v>
      </c>
      <c r="C1783" s="22" t="s">
        <v>5250</v>
      </c>
      <c r="D1783" s="22" t="s">
        <v>9</v>
      </c>
      <c r="E1783" s="22" t="s">
        <v>31</v>
      </c>
      <c r="F1783" s="22">
        <v>1144.899</v>
      </c>
    </row>
    <row r="1784" spans="1:6">
      <c r="A1784" s="22" t="s">
        <v>5251</v>
      </c>
      <c r="B1784" s="22" t="s">
        <v>5252</v>
      </c>
      <c r="C1784" s="22" t="s">
        <v>5253</v>
      </c>
      <c r="D1784" s="22" t="s">
        <v>9</v>
      </c>
      <c r="E1784" s="22" t="s">
        <v>27</v>
      </c>
      <c r="F1784" s="22">
        <v>37.916</v>
      </c>
    </row>
    <row r="1785" spans="1:6">
      <c r="A1785" s="22" t="s">
        <v>5254</v>
      </c>
      <c r="B1785" s="22" t="s">
        <v>5255</v>
      </c>
      <c r="C1785" s="22" t="s">
        <v>5256</v>
      </c>
      <c r="D1785" s="22" t="s">
        <v>9</v>
      </c>
      <c r="E1785" s="22" t="s">
        <v>57</v>
      </c>
      <c r="F1785" s="22">
        <v>54.965</v>
      </c>
    </row>
    <row r="1786" spans="1:6">
      <c r="A1786" s="22" t="s">
        <v>5257</v>
      </c>
      <c r="B1786" s="22" t="s">
        <v>5258</v>
      </c>
      <c r="C1786" s="22" t="s">
        <v>5259</v>
      </c>
      <c r="D1786" s="22" t="s">
        <v>9</v>
      </c>
      <c r="E1786" s="22" t="s">
        <v>23</v>
      </c>
      <c r="F1786" s="22">
        <v>28.754</v>
      </c>
    </row>
    <row r="1787" spans="1:6">
      <c r="A1787" s="22" t="s">
        <v>5260</v>
      </c>
      <c r="B1787" s="22" t="s">
        <v>3941</v>
      </c>
      <c r="C1787" s="22" t="s">
        <v>4249</v>
      </c>
      <c r="D1787" s="22" t="s">
        <v>9</v>
      </c>
      <c r="E1787" s="22" t="s">
        <v>23</v>
      </c>
      <c r="F1787" s="22">
        <v>3797.708</v>
      </c>
    </row>
    <row r="1788" spans="1:6">
      <c r="A1788" s="22" t="s">
        <v>5261</v>
      </c>
      <c r="B1788" s="22" t="s">
        <v>4481</v>
      </c>
      <c r="C1788" s="22" t="s">
        <v>5262</v>
      </c>
      <c r="D1788" s="22" t="s">
        <v>9</v>
      </c>
      <c r="E1788" s="22" t="s">
        <v>27</v>
      </c>
      <c r="F1788" s="22">
        <v>9696.51</v>
      </c>
    </row>
    <row r="1789" spans="1:6">
      <c r="A1789" s="22" t="s">
        <v>5263</v>
      </c>
      <c r="B1789" s="22" t="s">
        <v>5264</v>
      </c>
      <c r="C1789" s="22" t="s">
        <v>5265</v>
      </c>
      <c r="D1789" s="22" t="s">
        <v>9</v>
      </c>
      <c r="E1789" s="22" t="s">
        <v>23</v>
      </c>
      <c r="F1789" s="22">
        <v>899.052</v>
      </c>
    </row>
    <row r="1790" spans="1:6">
      <c r="A1790" s="22" t="s">
        <v>5266</v>
      </c>
      <c r="B1790" s="22" t="s">
        <v>5267</v>
      </c>
      <c r="C1790" s="22" t="s">
        <v>5268</v>
      </c>
      <c r="D1790" s="22" t="s">
        <v>9</v>
      </c>
      <c r="E1790" s="22" t="s">
        <v>27</v>
      </c>
      <c r="F1790" s="22">
        <v>25.001</v>
      </c>
    </row>
    <row r="1791" spans="1:6">
      <c r="A1791" s="22" t="s">
        <v>5269</v>
      </c>
      <c r="B1791" s="22" t="s">
        <v>5270</v>
      </c>
      <c r="C1791" s="22" t="s">
        <v>5271</v>
      </c>
      <c r="D1791" s="22" t="s">
        <v>9</v>
      </c>
      <c r="E1791" s="22" t="s">
        <v>27</v>
      </c>
      <c r="F1791" s="22">
        <v>461.668</v>
      </c>
    </row>
    <row r="1792" spans="1:6">
      <c r="A1792" s="22" t="s">
        <v>5272</v>
      </c>
      <c r="B1792" s="22" t="s">
        <v>5273</v>
      </c>
      <c r="C1792" s="22" t="s">
        <v>5274</v>
      </c>
      <c r="D1792" s="22" t="s">
        <v>9</v>
      </c>
      <c r="E1792" s="22" t="s">
        <v>23</v>
      </c>
      <c r="F1792" s="22">
        <v>144.222</v>
      </c>
    </row>
    <row r="1793" spans="1:6">
      <c r="A1793" s="22" t="s">
        <v>5275</v>
      </c>
      <c r="B1793" s="22" t="s">
        <v>5276</v>
      </c>
      <c r="C1793" s="22" t="s">
        <v>5277</v>
      </c>
      <c r="D1793" s="22" t="s">
        <v>9</v>
      </c>
      <c r="E1793" s="22" t="s">
        <v>35</v>
      </c>
      <c r="F1793" s="22">
        <v>238.051</v>
      </c>
    </row>
    <row r="1794" spans="1:6">
      <c r="A1794" s="22" t="s">
        <v>5278</v>
      </c>
      <c r="B1794" s="22" t="s">
        <v>5279</v>
      </c>
      <c r="C1794" s="22" t="s">
        <v>5280</v>
      </c>
      <c r="D1794" s="22" t="s">
        <v>9</v>
      </c>
      <c r="E1794" s="22" t="s">
        <v>27</v>
      </c>
      <c r="F1794" s="22">
        <v>2462.119</v>
      </c>
    </row>
    <row r="1795" spans="1:6">
      <c r="A1795" s="22" t="s">
        <v>5281</v>
      </c>
      <c r="B1795" s="22" t="s">
        <v>5282</v>
      </c>
      <c r="C1795" s="22" t="s">
        <v>5283</v>
      </c>
      <c r="D1795" s="22" t="s">
        <v>9</v>
      </c>
      <c r="E1795" s="22" t="s">
        <v>23</v>
      </c>
      <c r="F1795" s="22">
        <v>884.086</v>
      </c>
    </row>
    <row r="1796" spans="1:6">
      <c r="A1796" s="22" t="s">
        <v>5284</v>
      </c>
      <c r="B1796" s="22" t="s">
        <v>3345</v>
      </c>
      <c r="C1796" s="22" t="s">
        <v>5285</v>
      </c>
      <c r="D1796" s="22" t="s">
        <v>9</v>
      </c>
      <c r="E1796" s="22" t="s">
        <v>27</v>
      </c>
      <c r="F1796" s="22">
        <v>43.939</v>
      </c>
    </row>
    <row r="1797" spans="1:6">
      <c r="A1797" s="22" t="s">
        <v>5286</v>
      </c>
      <c r="B1797" s="22" t="s">
        <v>5287</v>
      </c>
      <c r="C1797" s="22" t="s">
        <v>5288</v>
      </c>
      <c r="D1797" s="22" t="s">
        <v>9</v>
      </c>
      <c r="E1797" s="22" t="s">
        <v>14</v>
      </c>
      <c r="F1797" s="22">
        <v>511.247</v>
      </c>
    </row>
    <row r="1798" spans="1:6">
      <c r="A1798" s="22" t="s">
        <v>5289</v>
      </c>
      <c r="B1798" s="22" t="s">
        <v>5290</v>
      </c>
      <c r="C1798" s="22" t="s">
        <v>5291</v>
      </c>
      <c r="D1798" s="22" t="s">
        <v>9</v>
      </c>
      <c r="E1798" s="22" t="s">
        <v>27</v>
      </c>
      <c r="F1798" s="22">
        <v>7171.442</v>
      </c>
    </row>
    <row r="1799" spans="1:6">
      <c r="A1799" s="22" t="s">
        <v>5292</v>
      </c>
      <c r="B1799" s="22" t="s">
        <v>5293</v>
      </c>
      <c r="C1799" s="22" t="s">
        <v>5294</v>
      </c>
      <c r="D1799" s="22" t="s">
        <v>9</v>
      </c>
      <c r="E1799" s="22" t="s">
        <v>27</v>
      </c>
      <c r="F1799" s="22">
        <v>2395.041</v>
      </c>
    </row>
    <row r="1800" spans="1:6">
      <c r="A1800" s="22" t="s">
        <v>5295</v>
      </c>
      <c r="B1800" s="22" t="s">
        <v>5296</v>
      </c>
      <c r="C1800" s="22" t="s">
        <v>5297</v>
      </c>
      <c r="D1800" s="22" t="s">
        <v>9</v>
      </c>
      <c r="E1800" s="22" t="s">
        <v>14</v>
      </c>
      <c r="F1800" s="22">
        <v>125.452</v>
      </c>
    </row>
    <row r="1801" spans="1:6">
      <c r="A1801" s="22" t="s">
        <v>5298</v>
      </c>
      <c r="B1801" s="22" t="s">
        <v>741</v>
      </c>
      <c r="C1801" s="22" t="s">
        <v>5299</v>
      </c>
      <c r="D1801" s="22" t="s">
        <v>9</v>
      </c>
      <c r="E1801" s="22" t="s">
        <v>23</v>
      </c>
      <c r="F1801" s="22">
        <v>277.47</v>
      </c>
    </row>
    <row r="1802" spans="1:6">
      <c r="A1802" s="22" t="s">
        <v>5300</v>
      </c>
      <c r="B1802" s="22" t="s">
        <v>3345</v>
      </c>
      <c r="C1802" s="22" t="s">
        <v>5301</v>
      </c>
      <c r="D1802" s="22" t="s">
        <v>9</v>
      </c>
      <c r="E1802" s="22" t="s">
        <v>27</v>
      </c>
      <c r="F1802" s="22">
        <v>1456.787</v>
      </c>
    </row>
    <row r="1803" spans="1:6">
      <c r="A1803" s="22" t="s">
        <v>5302</v>
      </c>
      <c r="B1803" s="22" t="s">
        <v>5303</v>
      </c>
      <c r="C1803" s="22" t="s">
        <v>5304</v>
      </c>
      <c r="D1803" s="22" t="s">
        <v>9</v>
      </c>
      <c r="E1803" s="22" t="s">
        <v>23</v>
      </c>
      <c r="F1803" s="22">
        <v>26516.676</v>
      </c>
    </row>
    <row r="1804" spans="1:6">
      <c r="A1804" s="22" t="s">
        <v>5305</v>
      </c>
      <c r="B1804" s="22" t="s">
        <v>5306</v>
      </c>
      <c r="C1804" s="22" t="s">
        <v>5307</v>
      </c>
      <c r="D1804" s="22" t="s">
        <v>9</v>
      </c>
      <c r="E1804" s="22" t="s">
        <v>39</v>
      </c>
      <c r="F1804" s="22">
        <v>2750.281</v>
      </c>
    </row>
    <row r="1805" spans="1:6">
      <c r="A1805" s="22" t="s">
        <v>5308</v>
      </c>
      <c r="B1805" s="22" t="s">
        <v>5309</v>
      </c>
      <c r="C1805" s="22" t="s">
        <v>5310</v>
      </c>
      <c r="D1805" s="22" t="s">
        <v>9</v>
      </c>
      <c r="E1805" s="22" t="s">
        <v>35</v>
      </c>
      <c r="F1805" s="22">
        <v>202.577</v>
      </c>
    </row>
    <row r="1806" spans="1:6">
      <c r="A1806" s="22" t="s">
        <v>5311</v>
      </c>
      <c r="B1806" s="22" t="s">
        <v>5312</v>
      </c>
      <c r="C1806" s="22" t="s">
        <v>5313</v>
      </c>
      <c r="D1806" s="22" t="s">
        <v>9</v>
      </c>
      <c r="E1806" s="22" t="s">
        <v>27</v>
      </c>
      <c r="F1806" s="22">
        <v>38.414</v>
      </c>
    </row>
    <row r="1807" spans="1:6">
      <c r="A1807" s="22" t="s">
        <v>5314</v>
      </c>
      <c r="B1807" s="22" t="s">
        <v>1898</v>
      </c>
      <c r="C1807" s="22" t="s">
        <v>5315</v>
      </c>
      <c r="D1807" s="22" t="s">
        <v>9</v>
      </c>
      <c r="E1807" s="22" t="s">
        <v>27</v>
      </c>
      <c r="F1807" s="22">
        <v>21.124</v>
      </c>
    </row>
    <row r="1808" spans="1:6">
      <c r="A1808" s="22" t="s">
        <v>5316</v>
      </c>
      <c r="B1808" s="22" t="s">
        <v>5317</v>
      </c>
      <c r="C1808" s="22" t="s">
        <v>5318</v>
      </c>
      <c r="D1808" s="22" t="s">
        <v>9</v>
      </c>
      <c r="E1808" s="22" t="s">
        <v>23</v>
      </c>
      <c r="F1808" s="22">
        <v>123.234</v>
      </c>
    </row>
    <row r="1809" spans="1:6">
      <c r="A1809" s="22" t="s">
        <v>5319</v>
      </c>
      <c r="B1809" s="22" t="s">
        <v>5320</v>
      </c>
      <c r="C1809" s="22" t="s">
        <v>5321</v>
      </c>
      <c r="D1809" s="22" t="s">
        <v>9</v>
      </c>
      <c r="E1809" s="22" t="s">
        <v>39</v>
      </c>
      <c r="F1809" s="22">
        <v>325.576</v>
      </c>
    </row>
    <row r="1810" spans="1:6">
      <c r="A1810" s="22" t="s">
        <v>5322</v>
      </c>
      <c r="B1810" s="22" t="s">
        <v>3941</v>
      </c>
      <c r="C1810" s="22" t="s">
        <v>4249</v>
      </c>
      <c r="D1810" s="22" t="s">
        <v>9</v>
      </c>
      <c r="E1810" s="22" t="s">
        <v>23</v>
      </c>
      <c r="F1810" s="22">
        <v>577.891</v>
      </c>
    </row>
    <row r="1811" spans="1:6">
      <c r="A1811" s="22" t="s">
        <v>5323</v>
      </c>
      <c r="B1811" s="22" t="s">
        <v>5324</v>
      </c>
      <c r="C1811" s="22" t="s">
        <v>5325</v>
      </c>
      <c r="D1811" s="22" t="s">
        <v>9</v>
      </c>
      <c r="E1811" s="22" t="s">
        <v>14</v>
      </c>
      <c r="F1811" s="22">
        <v>71.827</v>
      </c>
    </row>
    <row r="1812" spans="1:6">
      <c r="A1812" s="22" t="s">
        <v>5326</v>
      </c>
      <c r="B1812" s="22" t="s">
        <v>5327</v>
      </c>
      <c r="C1812" s="22" t="s">
        <v>5328</v>
      </c>
      <c r="D1812" s="22" t="s">
        <v>9</v>
      </c>
      <c r="E1812" s="22" t="s">
        <v>14</v>
      </c>
      <c r="F1812" s="22">
        <v>24.913</v>
      </c>
    </row>
    <row r="1813" spans="1:6">
      <c r="A1813" s="22" t="s">
        <v>5329</v>
      </c>
      <c r="B1813" s="22" t="s">
        <v>5330</v>
      </c>
      <c r="C1813" s="22" t="s">
        <v>5331</v>
      </c>
      <c r="D1813" s="22" t="s">
        <v>9</v>
      </c>
      <c r="E1813" s="22" t="s">
        <v>23</v>
      </c>
      <c r="F1813" s="22">
        <v>132.02</v>
      </c>
    </row>
    <row r="1814" spans="1:6">
      <c r="A1814" s="22" t="s">
        <v>5332</v>
      </c>
      <c r="B1814" s="22" t="s">
        <v>5333</v>
      </c>
      <c r="C1814" s="22" t="s">
        <v>5288</v>
      </c>
      <c r="D1814" s="22" t="s">
        <v>9</v>
      </c>
      <c r="E1814" s="22" t="s">
        <v>14</v>
      </c>
      <c r="F1814" s="22">
        <v>1351.127</v>
      </c>
    </row>
    <row r="1815" spans="1:6">
      <c r="A1815" s="22" t="s">
        <v>5334</v>
      </c>
      <c r="B1815" s="22" t="s">
        <v>5335</v>
      </c>
      <c r="C1815" s="22" t="s">
        <v>5336</v>
      </c>
      <c r="D1815" s="22" t="s">
        <v>9</v>
      </c>
      <c r="E1815" s="22" t="s">
        <v>50</v>
      </c>
      <c r="F1815" s="22">
        <v>31.706</v>
      </c>
    </row>
    <row r="1816" spans="1:6">
      <c r="A1816" s="22" t="s">
        <v>5337</v>
      </c>
      <c r="B1816" s="22" t="s">
        <v>5338</v>
      </c>
      <c r="C1816" s="22" t="s">
        <v>5339</v>
      </c>
      <c r="D1816" s="22" t="s">
        <v>9</v>
      </c>
      <c r="E1816" s="22" t="s">
        <v>23</v>
      </c>
      <c r="F1816" s="22">
        <v>208.967</v>
      </c>
    </row>
    <row r="1817" spans="1:6">
      <c r="A1817" s="22" t="s">
        <v>5340</v>
      </c>
      <c r="B1817" s="22" t="s">
        <v>5341</v>
      </c>
      <c r="C1817" s="22" t="s">
        <v>5342</v>
      </c>
      <c r="D1817" s="22" t="s">
        <v>9</v>
      </c>
      <c r="E1817" s="22" t="s">
        <v>23</v>
      </c>
      <c r="F1817" s="22">
        <v>711.759</v>
      </c>
    </row>
    <row r="1818" spans="1:6">
      <c r="A1818" s="22" t="s">
        <v>5343</v>
      </c>
      <c r="B1818" s="22" t="s">
        <v>5344</v>
      </c>
      <c r="C1818" s="22" t="s">
        <v>5345</v>
      </c>
      <c r="D1818" s="22" t="s">
        <v>9</v>
      </c>
      <c r="E1818" s="22" t="s">
        <v>23</v>
      </c>
      <c r="F1818" s="22">
        <v>6048.065</v>
      </c>
    </row>
    <row r="1819" spans="1:6">
      <c r="A1819" s="22" t="s">
        <v>5346</v>
      </c>
      <c r="B1819" s="22" t="s">
        <v>5347</v>
      </c>
      <c r="C1819" s="22" t="s">
        <v>5348</v>
      </c>
      <c r="D1819" s="22" t="s">
        <v>9</v>
      </c>
      <c r="E1819" s="22" t="s">
        <v>35</v>
      </c>
      <c r="F1819" s="22">
        <v>189.037</v>
      </c>
    </row>
    <row r="1820" spans="1:6">
      <c r="A1820" s="22" t="s">
        <v>5349</v>
      </c>
      <c r="B1820" s="22" t="s">
        <v>1541</v>
      </c>
      <c r="C1820" s="22" t="s">
        <v>5350</v>
      </c>
      <c r="D1820" s="22" t="s">
        <v>9</v>
      </c>
      <c r="E1820" s="22" t="s">
        <v>23</v>
      </c>
      <c r="F1820" s="22">
        <v>149.123</v>
      </c>
    </row>
    <row r="1821" spans="1:6">
      <c r="A1821" s="22" t="s">
        <v>5351</v>
      </c>
      <c r="B1821" s="22" t="s">
        <v>5352</v>
      </c>
      <c r="C1821" s="22" t="s">
        <v>5353</v>
      </c>
      <c r="D1821" s="22" t="s">
        <v>9</v>
      </c>
      <c r="E1821" s="22" t="s">
        <v>39</v>
      </c>
      <c r="F1821" s="22">
        <v>2702.811</v>
      </c>
    </row>
    <row r="1822" spans="1:6">
      <c r="A1822" s="22" t="s">
        <v>5354</v>
      </c>
      <c r="B1822" s="22" t="s">
        <v>5355</v>
      </c>
      <c r="C1822" s="22" t="s">
        <v>5356</v>
      </c>
      <c r="D1822" s="22" t="s">
        <v>9</v>
      </c>
      <c r="E1822" s="22" t="s">
        <v>23</v>
      </c>
      <c r="F1822" s="22">
        <v>30.657</v>
      </c>
    </row>
    <row r="1823" spans="1:6">
      <c r="A1823" s="22" t="s">
        <v>5357</v>
      </c>
      <c r="B1823" s="22" t="s">
        <v>5358</v>
      </c>
      <c r="C1823" s="22" t="s">
        <v>5359</v>
      </c>
      <c r="D1823" s="22" t="s">
        <v>9</v>
      </c>
      <c r="E1823" s="22" t="s">
        <v>57</v>
      </c>
      <c r="F1823" s="22">
        <v>133.899</v>
      </c>
    </row>
    <row r="1824" spans="1:6">
      <c r="A1824" s="22" t="s">
        <v>5360</v>
      </c>
      <c r="B1824" s="22" t="s">
        <v>5361</v>
      </c>
      <c r="C1824" s="22" t="s">
        <v>5362</v>
      </c>
      <c r="D1824" s="22" t="s">
        <v>9</v>
      </c>
      <c r="E1824" s="22" t="s">
        <v>35</v>
      </c>
      <c r="F1824" s="22">
        <v>1130.23</v>
      </c>
    </row>
    <row r="1825" spans="1:6">
      <c r="A1825" s="22" t="s">
        <v>5363</v>
      </c>
      <c r="B1825" s="22" t="s">
        <v>5364</v>
      </c>
      <c r="C1825" s="22" t="s">
        <v>5365</v>
      </c>
      <c r="D1825" s="22" t="s">
        <v>9</v>
      </c>
      <c r="E1825" s="22" t="s">
        <v>35</v>
      </c>
      <c r="F1825" s="22">
        <v>108.646</v>
      </c>
    </row>
    <row r="1826" spans="1:6">
      <c r="A1826" s="22" t="s">
        <v>5366</v>
      </c>
      <c r="B1826" s="22" t="s">
        <v>5367</v>
      </c>
      <c r="C1826" s="22" t="s">
        <v>5368</v>
      </c>
      <c r="D1826" s="22" t="s">
        <v>9</v>
      </c>
      <c r="E1826" s="22" t="s">
        <v>35</v>
      </c>
      <c r="F1826" s="22">
        <v>110.413</v>
      </c>
    </row>
    <row r="1827" spans="1:6">
      <c r="A1827" s="22" t="s">
        <v>5369</v>
      </c>
      <c r="B1827" s="22" t="s">
        <v>5370</v>
      </c>
      <c r="C1827" s="22" t="s">
        <v>5371</v>
      </c>
      <c r="D1827" s="22" t="s">
        <v>9</v>
      </c>
      <c r="E1827" s="22" t="s">
        <v>23</v>
      </c>
      <c r="F1827" s="22">
        <v>53.059</v>
      </c>
    </row>
    <row r="1828" spans="1:6">
      <c r="A1828" s="22" t="s">
        <v>5372</v>
      </c>
      <c r="B1828" s="22" t="s">
        <v>5373</v>
      </c>
      <c r="C1828" s="22" t="s">
        <v>5374</v>
      </c>
      <c r="D1828" s="22" t="s">
        <v>9</v>
      </c>
      <c r="E1828" s="22" t="s">
        <v>27</v>
      </c>
      <c r="F1828" s="22">
        <v>274.82</v>
      </c>
    </row>
    <row r="1829" spans="1:6">
      <c r="A1829" s="22" t="s">
        <v>5375</v>
      </c>
      <c r="B1829" s="22" t="s">
        <v>5376</v>
      </c>
      <c r="C1829" s="22" t="s">
        <v>5377</v>
      </c>
      <c r="D1829" s="22" t="s">
        <v>9</v>
      </c>
      <c r="E1829" s="22" t="s">
        <v>14</v>
      </c>
      <c r="F1829" s="22">
        <v>144.079</v>
      </c>
    </row>
    <row r="1830" spans="1:6">
      <c r="A1830" s="22" t="s">
        <v>5378</v>
      </c>
      <c r="B1830" s="22" t="s">
        <v>5379</v>
      </c>
      <c r="C1830" s="22" t="s">
        <v>5380</v>
      </c>
      <c r="D1830" s="22" t="s">
        <v>9</v>
      </c>
      <c r="E1830" s="22" t="s">
        <v>23</v>
      </c>
      <c r="F1830" s="22">
        <v>19.587</v>
      </c>
    </row>
    <row r="1831" spans="1:6">
      <c r="A1831" s="22" t="s">
        <v>5381</v>
      </c>
      <c r="B1831" s="22" t="s">
        <v>5382</v>
      </c>
      <c r="C1831" s="22" t="s">
        <v>5383</v>
      </c>
      <c r="D1831" s="22" t="s">
        <v>9</v>
      </c>
      <c r="E1831" s="22" t="s">
        <v>31</v>
      </c>
      <c r="F1831" s="22">
        <v>1605.443</v>
      </c>
    </row>
    <row r="1832" spans="1:6">
      <c r="A1832" s="22" t="s">
        <v>5384</v>
      </c>
      <c r="B1832" s="22" t="s">
        <v>5385</v>
      </c>
      <c r="C1832" s="22" t="s">
        <v>5386</v>
      </c>
      <c r="D1832" s="22" t="s">
        <v>9</v>
      </c>
      <c r="E1832" s="22" t="s">
        <v>35</v>
      </c>
      <c r="F1832" s="22">
        <v>2594.395</v>
      </c>
    </row>
    <row r="1833" spans="1:6">
      <c r="A1833" s="22" t="s">
        <v>5387</v>
      </c>
      <c r="B1833" s="22" t="s">
        <v>5388</v>
      </c>
      <c r="C1833" s="22" t="s">
        <v>5389</v>
      </c>
      <c r="D1833" s="22" t="s">
        <v>9</v>
      </c>
      <c r="E1833" s="22" t="s">
        <v>35</v>
      </c>
      <c r="F1833" s="22">
        <v>79.662</v>
      </c>
    </row>
    <row r="1834" spans="1:6">
      <c r="A1834" s="22" t="s">
        <v>5390</v>
      </c>
      <c r="B1834" s="22" t="s">
        <v>5391</v>
      </c>
      <c r="C1834" s="22" t="s">
        <v>5392</v>
      </c>
      <c r="D1834" s="22" t="s">
        <v>9</v>
      </c>
      <c r="E1834" s="22" t="s">
        <v>39</v>
      </c>
    </row>
    <row r="1835" spans="1:6">
      <c r="A1835" s="22" t="s">
        <v>5393</v>
      </c>
      <c r="B1835" s="22" t="s">
        <v>5394</v>
      </c>
      <c r="C1835" s="22" t="s">
        <v>5395</v>
      </c>
      <c r="D1835" s="22" t="s">
        <v>9</v>
      </c>
      <c r="E1835" s="22" t="s">
        <v>78</v>
      </c>
      <c r="F1835" s="22">
        <v>306.98</v>
      </c>
    </row>
    <row r="1836" spans="1:6">
      <c r="A1836" s="22" t="s">
        <v>5396</v>
      </c>
      <c r="B1836" s="22" t="s">
        <v>5397</v>
      </c>
      <c r="C1836" s="22" t="s">
        <v>5398</v>
      </c>
      <c r="D1836" s="22" t="s">
        <v>9</v>
      </c>
      <c r="E1836" s="22" t="s">
        <v>35</v>
      </c>
      <c r="F1836" s="22">
        <v>1032.905</v>
      </c>
    </row>
    <row r="1837" spans="1:6">
      <c r="A1837" s="22" t="s">
        <v>5399</v>
      </c>
      <c r="B1837" s="22" t="s">
        <v>5400</v>
      </c>
      <c r="C1837" s="22" t="s">
        <v>5401</v>
      </c>
      <c r="D1837" s="22" t="s">
        <v>9</v>
      </c>
      <c r="E1837" s="22" t="s">
        <v>23</v>
      </c>
      <c r="F1837" s="22">
        <v>168.141</v>
      </c>
    </row>
    <row r="1838" spans="1:6">
      <c r="A1838" s="22" t="s">
        <v>5402</v>
      </c>
      <c r="B1838" s="22" t="s">
        <v>5403</v>
      </c>
      <c r="C1838" s="22" t="s">
        <v>5404</v>
      </c>
      <c r="D1838" s="22" t="s">
        <v>9</v>
      </c>
      <c r="E1838" s="22" t="s">
        <v>23</v>
      </c>
      <c r="F1838" s="22">
        <v>1150.132</v>
      </c>
    </row>
    <row r="1839" spans="1:6">
      <c r="A1839" s="22" t="s">
        <v>5405</v>
      </c>
      <c r="B1839" s="22" t="s">
        <v>5406</v>
      </c>
      <c r="C1839" s="22" t="s">
        <v>5407</v>
      </c>
      <c r="D1839" s="22" t="s">
        <v>9</v>
      </c>
      <c r="E1839" s="22" t="s">
        <v>23</v>
      </c>
      <c r="F1839" s="22">
        <v>21.301</v>
      </c>
    </row>
    <row r="1840" spans="1:6">
      <c r="A1840" s="22" t="s">
        <v>5408</v>
      </c>
      <c r="B1840" s="22" t="s">
        <v>5409</v>
      </c>
      <c r="C1840" s="22" t="s">
        <v>5410</v>
      </c>
      <c r="D1840" s="22" t="s">
        <v>9</v>
      </c>
      <c r="E1840" s="22" t="s">
        <v>57</v>
      </c>
      <c r="F1840" s="22">
        <v>10.527</v>
      </c>
    </row>
    <row r="1841" spans="1:6">
      <c r="A1841" s="22" t="s">
        <v>5411</v>
      </c>
      <c r="B1841" s="22" t="s">
        <v>5412</v>
      </c>
      <c r="C1841" s="22" t="s">
        <v>5413</v>
      </c>
      <c r="D1841" s="22" t="s">
        <v>9</v>
      </c>
      <c r="E1841" s="22" t="s">
        <v>39</v>
      </c>
      <c r="F1841" s="22">
        <v>428.821</v>
      </c>
    </row>
    <row r="1842" spans="1:6">
      <c r="A1842" s="22" t="s">
        <v>5414</v>
      </c>
      <c r="B1842" s="22" t="s">
        <v>5415</v>
      </c>
      <c r="C1842" s="22" t="s">
        <v>5416</v>
      </c>
      <c r="D1842" s="22" t="s">
        <v>9</v>
      </c>
      <c r="E1842" s="22" t="s">
        <v>31</v>
      </c>
      <c r="F1842" s="22">
        <v>7.74</v>
      </c>
    </row>
    <row r="1843" spans="1:6">
      <c r="A1843" s="22" t="s">
        <v>5417</v>
      </c>
      <c r="B1843" s="22" t="s">
        <v>5418</v>
      </c>
      <c r="C1843" s="22" t="s">
        <v>5419</v>
      </c>
      <c r="D1843" s="22" t="s">
        <v>9</v>
      </c>
      <c r="E1843" s="22" t="s">
        <v>23</v>
      </c>
      <c r="F1843" s="22">
        <v>482.217</v>
      </c>
    </row>
    <row r="1844" spans="1:6">
      <c r="A1844" s="22" t="s">
        <v>5420</v>
      </c>
      <c r="B1844" s="22" t="s">
        <v>5421</v>
      </c>
      <c r="C1844" s="22" t="s">
        <v>5422</v>
      </c>
      <c r="D1844" s="22" t="s">
        <v>9</v>
      </c>
      <c r="E1844" s="22" t="s">
        <v>23</v>
      </c>
      <c r="F1844" s="22">
        <v>881.573</v>
      </c>
    </row>
    <row r="1845" spans="1:6">
      <c r="A1845" s="22" t="s">
        <v>5423</v>
      </c>
      <c r="B1845" s="22" t="s">
        <v>5424</v>
      </c>
      <c r="C1845" s="22" t="s">
        <v>5425</v>
      </c>
      <c r="D1845" s="22" t="s">
        <v>9</v>
      </c>
      <c r="E1845" s="22" t="s">
        <v>27</v>
      </c>
      <c r="F1845" s="22">
        <v>1406.775</v>
      </c>
    </row>
    <row r="1846" spans="1:6">
      <c r="A1846" s="22" t="s">
        <v>5426</v>
      </c>
      <c r="B1846" s="22" t="s">
        <v>5072</v>
      </c>
      <c r="C1846" s="22" t="s">
        <v>5427</v>
      </c>
      <c r="D1846" s="22" t="s">
        <v>9</v>
      </c>
      <c r="E1846" s="22" t="s">
        <v>27</v>
      </c>
      <c r="F1846" s="22">
        <v>264.29</v>
      </c>
    </row>
    <row r="1847" spans="1:6">
      <c r="A1847" s="22" t="s">
        <v>5428</v>
      </c>
      <c r="B1847" s="22" t="s">
        <v>5429</v>
      </c>
      <c r="C1847" s="22" t="s">
        <v>5430</v>
      </c>
      <c r="D1847" s="22" t="s">
        <v>9</v>
      </c>
      <c r="E1847" s="22" t="s">
        <v>31</v>
      </c>
      <c r="F1847" s="22">
        <v>16.609</v>
      </c>
    </row>
    <row r="1848" spans="1:6">
      <c r="A1848" s="22" t="s">
        <v>5431</v>
      </c>
      <c r="B1848" s="22" t="s">
        <v>5432</v>
      </c>
      <c r="C1848" s="22" t="s">
        <v>5433</v>
      </c>
      <c r="D1848" s="22" t="s">
        <v>9</v>
      </c>
      <c r="E1848" s="22" t="s">
        <v>35</v>
      </c>
      <c r="F1848" s="22">
        <v>222.237</v>
      </c>
    </row>
    <row r="1849" spans="1:6">
      <c r="A1849" s="22" t="s">
        <v>5434</v>
      </c>
      <c r="B1849" s="22" t="s">
        <v>5435</v>
      </c>
      <c r="C1849" s="22" t="s">
        <v>5436</v>
      </c>
      <c r="D1849" s="22" t="s">
        <v>9</v>
      </c>
      <c r="E1849" s="22" t="s">
        <v>23</v>
      </c>
      <c r="F1849" s="22">
        <v>268.989</v>
      </c>
    </row>
    <row r="1850" spans="1:6">
      <c r="A1850" s="22" t="s">
        <v>5437</v>
      </c>
      <c r="B1850" s="22" t="s">
        <v>5438</v>
      </c>
      <c r="C1850" s="22" t="s">
        <v>5439</v>
      </c>
      <c r="D1850" s="22" t="s">
        <v>9</v>
      </c>
      <c r="E1850" s="22" t="s">
        <v>89</v>
      </c>
      <c r="F1850" s="22">
        <v>958.492</v>
      </c>
    </row>
    <row r="1851" spans="1:6">
      <c r="A1851" s="22" t="s">
        <v>5440</v>
      </c>
      <c r="B1851" s="22" t="s">
        <v>3110</v>
      </c>
      <c r="C1851" s="22" t="s">
        <v>5441</v>
      </c>
      <c r="D1851" s="22" t="s">
        <v>9</v>
      </c>
      <c r="E1851" s="22" t="s">
        <v>57</v>
      </c>
      <c r="F1851" s="22">
        <v>52.18</v>
      </c>
    </row>
    <row r="1852" spans="1:6">
      <c r="A1852" s="22" t="s">
        <v>5442</v>
      </c>
      <c r="B1852" s="22" t="s">
        <v>5443</v>
      </c>
      <c r="C1852" s="22" t="s">
        <v>5444</v>
      </c>
      <c r="D1852" s="22" t="s">
        <v>9</v>
      </c>
      <c r="E1852" s="22" t="s">
        <v>27</v>
      </c>
      <c r="F1852" s="22">
        <v>52.87</v>
      </c>
    </row>
    <row r="1853" spans="1:6">
      <c r="A1853" s="22" t="s">
        <v>5445</v>
      </c>
      <c r="B1853" s="22" t="s">
        <v>5446</v>
      </c>
      <c r="C1853" s="22" t="s">
        <v>5447</v>
      </c>
      <c r="D1853" s="22" t="s">
        <v>9</v>
      </c>
      <c r="E1853" s="22" t="s">
        <v>35</v>
      </c>
      <c r="F1853" s="22">
        <v>1237.531</v>
      </c>
    </row>
    <row r="1854" spans="1:6">
      <c r="A1854" s="22" t="s">
        <v>5448</v>
      </c>
      <c r="B1854" s="22" t="s">
        <v>5449</v>
      </c>
      <c r="C1854" s="22" t="s">
        <v>5450</v>
      </c>
      <c r="D1854" s="22" t="s">
        <v>9</v>
      </c>
      <c r="E1854" s="22" t="s">
        <v>50</v>
      </c>
      <c r="F1854" s="22">
        <v>1.123</v>
      </c>
    </row>
    <row r="1855" spans="1:6">
      <c r="A1855" s="22" t="s">
        <v>5451</v>
      </c>
      <c r="B1855" s="22" t="s">
        <v>5452</v>
      </c>
      <c r="C1855" s="22" t="s">
        <v>5453</v>
      </c>
      <c r="D1855" s="22" t="s">
        <v>9</v>
      </c>
      <c r="E1855" s="22" t="s">
        <v>27</v>
      </c>
      <c r="F1855" s="22">
        <v>3594.827</v>
      </c>
    </row>
    <row r="1856" spans="1:6">
      <c r="A1856" s="22" t="s">
        <v>5454</v>
      </c>
      <c r="B1856" s="22" t="s">
        <v>5455</v>
      </c>
      <c r="C1856" s="22" t="s">
        <v>5456</v>
      </c>
      <c r="D1856" s="22" t="s">
        <v>9</v>
      </c>
      <c r="E1856" s="22" t="s">
        <v>57</v>
      </c>
      <c r="F1856" s="22">
        <v>249.789</v>
      </c>
    </row>
    <row r="1857" spans="1:6">
      <c r="A1857" s="22" t="s">
        <v>5457</v>
      </c>
      <c r="B1857" s="22" t="s">
        <v>5458</v>
      </c>
      <c r="C1857" s="22" t="s">
        <v>5459</v>
      </c>
      <c r="D1857" s="22" t="s">
        <v>9</v>
      </c>
      <c r="E1857" s="22" t="s">
        <v>27</v>
      </c>
      <c r="F1857" s="22">
        <v>2310.718</v>
      </c>
    </row>
    <row r="1858" spans="1:6">
      <c r="A1858" s="22" t="s">
        <v>5460</v>
      </c>
      <c r="B1858" s="22" t="s">
        <v>5461</v>
      </c>
      <c r="C1858" s="22" t="s">
        <v>5462</v>
      </c>
      <c r="D1858" s="22" t="s">
        <v>9</v>
      </c>
      <c r="E1858" s="22" t="s">
        <v>23</v>
      </c>
      <c r="F1858" s="22">
        <v>33.932</v>
      </c>
    </row>
    <row r="1859" spans="1:6">
      <c r="A1859" s="22" t="s">
        <v>5463</v>
      </c>
      <c r="B1859" s="22" t="s">
        <v>5121</v>
      </c>
      <c r="C1859" s="22" t="s">
        <v>5464</v>
      </c>
      <c r="D1859" s="22" t="s">
        <v>9</v>
      </c>
      <c r="E1859" s="22" t="s">
        <v>27</v>
      </c>
      <c r="F1859" s="22">
        <v>236.436</v>
      </c>
    </row>
    <row r="1860" spans="1:6">
      <c r="A1860" s="22" t="s">
        <v>5465</v>
      </c>
      <c r="B1860" s="22" t="s">
        <v>5466</v>
      </c>
      <c r="C1860" s="22" t="s">
        <v>5467</v>
      </c>
      <c r="D1860" s="22" t="s">
        <v>9</v>
      </c>
      <c r="E1860" s="22" t="s">
        <v>27</v>
      </c>
      <c r="F1860" s="22">
        <v>25.754</v>
      </c>
    </row>
    <row r="1861" spans="1:6">
      <c r="A1861" s="22" t="s">
        <v>5468</v>
      </c>
      <c r="B1861" s="22" t="s">
        <v>5469</v>
      </c>
      <c r="C1861" s="22" t="s">
        <v>5470</v>
      </c>
      <c r="D1861" s="22" t="s">
        <v>9</v>
      </c>
      <c r="E1861" s="22" t="s">
        <v>14</v>
      </c>
      <c r="F1861" s="22">
        <v>46.769</v>
      </c>
    </row>
    <row r="1862" spans="1:6">
      <c r="A1862" s="22" t="s">
        <v>5471</v>
      </c>
      <c r="B1862" s="22" t="s">
        <v>5472</v>
      </c>
      <c r="C1862" s="22" t="s">
        <v>5473</v>
      </c>
      <c r="D1862" s="22" t="s">
        <v>9</v>
      </c>
      <c r="E1862" s="22" t="s">
        <v>117</v>
      </c>
      <c r="F1862" s="22">
        <v>89.27</v>
      </c>
    </row>
    <row r="1863" spans="1:6">
      <c r="A1863" s="22" t="s">
        <v>5474</v>
      </c>
      <c r="B1863" s="22" t="s">
        <v>3223</v>
      </c>
      <c r="C1863" s="22" t="s">
        <v>5475</v>
      </c>
      <c r="D1863" s="22" t="s">
        <v>9</v>
      </c>
      <c r="E1863" s="22" t="s">
        <v>23</v>
      </c>
      <c r="F1863" s="22">
        <v>34.974</v>
      </c>
    </row>
    <row r="1864" spans="1:6">
      <c r="A1864" s="22" t="s">
        <v>5476</v>
      </c>
      <c r="B1864" s="22" t="s">
        <v>5477</v>
      </c>
      <c r="C1864" s="22" t="s">
        <v>5478</v>
      </c>
      <c r="D1864" s="22" t="s">
        <v>9</v>
      </c>
      <c r="E1864" s="22" t="s">
        <v>40</v>
      </c>
      <c r="F1864" s="22">
        <v>18.709</v>
      </c>
    </row>
    <row r="1865" spans="1:6">
      <c r="A1865" s="22" t="s">
        <v>5479</v>
      </c>
      <c r="B1865" s="22" t="s">
        <v>5480</v>
      </c>
      <c r="C1865" s="22" t="s">
        <v>5481</v>
      </c>
      <c r="D1865" s="22" t="s">
        <v>9</v>
      </c>
      <c r="E1865" s="22" t="s">
        <v>66</v>
      </c>
      <c r="F1865" s="22">
        <v>4.857</v>
      </c>
    </row>
    <row r="1866" spans="1:6">
      <c r="A1866" s="22" t="s">
        <v>5482</v>
      </c>
      <c r="B1866" s="22" t="s">
        <v>3288</v>
      </c>
      <c r="C1866" s="22" t="s">
        <v>5483</v>
      </c>
      <c r="D1866" s="22" t="s">
        <v>9</v>
      </c>
      <c r="E1866" s="22" t="s">
        <v>31</v>
      </c>
      <c r="F1866" s="22">
        <v>514.769</v>
      </c>
    </row>
    <row r="1867" spans="1:6">
      <c r="A1867" s="22" t="s">
        <v>5484</v>
      </c>
      <c r="B1867" s="22" t="s">
        <v>5485</v>
      </c>
      <c r="C1867" s="22" t="s">
        <v>5486</v>
      </c>
      <c r="D1867" s="22" t="s">
        <v>9</v>
      </c>
      <c r="E1867" s="22" t="s">
        <v>27</v>
      </c>
      <c r="F1867" s="22">
        <v>392.413</v>
      </c>
    </row>
    <row r="1868" spans="1:6">
      <c r="A1868" s="22" t="s">
        <v>5487</v>
      </c>
      <c r="B1868" s="22" t="s">
        <v>5488</v>
      </c>
      <c r="C1868" s="22" t="s">
        <v>5489</v>
      </c>
      <c r="D1868" s="22" t="s">
        <v>9</v>
      </c>
      <c r="E1868" s="22" t="s">
        <v>23</v>
      </c>
      <c r="F1868" s="22">
        <v>4100.872</v>
      </c>
    </row>
    <row r="1869" spans="1:6">
      <c r="A1869" s="22" t="s">
        <v>5490</v>
      </c>
      <c r="B1869" s="22" t="s">
        <v>5491</v>
      </c>
      <c r="C1869" s="22" t="s">
        <v>5492</v>
      </c>
      <c r="D1869" s="22" t="s">
        <v>9</v>
      </c>
      <c r="E1869" s="22" t="s">
        <v>23</v>
      </c>
      <c r="F1869" s="22">
        <v>12149.82</v>
      </c>
    </row>
    <row r="1870" spans="1:6">
      <c r="A1870" s="22" t="s">
        <v>5493</v>
      </c>
      <c r="B1870" s="22" t="s">
        <v>759</v>
      </c>
      <c r="C1870" s="22" t="s">
        <v>5494</v>
      </c>
      <c r="D1870" s="22" t="s">
        <v>9</v>
      </c>
      <c r="E1870" s="22" t="s">
        <v>31</v>
      </c>
      <c r="F1870" s="22">
        <v>156.535</v>
      </c>
    </row>
    <row r="1871" spans="1:6">
      <c r="A1871" s="22" t="s">
        <v>5495</v>
      </c>
      <c r="B1871" s="22" t="s">
        <v>5496</v>
      </c>
      <c r="C1871" s="22" t="s">
        <v>5497</v>
      </c>
      <c r="D1871" s="22" t="s">
        <v>9</v>
      </c>
      <c r="E1871" s="22" t="s">
        <v>23</v>
      </c>
      <c r="F1871" s="22">
        <v>16.429</v>
      </c>
    </row>
    <row r="1872" spans="1:6">
      <c r="A1872" s="22" t="s">
        <v>5498</v>
      </c>
      <c r="B1872" s="22" t="s">
        <v>5499</v>
      </c>
      <c r="C1872" s="22" t="s">
        <v>5500</v>
      </c>
      <c r="D1872" s="22" t="s">
        <v>9</v>
      </c>
      <c r="E1872" s="22" t="s">
        <v>35</v>
      </c>
      <c r="F1872" s="22">
        <v>470.46</v>
      </c>
    </row>
    <row r="1873" spans="1:6">
      <c r="A1873" s="22" t="s">
        <v>5501</v>
      </c>
      <c r="B1873" s="22" t="s">
        <v>5502</v>
      </c>
      <c r="C1873" s="22" t="s">
        <v>5503</v>
      </c>
      <c r="D1873" s="22" t="s">
        <v>9</v>
      </c>
      <c r="E1873" s="22" t="s">
        <v>23</v>
      </c>
      <c r="F1873" s="22">
        <v>24293.432</v>
      </c>
    </row>
    <row r="1874" spans="1:6">
      <c r="A1874" s="22" t="s">
        <v>5504</v>
      </c>
      <c r="B1874" s="22" t="s">
        <v>5505</v>
      </c>
      <c r="C1874" s="22" t="s">
        <v>5506</v>
      </c>
      <c r="D1874" s="22" t="s">
        <v>9</v>
      </c>
      <c r="E1874" s="22" t="s">
        <v>39</v>
      </c>
      <c r="F1874" s="22">
        <v>37.422</v>
      </c>
    </row>
    <row r="1875" spans="1:6">
      <c r="A1875" s="22" t="s">
        <v>5507</v>
      </c>
      <c r="B1875" s="22" t="s">
        <v>5508</v>
      </c>
      <c r="C1875" s="22" t="s">
        <v>5509</v>
      </c>
      <c r="D1875" s="22" t="s">
        <v>9</v>
      </c>
      <c r="E1875" s="22" t="s">
        <v>35</v>
      </c>
      <c r="F1875" s="22">
        <v>18.423</v>
      </c>
    </row>
    <row r="1876" spans="1:6">
      <c r="A1876" s="22" t="s">
        <v>5510</v>
      </c>
      <c r="B1876" s="22" t="s">
        <v>2227</v>
      </c>
      <c r="C1876" s="22" t="s">
        <v>5511</v>
      </c>
      <c r="D1876" s="22" t="s">
        <v>9</v>
      </c>
      <c r="E1876" s="22" t="s">
        <v>31</v>
      </c>
      <c r="F1876" s="22">
        <v>1.799</v>
      </c>
    </row>
    <row r="1877" spans="1:6">
      <c r="A1877" s="22" t="s">
        <v>5512</v>
      </c>
      <c r="B1877" s="22" t="s">
        <v>5513</v>
      </c>
      <c r="C1877" s="22" t="s">
        <v>5514</v>
      </c>
      <c r="D1877" s="22" t="s">
        <v>9</v>
      </c>
      <c r="E1877" s="22" t="s">
        <v>35</v>
      </c>
      <c r="F1877" s="22">
        <v>135.73</v>
      </c>
    </row>
    <row r="1878" spans="1:6">
      <c r="A1878" s="22" t="s">
        <v>5515</v>
      </c>
      <c r="B1878" s="22" t="s">
        <v>5516</v>
      </c>
      <c r="C1878" s="22" t="s">
        <v>5517</v>
      </c>
      <c r="D1878" s="22" t="s">
        <v>9</v>
      </c>
      <c r="E1878" s="22" t="s">
        <v>27</v>
      </c>
      <c r="F1878" s="22">
        <v>1219.729</v>
      </c>
    </row>
    <row r="1879" spans="1:6">
      <c r="A1879" s="22" t="s">
        <v>5518</v>
      </c>
      <c r="B1879" s="22" t="s">
        <v>5519</v>
      </c>
      <c r="C1879" s="22" t="s">
        <v>5520</v>
      </c>
      <c r="D1879" s="22" t="s">
        <v>9</v>
      </c>
      <c r="E1879" s="22" t="s">
        <v>39</v>
      </c>
    </row>
    <row r="1880" spans="1:6">
      <c r="A1880" s="22" t="s">
        <v>5521</v>
      </c>
      <c r="B1880" s="22" t="s">
        <v>5522</v>
      </c>
      <c r="C1880" s="22" t="s">
        <v>5523</v>
      </c>
      <c r="D1880" s="22" t="s">
        <v>9</v>
      </c>
      <c r="E1880" s="22" t="s">
        <v>23</v>
      </c>
      <c r="F1880" s="22">
        <v>46.522</v>
      </c>
    </row>
    <row r="1881" spans="1:6">
      <c r="A1881" s="22" t="s">
        <v>5524</v>
      </c>
      <c r="B1881" s="22" t="s">
        <v>5525</v>
      </c>
      <c r="C1881" s="22" t="s">
        <v>5526</v>
      </c>
      <c r="D1881" s="22" t="s">
        <v>9</v>
      </c>
      <c r="E1881" s="22" t="s">
        <v>23</v>
      </c>
      <c r="F1881" s="22">
        <v>15.193</v>
      </c>
    </row>
    <row r="1882" spans="1:6">
      <c r="A1882" s="22" t="s">
        <v>5527</v>
      </c>
      <c r="B1882" s="22" t="s">
        <v>5528</v>
      </c>
      <c r="C1882" s="22" t="s">
        <v>5529</v>
      </c>
      <c r="D1882" s="22" t="s">
        <v>9</v>
      </c>
      <c r="E1882" s="22" t="s">
        <v>27</v>
      </c>
      <c r="F1882" s="22">
        <v>33.558</v>
      </c>
    </row>
    <row r="1883" spans="1:6">
      <c r="A1883" s="22" t="s">
        <v>5530</v>
      </c>
      <c r="B1883" s="22" t="s">
        <v>5531</v>
      </c>
      <c r="C1883" s="22" t="s">
        <v>5532</v>
      </c>
      <c r="D1883" s="22" t="s">
        <v>9</v>
      </c>
      <c r="E1883" s="22" t="s">
        <v>23</v>
      </c>
      <c r="F1883" s="22">
        <v>13.57</v>
      </c>
    </row>
    <row r="1884" spans="1:6">
      <c r="A1884" s="22" t="s">
        <v>5533</v>
      </c>
      <c r="B1884" s="22" t="s">
        <v>5534</v>
      </c>
      <c r="C1884" s="22" t="s">
        <v>5535</v>
      </c>
      <c r="D1884" s="22" t="s">
        <v>9</v>
      </c>
      <c r="E1884" s="22" t="s">
        <v>50</v>
      </c>
      <c r="F1884" s="22">
        <v>276.033</v>
      </c>
    </row>
    <row r="1885" spans="1:6">
      <c r="A1885" s="22" t="s">
        <v>5536</v>
      </c>
      <c r="B1885" s="22" t="s">
        <v>835</v>
      </c>
      <c r="C1885" s="22" t="s">
        <v>5537</v>
      </c>
      <c r="D1885" s="22" t="s">
        <v>9</v>
      </c>
      <c r="E1885" s="22" t="s">
        <v>23</v>
      </c>
      <c r="F1885" s="22">
        <v>993.739</v>
      </c>
    </row>
    <row r="1886" spans="1:6">
      <c r="A1886" s="22" t="s">
        <v>5538</v>
      </c>
      <c r="B1886" s="22" t="s">
        <v>5539</v>
      </c>
      <c r="C1886" s="22" t="s">
        <v>5540</v>
      </c>
      <c r="D1886" s="22" t="s">
        <v>9</v>
      </c>
      <c r="E1886" s="22" t="s">
        <v>31</v>
      </c>
      <c r="F1886" s="22">
        <v>10.038</v>
      </c>
    </row>
    <row r="1887" spans="1:6">
      <c r="A1887" s="22" t="s">
        <v>5541</v>
      </c>
      <c r="B1887" s="22" t="s">
        <v>3428</v>
      </c>
      <c r="C1887" s="22" t="s">
        <v>5542</v>
      </c>
      <c r="D1887" s="22" t="s">
        <v>9</v>
      </c>
      <c r="E1887" s="22" t="s">
        <v>57</v>
      </c>
      <c r="F1887" s="22">
        <v>45.022</v>
      </c>
    </row>
    <row r="1888" spans="1:6">
      <c r="A1888" s="22" t="s">
        <v>5543</v>
      </c>
      <c r="B1888" s="22" t="s">
        <v>5544</v>
      </c>
      <c r="C1888" s="22" t="s">
        <v>5545</v>
      </c>
      <c r="D1888" s="22" t="s">
        <v>9</v>
      </c>
      <c r="E1888" s="22" t="s">
        <v>35</v>
      </c>
      <c r="F1888" s="22">
        <v>18.288</v>
      </c>
    </row>
    <row r="1889" spans="1:6">
      <c r="A1889" s="22" t="s">
        <v>5546</v>
      </c>
      <c r="B1889" s="22" t="s">
        <v>5547</v>
      </c>
      <c r="C1889" s="22" t="s">
        <v>5548</v>
      </c>
      <c r="D1889" s="22" t="s">
        <v>9</v>
      </c>
      <c r="E1889" s="22" t="s">
        <v>23</v>
      </c>
      <c r="F1889" s="22">
        <v>353.457</v>
      </c>
    </row>
    <row r="1890" spans="1:6">
      <c r="A1890" s="22" t="s">
        <v>5549</v>
      </c>
      <c r="B1890" s="22" t="s">
        <v>847</v>
      </c>
      <c r="C1890" s="22" t="s">
        <v>5550</v>
      </c>
      <c r="D1890" s="22" t="s">
        <v>9</v>
      </c>
      <c r="E1890" s="22" t="s">
        <v>50</v>
      </c>
      <c r="F1890" s="22">
        <v>236.293</v>
      </c>
    </row>
    <row r="1891" spans="1:6">
      <c r="A1891" s="22" t="s">
        <v>5551</v>
      </c>
      <c r="B1891" s="22" t="s">
        <v>4669</v>
      </c>
      <c r="C1891" s="22" t="s">
        <v>5552</v>
      </c>
      <c r="D1891" s="22" t="s">
        <v>9</v>
      </c>
      <c r="E1891" s="22" t="s">
        <v>57</v>
      </c>
      <c r="F1891" s="22">
        <v>35.37</v>
      </c>
    </row>
    <row r="1892" spans="1:6">
      <c r="A1892" s="22" t="s">
        <v>5553</v>
      </c>
      <c r="B1892" s="22" t="s">
        <v>5554</v>
      </c>
      <c r="C1892" s="22" t="s">
        <v>5555</v>
      </c>
      <c r="D1892" s="22" t="s">
        <v>9</v>
      </c>
      <c r="E1892" s="22" t="s">
        <v>14</v>
      </c>
      <c r="F1892" s="22">
        <v>11.757</v>
      </c>
    </row>
    <row r="1893" spans="1:6">
      <c r="A1893" s="22" t="s">
        <v>5556</v>
      </c>
      <c r="B1893" s="22" t="s">
        <v>5557</v>
      </c>
      <c r="C1893" s="22" t="s">
        <v>5558</v>
      </c>
      <c r="D1893" s="22" t="s">
        <v>9</v>
      </c>
      <c r="E1893" s="22" t="s">
        <v>35</v>
      </c>
      <c r="F1893" s="22">
        <v>13.849</v>
      </c>
    </row>
    <row r="1894" spans="1:6">
      <c r="A1894" s="22" t="s">
        <v>5559</v>
      </c>
      <c r="B1894" s="22" t="s">
        <v>5560</v>
      </c>
      <c r="C1894" s="22" t="s">
        <v>5561</v>
      </c>
      <c r="D1894" s="22" t="s">
        <v>9</v>
      </c>
      <c r="E1894" s="22" t="s">
        <v>35</v>
      </c>
      <c r="F1894" s="22">
        <v>200.642</v>
      </c>
    </row>
    <row r="1895" spans="1:6">
      <c r="A1895" s="22" t="s">
        <v>5562</v>
      </c>
      <c r="B1895" s="22" t="s">
        <v>5563</v>
      </c>
      <c r="C1895" s="22" t="s">
        <v>5564</v>
      </c>
      <c r="D1895" s="22" t="s">
        <v>9</v>
      </c>
      <c r="E1895" s="22" t="s">
        <v>57</v>
      </c>
      <c r="F1895" s="22">
        <v>145.624</v>
      </c>
    </row>
    <row r="1896" spans="1:6">
      <c r="A1896" s="22" t="s">
        <v>5565</v>
      </c>
      <c r="B1896" s="22" t="s">
        <v>5566</v>
      </c>
      <c r="C1896" s="22" t="s">
        <v>5567</v>
      </c>
      <c r="D1896" s="22" t="s">
        <v>9</v>
      </c>
      <c r="E1896" s="22" t="s">
        <v>50</v>
      </c>
      <c r="F1896" s="22">
        <v>17.69</v>
      </c>
    </row>
    <row r="1897" spans="1:6">
      <c r="A1897" s="22" t="s">
        <v>5568</v>
      </c>
      <c r="B1897" s="22" t="s">
        <v>5569</v>
      </c>
      <c r="C1897" s="22" t="s">
        <v>5570</v>
      </c>
      <c r="D1897" s="22" t="s">
        <v>9</v>
      </c>
      <c r="E1897" s="22" t="s">
        <v>31</v>
      </c>
      <c r="F1897" s="22">
        <v>2380.115</v>
      </c>
    </row>
    <row r="1898" spans="1:6">
      <c r="A1898" s="22" t="s">
        <v>5571</v>
      </c>
      <c r="B1898" s="22" t="s">
        <v>5572</v>
      </c>
      <c r="C1898" s="22" t="s">
        <v>5573</v>
      </c>
      <c r="D1898" s="22" t="s">
        <v>9</v>
      </c>
      <c r="E1898" s="22" t="s">
        <v>27</v>
      </c>
      <c r="F1898" s="22">
        <v>248.941</v>
      </c>
    </row>
    <row r="1899" spans="1:6">
      <c r="A1899" s="22" t="s">
        <v>5574</v>
      </c>
      <c r="B1899" s="22" t="s">
        <v>5575</v>
      </c>
      <c r="C1899" s="22" t="s">
        <v>5576</v>
      </c>
      <c r="D1899" s="22" t="s">
        <v>9</v>
      </c>
      <c r="E1899" s="22" t="s">
        <v>62</v>
      </c>
      <c r="F1899" s="22">
        <v>66.867</v>
      </c>
    </row>
    <row r="1900" spans="1:6">
      <c r="A1900" s="22" t="s">
        <v>5577</v>
      </c>
      <c r="B1900" s="22" t="s">
        <v>5578</v>
      </c>
      <c r="C1900" s="22" t="s">
        <v>5579</v>
      </c>
      <c r="D1900" s="22" t="s">
        <v>9</v>
      </c>
      <c r="E1900" s="22" t="s">
        <v>57</v>
      </c>
      <c r="F1900" s="22">
        <v>265.952</v>
      </c>
    </row>
    <row r="1901" spans="1:6">
      <c r="A1901" s="22" t="s">
        <v>5580</v>
      </c>
      <c r="B1901" s="22" t="s">
        <v>5581</v>
      </c>
      <c r="C1901" s="22" t="s">
        <v>5582</v>
      </c>
      <c r="D1901" s="22" t="s">
        <v>9</v>
      </c>
      <c r="E1901" s="22" t="s">
        <v>27</v>
      </c>
      <c r="F1901" s="22">
        <v>640.323</v>
      </c>
    </row>
    <row r="1902" spans="1:6">
      <c r="A1902" s="22" t="s">
        <v>5583</v>
      </c>
      <c r="B1902" s="22" t="s">
        <v>5584</v>
      </c>
      <c r="C1902" s="22" t="s">
        <v>5584</v>
      </c>
      <c r="D1902" s="22" t="s">
        <v>9</v>
      </c>
      <c r="E1902" s="22" t="s">
        <v>14</v>
      </c>
      <c r="F1902" s="22">
        <v>132.181</v>
      </c>
    </row>
    <row r="1903" spans="1:6">
      <c r="A1903" s="22" t="s">
        <v>5585</v>
      </c>
      <c r="B1903" s="22" t="s">
        <v>1754</v>
      </c>
      <c r="C1903" s="22" t="s">
        <v>5586</v>
      </c>
      <c r="D1903" s="22" t="s">
        <v>9</v>
      </c>
      <c r="E1903" s="22" t="s">
        <v>27</v>
      </c>
      <c r="F1903" s="22">
        <v>2518.551</v>
      </c>
    </row>
    <row r="1904" spans="1:6">
      <c r="A1904" s="22" t="s">
        <v>5587</v>
      </c>
      <c r="B1904" s="22" t="s">
        <v>5588</v>
      </c>
      <c r="C1904" s="22" t="s">
        <v>5589</v>
      </c>
      <c r="D1904" s="22" t="s">
        <v>9</v>
      </c>
      <c r="E1904" s="22" t="s">
        <v>39</v>
      </c>
      <c r="F1904" s="22">
        <v>9083.555</v>
      </c>
    </row>
    <row r="1905" spans="1:6">
      <c r="A1905" s="22" t="s">
        <v>5590</v>
      </c>
      <c r="B1905" s="22" t="s">
        <v>5591</v>
      </c>
      <c r="C1905" s="22" t="s">
        <v>5592</v>
      </c>
      <c r="D1905" s="22" t="s">
        <v>9</v>
      </c>
      <c r="E1905" s="22" t="s">
        <v>23</v>
      </c>
      <c r="F1905" s="22">
        <v>28.084</v>
      </c>
    </row>
    <row r="1906" spans="1:6">
      <c r="A1906" s="22" t="s">
        <v>5593</v>
      </c>
      <c r="B1906" s="22" t="s">
        <v>5594</v>
      </c>
      <c r="C1906" s="22" t="s">
        <v>5595</v>
      </c>
      <c r="D1906" s="22" t="s">
        <v>9</v>
      </c>
      <c r="E1906" s="22" t="s">
        <v>39</v>
      </c>
      <c r="F1906" s="22">
        <v>537.868</v>
      </c>
    </row>
    <row r="1907" spans="1:6">
      <c r="A1907" s="22" t="s">
        <v>5596</v>
      </c>
      <c r="B1907" s="22" t="s">
        <v>5597</v>
      </c>
      <c r="C1907" s="22" t="s">
        <v>5598</v>
      </c>
      <c r="D1907" s="22" t="s">
        <v>9</v>
      </c>
      <c r="E1907" s="22" t="s">
        <v>89</v>
      </c>
      <c r="F1907" s="22">
        <v>204.648</v>
      </c>
    </row>
    <row r="1908" spans="1:6">
      <c r="A1908" s="22" t="s">
        <v>5599</v>
      </c>
      <c r="B1908" s="22" t="s">
        <v>5600</v>
      </c>
      <c r="C1908" s="22" t="s">
        <v>5601</v>
      </c>
      <c r="D1908" s="22" t="s">
        <v>9</v>
      </c>
      <c r="E1908" s="22" t="s">
        <v>27</v>
      </c>
      <c r="F1908" s="22">
        <v>1378.354</v>
      </c>
    </row>
    <row r="1909" spans="1:6">
      <c r="A1909" s="22" t="s">
        <v>5602</v>
      </c>
      <c r="B1909" s="22" t="s">
        <v>5603</v>
      </c>
      <c r="C1909" s="22" t="s">
        <v>5604</v>
      </c>
      <c r="D1909" s="22" t="s">
        <v>9</v>
      </c>
      <c r="E1909" s="22" t="s">
        <v>23</v>
      </c>
      <c r="F1909" s="22">
        <v>5664.754</v>
      </c>
    </row>
    <row r="1910" spans="1:6">
      <c r="A1910" s="22" t="s">
        <v>5605</v>
      </c>
      <c r="B1910" s="22" t="s">
        <v>5606</v>
      </c>
      <c r="C1910" s="22" t="s">
        <v>5607</v>
      </c>
      <c r="D1910" s="22" t="s">
        <v>9</v>
      </c>
      <c r="E1910" s="22" t="s">
        <v>27</v>
      </c>
      <c r="F1910" s="22">
        <v>82.219</v>
      </c>
    </row>
    <row r="1911" spans="1:6">
      <c r="A1911" s="22" t="s">
        <v>5608</v>
      </c>
      <c r="B1911" s="22" t="s">
        <v>5609</v>
      </c>
      <c r="C1911" s="22" t="s">
        <v>5610</v>
      </c>
      <c r="D1911" s="22" t="s">
        <v>9</v>
      </c>
      <c r="E1911" s="22" t="s">
        <v>23</v>
      </c>
      <c r="F1911" s="22">
        <v>43268.137</v>
      </c>
    </row>
    <row r="1912" spans="1:6">
      <c r="A1912" s="22" t="s">
        <v>5611</v>
      </c>
      <c r="B1912" s="22" t="s">
        <v>5612</v>
      </c>
      <c r="C1912" s="22" t="s">
        <v>5613</v>
      </c>
      <c r="D1912" s="22" t="s">
        <v>9</v>
      </c>
      <c r="E1912" s="22" t="s">
        <v>57</v>
      </c>
      <c r="F1912" s="22">
        <v>209.918</v>
      </c>
    </row>
    <row r="1913" spans="1:6">
      <c r="A1913" s="22" t="s">
        <v>5614</v>
      </c>
      <c r="B1913" s="22" t="s">
        <v>5615</v>
      </c>
      <c r="C1913" s="22" t="s">
        <v>5616</v>
      </c>
      <c r="D1913" s="22" t="s">
        <v>9</v>
      </c>
      <c r="E1913" s="22" t="s">
        <v>23</v>
      </c>
      <c r="F1913" s="22">
        <v>168.784</v>
      </c>
    </row>
    <row r="1914" spans="1:6">
      <c r="A1914" s="22" t="s">
        <v>5617</v>
      </c>
      <c r="B1914" s="22" t="s">
        <v>5618</v>
      </c>
      <c r="C1914" s="22" t="s">
        <v>5619</v>
      </c>
      <c r="D1914" s="22" t="s">
        <v>9</v>
      </c>
      <c r="E1914" s="22" t="s">
        <v>23</v>
      </c>
      <c r="F1914" s="22">
        <v>29.992</v>
      </c>
    </row>
    <row r="1915" spans="1:6">
      <c r="A1915" s="22" t="s">
        <v>5620</v>
      </c>
      <c r="B1915" s="22" t="s">
        <v>5621</v>
      </c>
      <c r="C1915" s="22" t="s">
        <v>5622</v>
      </c>
      <c r="D1915" s="22" t="s">
        <v>9</v>
      </c>
      <c r="E1915" s="22" t="s">
        <v>35</v>
      </c>
      <c r="F1915" s="22">
        <v>1271.095</v>
      </c>
    </row>
    <row r="1916" spans="1:6">
      <c r="A1916" s="22" t="s">
        <v>5623</v>
      </c>
      <c r="B1916" s="22" t="s">
        <v>5624</v>
      </c>
      <c r="C1916" s="22" t="s">
        <v>5625</v>
      </c>
      <c r="D1916" s="22" t="s">
        <v>9</v>
      </c>
      <c r="E1916" s="22" t="s">
        <v>57</v>
      </c>
      <c r="F1916" s="22">
        <v>5.765</v>
      </c>
    </row>
    <row r="1917" spans="1:6">
      <c r="A1917" s="22" t="s">
        <v>5626</v>
      </c>
      <c r="B1917" s="22" t="s">
        <v>5627</v>
      </c>
      <c r="C1917" s="22" t="s">
        <v>5628</v>
      </c>
      <c r="D1917" s="22" t="s">
        <v>9</v>
      </c>
      <c r="E1917" s="22" t="s">
        <v>35</v>
      </c>
      <c r="F1917" s="22">
        <v>62.759</v>
      </c>
    </row>
    <row r="1918" spans="1:6">
      <c r="A1918" s="22" t="s">
        <v>5629</v>
      </c>
      <c r="B1918" s="22" t="s">
        <v>5630</v>
      </c>
      <c r="C1918" s="22" t="s">
        <v>5631</v>
      </c>
      <c r="D1918" s="22" t="s">
        <v>9</v>
      </c>
      <c r="E1918" s="22" t="s">
        <v>62</v>
      </c>
      <c r="F1918" s="22">
        <v>7.927</v>
      </c>
    </row>
    <row r="1919" spans="1:6">
      <c r="A1919" s="22" t="s">
        <v>5632</v>
      </c>
      <c r="B1919" s="22" t="s">
        <v>5633</v>
      </c>
      <c r="C1919" s="22" t="s">
        <v>5634</v>
      </c>
      <c r="D1919" s="22" t="s">
        <v>9</v>
      </c>
      <c r="E1919" s="22" t="s">
        <v>35</v>
      </c>
      <c r="F1919" s="22">
        <v>323.895</v>
      </c>
    </row>
    <row r="1920" spans="1:6">
      <c r="A1920" s="22" t="s">
        <v>5635</v>
      </c>
      <c r="B1920" s="22" t="s">
        <v>4705</v>
      </c>
      <c r="C1920" s="22" t="s">
        <v>5636</v>
      </c>
      <c r="D1920" s="22" t="s">
        <v>9</v>
      </c>
      <c r="E1920" s="22" t="s">
        <v>50</v>
      </c>
      <c r="F1920" s="22">
        <v>2732.747</v>
      </c>
    </row>
    <row r="1921" spans="1:6">
      <c r="A1921" s="22" t="s">
        <v>5637</v>
      </c>
      <c r="B1921" s="22" t="s">
        <v>5638</v>
      </c>
      <c r="C1921" s="22" t="s">
        <v>5639</v>
      </c>
      <c r="D1921" s="22" t="s">
        <v>9</v>
      </c>
      <c r="E1921" s="22" t="s">
        <v>31</v>
      </c>
      <c r="F1921" s="22">
        <v>202.151</v>
      </c>
    </row>
    <row r="1922" spans="1:6">
      <c r="A1922" s="22" t="s">
        <v>5640</v>
      </c>
      <c r="B1922" s="22" t="s">
        <v>5641</v>
      </c>
      <c r="C1922" s="22" t="s">
        <v>5642</v>
      </c>
      <c r="D1922" s="22" t="s">
        <v>9</v>
      </c>
      <c r="E1922" s="22" t="s">
        <v>31</v>
      </c>
      <c r="F1922" s="22">
        <v>58.453</v>
      </c>
    </row>
    <row r="1923" spans="1:6">
      <c r="A1923" s="22" t="s">
        <v>5643</v>
      </c>
      <c r="B1923" s="22" t="s">
        <v>5644</v>
      </c>
      <c r="C1923" s="22" t="s">
        <v>5645</v>
      </c>
      <c r="D1923" s="22" t="s">
        <v>9</v>
      </c>
      <c r="E1923" s="22" t="s">
        <v>39</v>
      </c>
      <c r="F1923" s="22">
        <v>75.867</v>
      </c>
    </row>
    <row r="1924" spans="1:6">
      <c r="A1924" s="22" t="s">
        <v>5646</v>
      </c>
      <c r="B1924" s="22" t="s">
        <v>5647</v>
      </c>
      <c r="C1924" s="22" t="s">
        <v>5648</v>
      </c>
      <c r="D1924" s="22" t="s">
        <v>9</v>
      </c>
      <c r="E1924" s="22" t="s">
        <v>23</v>
      </c>
      <c r="F1924" s="22">
        <v>4.604</v>
      </c>
    </row>
    <row r="1925" spans="1:6">
      <c r="A1925" s="22" t="s">
        <v>5649</v>
      </c>
      <c r="B1925" s="22" t="s">
        <v>5650</v>
      </c>
      <c r="C1925" s="22" t="s">
        <v>5651</v>
      </c>
      <c r="D1925" s="22" t="s">
        <v>9</v>
      </c>
      <c r="E1925" s="22" t="s">
        <v>27</v>
      </c>
      <c r="F1925" s="22">
        <v>253.501</v>
      </c>
    </row>
    <row r="1926" spans="1:6">
      <c r="A1926" s="22" t="s">
        <v>5652</v>
      </c>
      <c r="B1926" s="22" t="s">
        <v>5653</v>
      </c>
      <c r="C1926" s="22" t="s">
        <v>5654</v>
      </c>
      <c r="D1926" s="22" t="s">
        <v>9</v>
      </c>
      <c r="E1926" s="22" t="s">
        <v>23</v>
      </c>
      <c r="F1926" s="22">
        <v>316.823</v>
      </c>
    </row>
    <row r="1927" spans="1:6">
      <c r="A1927" s="22" t="s">
        <v>5655</v>
      </c>
      <c r="B1927" s="22" t="s">
        <v>2445</v>
      </c>
      <c r="C1927" s="22" t="s">
        <v>5656</v>
      </c>
      <c r="D1927" s="22" t="s">
        <v>9</v>
      </c>
      <c r="E1927" s="22" t="s">
        <v>23</v>
      </c>
      <c r="F1927" s="22">
        <v>1516.325</v>
      </c>
    </row>
    <row r="1928" spans="1:6">
      <c r="A1928" s="22" t="s">
        <v>5657</v>
      </c>
      <c r="B1928" s="22" t="s">
        <v>5658</v>
      </c>
      <c r="C1928" s="22" t="s">
        <v>5659</v>
      </c>
      <c r="D1928" s="22" t="s">
        <v>9</v>
      </c>
      <c r="E1928" s="22" t="s">
        <v>23</v>
      </c>
      <c r="F1928" s="22">
        <v>403.785</v>
      </c>
    </row>
    <row r="1929" spans="1:6">
      <c r="A1929" s="22" t="s">
        <v>5660</v>
      </c>
      <c r="B1929" s="22" t="s">
        <v>5661</v>
      </c>
      <c r="C1929" s="22" t="s">
        <v>5662</v>
      </c>
      <c r="D1929" s="22" t="s">
        <v>9</v>
      </c>
      <c r="E1929" s="22" t="s">
        <v>27</v>
      </c>
      <c r="F1929" s="22">
        <v>5.851</v>
      </c>
    </row>
    <row r="1930" spans="1:6">
      <c r="A1930" s="22" t="s">
        <v>5663</v>
      </c>
      <c r="B1930" s="22" t="s">
        <v>5664</v>
      </c>
      <c r="C1930" s="22" t="s">
        <v>5665</v>
      </c>
      <c r="D1930" s="22" t="s">
        <v>9</v>
      </c>
      <c r="E1930" s="22" t="s">
        <v>40</v>
      </c>
      <c r="F1930" s="22">
        <v>162.539</v>
      </c>
    </row>
    <row r="1931" spans="1:6">
      <c r="A1931" s="22" t="s">
        <v>5666</v>
      </c>
      <c r="B1931" s="22" t="s">
        <v>5667</v>
      </c>
      <c r="C1931" s="22" t="s">
        <v>5668</v>
      </c>
      <c r="D1931" s="22" t="s">
        <v>9</v>
      </c>
      <c r="E1931" s="22" t="s">
        <v>27</v>
      </c>
      <c r="F1931" s="22">
        <v>179.331</v>
      </c>
    </row>
    <row r="1932" spans="1:6">
      <c r="A1932" s="22" t="s">
        <v>5669</v>
      </c>
      <c r="B1932" s="22" t="s">
        <v>5670</v>
      </c>
      <c r="C1932" s="22" t="s">
        <v>5671</v>
      </c>
      <c r="D1932" s="22" t="s">
        <v>9</v>
      </c>
      <c r="E1932" s="22" t="s">
        <v>23</v>
      </c>
      <c r="F1932" s="22">
        <v>32.112</v>
      </c>
    </row>
    <row r="1933" spans="1:6">
      <c r="A1933" s="22" t="s">
        <v>5672</v>
      </c>
      <c r="B1933" s="22" t="s">
        <v>5673</v>
      </c>
      <c r="C1933" s="22" t="s">
        <v>5674</v>
      </c>
      <c r="D1933" s="22" t="s">
        <v>9</v>
      </c>
      <c r="E1933" s="22" t="s">
        <v>50</v>
      </c>
      <c r="F1933" s="22">
        <v>227.836</v>
      </c>
    </row>
    <row r="1934" spans="1:6">
      <c r="A1934" s="22" t="s">
        <v>5675</v>
      </c>
      <c r="B1934" s="22" t="s">
        <v>2227</v>
      </c>
      <c r="C1934" s="22" t="s">
        <v>5676</v>
      </c>
      <c r="D1934" s="22" t="s">
        <v>9</v>
      </c>
      <c r="E1934" s="22" t="s">
        <v>31</v>
      </c>
      <c r="F1934" s="22">
        <v>17.493</v>
      </c>
    </row>
    <row r="1935" spans="1:6">
      <c r="A1935" s="22" t="s">
        <v>5677</v>
      </c>
      <c r="B1935" s="22" t="s">
        <v>5678</v>
      </c>
      <c r="C1935" s="22" t="s">
        <v>5679</v>
      </c>
      <c r="D1935" s="22" t="s">
        <v>9</v>
      </c>
      <c r="E1935" s="22" t="s">
        <v>39</v>
      </c>
      <c r="F1935" s="22">
        <v>515.827</v>
      </c>
    </row>
    <row r="1936" spans="1:6">
      <c r="A1936" s="22" t="s">
        <v>5680</v>
      </c>
      <c r="B1936" s="22" t="s">
        <v>5681</v>
      </c>
      <c r="C1936" s="22" t="s">
        <v>5682</v>
      </c>
      <c r="D1936" s="22" t="s">
        <v>9</v>
      </c>
      <c r="E1936" s="22" t="s">
        <v>31</v>
      </c>
      <c r="F1936" s="22">
        <v>1046.177</v>
      </c>
    </row>
    <row r="1937" spans="1:6">
      <c r="A1937" s="22" t="s">
        <v>5683</v>
      </c>
      <c r="B1937" s="22" t="s">
        <v>5684</v>
      </c>
      <c r="C1937" s="22" t="s">
        <v>5685</v>
      </c>
      <c r="D1937" s="22" t="s">
        <v>9</v>
      </c>
      <c r="E1937" s="22" t="s">
        <v>23</v>
      </c>
      <c r="F1937" s="22">
        <v>498.426</v>
      </c>
    </row>
    <row r="1938" spans="1:6">
      <c r="A1938" s="22" t="s">
        <v>5686</v>
      </c>
      <c r="B1938" s="22" t="s">
        <v>5687</v>
      </c>
      <c r="C1938" s="22" t="s">
        <v>5688</v>
      </c>
      <c r="D1938" s="22" t="s">
        <v>9</v>
      </c>
      <c r="E1938" s="22" t="s">
        <v>23</v>
      </c>
      <c r="F1938" s="22">
        <v>1048.105</v>
      </c>
    </row>
    <row r="1939" spans="1:6">
      <c r="A1939" s="22" t="s">
        <v>5689</v>
      </c>
      <c r="B1939" s="22" t="s">
        <v>5690</v>
      </c>
      <c r="C1939" s="22" t="s">
        <v>5691</v>
      </c>
      <c r="D1939" s="22" t="s">
        <v>9</v>
      </c>
      <c r="E1939" s="22" t="s">
        <v>23</v>
      </c>
      <c r="F1939" s="22">
        <v>644.313</v>
      </c>
    </row>
    <row r="1940" spans="1:6">
      <c r="A1940" s="22" t="s">
        <v>5692</v>
      </c>
      <c r="B1940" s="22" t="s">
        <v>5693</v>
      </c>
      <c r="C1940" s="22" t="s">
        <v>5694</v>
      </c>
      <c r="D1940" s="22" t="s">
        <v>9</v>
      </c>
      <c r="E1940" s="22" t="s">
        <v>27</v>
      </c>
      <c r="F1940" s="22">
        <v>1108.691</v>
      </c>
    </row>
    <row r="1941" spans="1:6">
      <c r="A1941" s="22" t="s">
        <v>5695</v>
      </c>
      <c r="B1941" s="22" t="s">
        <v>5696</v>
      </c>
      <c r="C1941" s="22" t="s">
        <v>5697</v>
      </c>
      <c r="D1941" s="22" t="s">
        <v>9</v>
      </c>
      <c r="E1941" s="22" t="s">
        <v>23</v>
      </c>
      <c r="F1941" s="22">
        <v>501.686</v>
      </c>
    </row>
    <row r="1942" spans="1:6">
      <c r="A1942" s="22" t="s">
        <v>5698</v>
      </c>
      <c r="B1942" s="22" t="s">
        <v>625</v>
      </c>
      <c r="C1942" s="22" t="s">
        <v>5699</v>
      </c>
      <c r="D1942" s="22" t="s">
        <v>9</v>
      </c>
      <c r="E1942" s="22" t="s">
        <v>57</v>
      </c>
      <c r="F1942" s="22">
        <v>138.79</v>
      </c>
    </row>
    <row r="1943" spans="1:6">
      <c r="A1943" s="22" t="s">
        <v>5700</v>
      </c>
      <c r="B1943" s="22" t="s">
        <v>5701</v>
      </c>
      <c r="C1943" s="22" t="s">
        <v>5702</v>
      </c>
      <c r="D1943" s="22" t="s">
        <v>9</v>
      </c>
      <c r="E1943" s="22" t="s">
        <v>23</v>
      </c>
      <c r="F1943" s="22">
        <v>1149.043</v>
      </c>
    </row>
    <row r="1944" spans="1:6">
      <c r="A1944" s="22" t="s">
        <v>5703</v>
      </c>
      <c r="B1944" s="22" t="s">
        <v>5704</v>
      </c>
      <c r="C1944" s="22" t="s">
        <v>5705</v>
      </c>
      <c r="D1944" s="22" t="s">
        <v>9</v>
      </c>
      <c r="E1944" s="22" t="s">
        <v>27</v>
      </c>
      <c r="F1944" s="22">
        <v>65.47</v>
      </c>
    </row>
    <row r="1945" spans="1:6">
      <c r="A1945" s="22" t="s">
        <v>5706</v>
      </c>
      <c r="B1945" s="22" t="s">
        <v>5707</v>
      </c>
      <c r="C1945" s="22" t="s">
        <v>5708</v>
      </c>
      <c r="D1945" s="22" t="s">
        <v>9</v>
      </c>
      <c r="E1945" s="22" t="s">
        <v>61</v>
      </c>
      <c r="F1945" s="22">
        <v>12.449</v>
      </c>
    </row>
    <row r="1946" spans="1:6">
      <c r="A1946" s="22" t="s">
        <v>5709</v>
      </c>
      <c r="B1946" s="22" t="s">
        <v>5710</v>
      </c>
      <c r="C1946" s="22" t="s">
        <v>5711</v>
      </c>
      <c r="D1946" s="22" t="s">
        <v>9</v>
      </c>
      <c r="E1946" s="22" t="s">
        <v>31</v>
      </c>
      <c r="F1946" s="22">
        <v>2011.829</v>
      </c>
    </row>
    <row r="1947" spans="1:6">
      <c r="A1947" s="22" t="s">
        <v>5712</v>
      </c>
      <c r="B1947" s="22" t="s">
        <v>5713</v>
      </c>
      <c r="C1947" s="22" t="s">
        <v>5714</v>
      </c>
      <c r="D1947" s="22" t="s">
        <v>9</v>
      </c>
      <c r="E1947" s="22" t="s">
        <v>27</v>
      </c>
      <c r="F1947" s="22">
        <v>333.241</v>
      </c>
    </row>
    <row r="1948" spans="1:6">
      <c r="A1948" s="22" t="s">
        <v>5715</v>
      </c>
      <c r="B1948" s="22" t="s">
        <v>5716</v>
      </c>
      <c r="C1948" s="22" t="s">
        <v>5717</v>
      </c>
      <c r="D1948" s="22" t="s">
        <v>9</v>
      </c>
      <c r="E1948" s="22" t="s">
        <v>35</v>
      </c>
      <c r="F1948" s="22">
        <v>42.204</v>
      </c>
    </row>
    <row r="1949" spans="1:6">
      <c r="A1949" s="22" t="s">
        <v>5718</v>
      </c>
      <c r="B1949" s="22" t="s">
        <v>5719</v>
      </c>
      <c r="C1949" s="22" t="s">
        <v>5720</v>
      </c>
      <c r="D1949" s="22" t="s">
        <v>9</v>
      </c>
      <c r="E1949" s="22" t="s">
        <v>27</v>
      </c>
      <c r="F1949" s="22">
        <v>1823.638</v>
      </c>
    </row>
    <row r="1950" spans="1:6">
      <c r="A1950" s="22" t="s">
        <v>5721</v>
      </c>
      <c r="B1950" s="22" t="s">
        <v>5722</v>
      </c>
      <c r="C1950" s="22" t="s">
        <v>5723</v>
      </c>
      <c r="D1950" s="22" t="s">
        <v>9</v>
      </c>
      <c r="E1950" s="22" t="s">
        <v>27</v>
      </c>
      <c r="F1950" s="22">
        <v>3569.817</v>
      </c>
    </row>
    <row r="1951" spans="1:6">
      <c r="A1951" s="22" t="s">
        <v>5724</v>
      </c>
      <c r="B1951" s="22" t="s">
        <v>5725</v>
      </c>
      <c r="C1951" s="22" t="s">
        <v>5726</v>
      </c>
      <c r="D1951" s="22" t="s">
        <v>9</v>
      </c>
      <c r="E1951" s="22" t="s">
        <v>35</v>
      </c>
      <c r="F1951" s="22">
        <v>175.436</v>
      </c>
    </row>
    <row r="1952" spans="1:6">
      <c r="A1952" s="22" t="s">
        <v>5727</v>
      </c>
      <c r="B1952" s="22" t="s">
        <v>5728</v>
      </c>
      <c r="C1952" s="22" t="s">
        <v>5729</v>
      </c>
      <c r="D1952" s="22" t="s">
        <v>9</v>
      </c>
      <c r="E1952" s="22" t="s">
        <v>23</v>
      </c>
      <c r="F1952" s="22">
        <v>31.508</v>
      </c>
    </row>
    <row r="1953" spans="1:6">
      <c r="A1953" s="22" t="s">
        <v>5730</v>
      </c>
      <c r="B1953" s="22" t="s">
        <v>5731</v>
      </c>
      <c r="C1953" s="22" t="s">
        <v>5732</v>
      </c>
      <c r="D1953" s="22" t="s">
        <v>9</v>
      </c>
      <c r="E1953" s="22" t="s">
        <v>23</v>
      </c>
      <c r="F1953" s="22">
        <v>35365.098</v>
      </c>
    </row>
    <row r="1954" spans="1:6">
      <c r="A1954" s="22" t="s">
        <v>5733</v>
      </c>
      <c r="B1954" s="22" t="s">
        <v>5734</v>
      </c>
      <c r="C1954" s="22" t="s">
        <v>5735</v>
      </c>
      <c r="D1954" s="22" t="s">
        <v>9</v>
      </c>
      <c r="E1954" s="22" t="s">
        <v>23</v>
      </c>
      <c r="F1954" s="22">
        <v>893.531</v>
      </c>
    </row>
    <row r="1955" spans="1:6">
      <c r="A1955" s="22" t="s">
        <v>5736</v>
      </c>
      <c r="B1955" s="22" t="s">
        <v>5737</v>
      </c>
      <c r="C1955" s="22" t="s">
        <v>5738</v>
      </c>
      <c r="D1955" s="22" t="s">
        <v>9</v>
      </c>
      <c r="E1955" s="22" t="s">
        <v>27</v>
      </c>
      <c r="F1955" s="22">
        <v>886.187</v>
      </c>
    </row>
    <row r="1956" spans="1:6">
      <c r="A1956" s="22" t="s">
        <v>5739</v>
      </c>
      <c r="B1956" s="22" t="s">
        <v>5740</v>
      </c>
      <c r="C1956" s="22" t="s">
        <v>5741</v>
      </c>
      <c r="D1956" s="22" t="s">
        <v>9</v>
      </c>
      <c r="E1956" s="22" t="s">
        <v>27</v>
      </c>
      <c r="F1956" s="22">
        <v>6.006</v>
      </c>
    </row>
    <row r="1957" spans="1:6">
      <c r="A1957" s="22" t="s">
        <v>5742</v>
      </c>
      <c r="B1957" s="22" t="s">
        <v>5743</v>
      </c>
      <c r="C1957" s="22" t="s">
        <v>5744</v>
      </c>
      <c r="D1957" s="22" t="s">
        <v>9</v>
      </c>
      <c r="E1957" s="22" t="s">
        <v>27</v>
      </c>
      <c r="F1957" s="22">
        <v>437.692</v>
      </c>
    </row>
    <row r="1958" spans="1:6">
      <c r="A1958" s="22" t="s">
        <v>5745</v>
      </c>
      <c r="B1958" s="22" t="s">
        <v>5746</v>
      </c>
      <c r="C1958" s="22" t="s">
        <v>5747</v>
      </c>
      <c r="D1958" s="22" t="s">
        <v>9</v>
      </c>
      <c r="E1958" s="22" t="s">
        <v>23</v>
      </c>
      <c r="F1958" s="22">
        <v>113.385</v>
      </c>
    </row>
    <row r="1959" spans="1:6">
      <c r="A1959" s="22" t="s">
        <v>5748</v>
      </c>
      <c r="B1959" s="22" t="s">
        <v>5749</v>
      </c>
      <c r="C1959" s="22" t="s">
        <v>5750</v>
      </c>
      <c r="D1959" s="22" t="s">
        <v>9</v>
      </c>
      <c r="E1959" s="22" t="s">
        <v>23</v>
      </c>
      <c r="F1959" s="22">
        <v>3.48</v>
      </c>
    </row>
    <row r="1960" spans="1:6">
      <c r="A1960" s="22" t="s">
        <v>5751</v>
      </c>
      <c r="B1960" s="22" t="s">
        <v>5752</v>
      </c>
      <c r="C1960" s="22" t="s">
        <v>5753</v>
      </c>
      <c r="D1960" s="22" t="s">
        <v>9</v>
      </c>
      <c r="E1960" s="22" t="s">
        <v>35</v>
      </c>
      <c r="F1960" s="22">
        <v>31.675</v>
      </c>
    </row>
    <row r="1961" spans="1:6">
      <c r="A1961" s="22" t="s">
        <v>5754</v>
      </c>
      <c r="B1961" s="22" t="s">
        <v>5755</v>
      </c>
      <c r="C1961" s="22" t="s">
        <v>5756</v>
      </c>
      <c r="D1961" s="22" t="s">
        <v>9</v>
      </c>
      <c r="E1961" s="22" t="s">
        <v>23</v>
      </c>
      <c r="F1961" s="22">
        <v>4229.451</v>
      </c>
    </row>
    <row r="1962" spans="1:6">
      <c r="A1962" s="22" t="s">
        <v>5757</v>
      </c>
      <c r="B1962" s="22" t="s">
        <v>5758</v>
      </c>
      <c r="C1962" s="22" t="s">
        <v>5759</v>
      </c>
      <c r="D1962" s="22" t="s">
        <v>9</v>
      </c>
      <c r="E1962" s="22" t="s">
        <v>35</v>
      </c>
      <c r="F1962" s="22">
        <v>472.798</v>
      </c>
    </row>
    <row r="1963" spans="1:6">
      <c r="A1963" s="22" t="s">
        <v>5760</v>
      </c>
      <c r="B1963" s="22" t="s">
        <v>5761</v>
      </c>
      <c r="C1963" s="22" t="s">
        <v>5762</v>
      </c>
      <c r="D1963" s="22" t="s">
        <v>9</v>
      </c>
      <c r="E1963" s="22" t="s">
        <v>57</v>
      </c>
      <c r="F1963" s="22">
        <v>4.811</v>
      </c>
    </row>
    <row r="1964" spans="1:6">
      <c r="A1964" s="22" t="s">
        <v>5763</v>
      </c>
      <c r="B1964" s="22" t="s">
        <v>5764</v>
      </c>
      <c r="C1964" s="22" t="s">
        <v>5765</v>
      </c>
      <c r="D1964" s="22" t="s">
        <v>9</v>
      </c>
      <c r="E1964" s="22" t="s">
        <v>27</v>
      </c>
      <c r="F1964" s="22">
        <v>31.769</v>
      </c>
    </row>
    <row r="1965" spans="1:6">
      <c r="A1965" s="22" t="s">
        <v>5766</v>
      </c>
      <c r="B1965" s="22" t="s">
        <v>5767</v>
      </c>
      <c r="C1965" s="22" t="s">
        <v>5768</v>
      </c>
      <c r="D1965" s="22" t="s">
        <v>9</v>
      </c>
      <c r="E1965" s="22" t="s">
        <v>35</v>
      </c>
      <c r="F1965" s="22">
        <v>13.753</v>
      </c>
    </row>
    <row r="1966" spans="1:6">
      <c r="A1966" s="22" t="s">
        <v>5769</v>
      </c>
      <c r="B1966" s="22" t="s">
        <v>5770</v>
      </c>
      <c r="C1966" s="22" t="s">
        <v>5771</v>
      </c>
      <c r="D1966" s="22" t="s">
        <v>9</v>
      </c>
      <c r="E1966" s="22" t="s">
        <v>23</v>
      </c>
      <c r="F1966" s="22">
        <v>419.1</v>
      </c>
    </row>
    <row r="1967" spans="1:6">
      <c r="A1967" s="22" t="s">
        <v>5772</v>
      </c>
      <c r="B1967" s="22" t="s">
        <v>5773</v>
      </c>
      <c r="C1967" s="22" t="s">
        <v>5774</v>
      </c>
      <c r="D1967" s="22" t="s">
        <v>9</v>
      </c>
      <c r="E1967" s="22" t="s">
        <v>23</v>
      </c>
      <c r="F1967" s="22">
        <v>572.324</v>
      </c>
    </row>
    <row r="1968" spans="1:6">
      <c r="A1968" s="22" t="s">
        <v>5775</v>
      </c>
      <c r="B1968" s="22" t="s">
        <v>5776</v>
      </c>
      <c r="C1968" s="22" t="s">
        <v>5777</v>
      </c>
      <c r="D1968" s="22" t="s">
        <v>9</v>
      </c>
      <c r="E1968" s="22" t="s">
        <v>23</v>
      </c>
      <c r="F1968" s="22">
        <v>640.982</v>
      </c>
    </row>
    <row r="1969" spans="1:6">
      <c r="A1969" s="22" t="s">
        <v>5778</v>
      </c>
      <c r="B1969" s="22" t="s">
        <v>5779</v>
      </c>
      <c r="C1969" s="22" t="s">
        <v>5780</v>
      </c>
      <c r="D1969" s="22" t="s">
        <v>9</v>
      </c>
      <c r="E1969" s="22" t="s">
        <v>40</v>
      </c>
      <c r="F1969" s="22">
        <v>111.447</v>
      </c>
    </row>
    <row r="1970" spans="1:6">
      <c r="A1970" s="22" t="s">
        <v>5781</v>
      </c>
      <c r="B1970" s="22" t="s">
        <v>5782</v>
      </c>
      <c r="C1970" s="22" t="s">
        <v>5783</v>
      </c>
      <c r="D1970" s="22" t="s">
        <v>9</v>
      </c>
      <c r="E1970" s="22" t="s">
        <v>57</v>
      </c>
      <c r="F1970" s="22">
        <v>101.607</v>
      </c>
    </row>
    <row r="1971" spans="1:6">
      <c r="A1971" s="22" t="s">
        <v>5784</v>
      </c>
      <c r="B1971" s="22" t="s">
        <v>5785</v>
      </c>
      <c r="C1971" s="22" t="s">
        <v>5786</v>
      </c>
      <c r="D1971" s="22" t="s">
        <v>9</v>
      </c>
      <c r="E1971" s="22" t="s">
        <v>31</v>
      </c>
      <c r="F1971" s="22">
        <v>6.875</v>
      </c>
    </row>
    <row r="1972" spans="1:6">
      <c r="A1972" s="22" t="s">
        <v>5787</v>
      </c>
      <c r="B1972" s="22" t="s">
        <v>5788</v>
      </c>
      <c r="C1972" s="22" t="s">
        <v>5789</v>
      </c>
      <c r="D1972" s="22" t="s">
        <v>9</v>
      </c>
      <c r="E1972" s="22" t="s">
        <v>14</v>
      </c>
      <c r="F1972" s="22">
        <v>43.03</v>
      </c>
    </row>
    <row r="1973" spans="1:6">
      <c r="A1973" s="22" t="s">
        <v>5790</v>
      </c>
      <c r="B1973" s="22" t="s">
        <v>5791</v>
      </c>
      <c r="C1973" s="22" t="s">
        <v>5792</v>
      </c>
      <c r="D1973" s="22" t="s">
        <v>9</v>
      </c>
      <c r="E1973" s="22" t="s">
        <v>31</v>
      </c>
      <c r="F1973" s="22">
        <v>678.826</v>
      </c>
    </row>
    <row r="1974" spans="1:6">
      <c r="A1974" s="22" t="s">
        <v>5793</v>
      </c>
      <c r="B1974" s="22" t="s">
        <v>5794</v>
      </c>
      <c r="C1974" s="22" t="s">
        <v>5795</v>
      </c>
      <c r="D1974" s="22" t="s">
        <v>9</v>
      </c>
      <c r="E1974" s="22" t="s">
        <v>23</v>
      </c>
      <c r="F1974" s="22">
        <v>9.964</v>
      </c>
    </row>
    <row r="1975" spans="1:6">
      <c r="A1975" s="22" t="s">
        <v>5796</v>
      </c>
      <c r="B1975" s="22" t="s">
        <v>5797</v>
      </c>
      <c r="C1975" s="22" t="s">
        <v>5798</v>
      </c>
      <c r="D1975" s="22" t="s">
        <v>9</v>
      </c>
      <c r="E1975" s="22" t="s">
        <v>61</v>
      </c>
      <c r="F1975" s="22">
        <v>23.097</v>
      </c>
    </row>
    <row r="1976" spans="1:6">
      <c r="A1976" s="22" t="s">
        <v>5799</v>
      </c>
      <c r="B1976" s="22" t="s">
        <v>5800</v>
      </c>
      <c r="C1976" s="22" t="s">
        <v>5801</v>
      </c>
      <c r="D1976" s="22" t="s">
        <v>9</v>
      </c>
      <c r="E1976" s="22" t="s">
        <v>39</v>
      </c>
    </row>
    <row r="1977" spans="1:6">
      <c r="A1977" s="22" t="s">
        <v>5802</v>
      </c>
      <c r="B1977" s="22" t="s">
        <v>5803</v>
      </c>
      <c r="C1977" s="22" t="s">
        <v>5804</v>
      </c>
      <c r="D1977" s="22" t="s">
        <v>9</v>
      </c>
      <c r="E1977" s="22" t="s">
        <v>14</v>
      </c>
      <c r="F1977" s="22">
        <v>413.836</v>
      </c>
    </row>
    <row r="1978" spans="1:6">
      <c r="A1978" s="22" t="s">
        <v>5805</v>
      </c>
      <c r="B1978" s="22" t="s">
        <v>5072</v>
      </c>
      <c r="C1978" s="22" t="s">
        <v>5806</v>
      </c>
      <c r="D1978" s="22" t="s">
        <v>9</v>
      </c>
      <c r="E1978" s="22" t="s">
        <v>27</v>
      </c>
      <c r="F1978" s="22">
        <v>48.05</v>
      </c>
    </row>
    <row r="1979" spans="1:6">
      <c r="A1979" s="22" t="s">
        <v>5807</v>
      </c>
      <c r="B1979" s="22" t="s">
        <v>5808</v>
      </c>
      <c r="C1979" s="22" t="s">
        <v>5809</v>
      </c>
      <c r="D1979" s="22" t="s">
        <v>9</v>
      </c>
      <c r="E1979" s="22" t="s">
        <v>23</v>
      </c>
      <c r="F1979" s="22">
        <v>2.617</v>
      </c>
    </row>
    <row r="1980" spans="1:6">
      <c r="A1980" s="22" t="s">
        <v>5810</v>
      </c>
      <c r="B1980" s="22" t="s">
        <v>5811</v>
      </c>
      <c r="C1980" s="22" t="s">
        <v>5812</v>
      </c>
      <c r="D1980" s="22" t="s">
        <v>9</v>
      </c>
      <c r="E1980" s="22" t="s">
        <v>35</v>
      </c>
      <c r="F1980" s="22">
        <v>1212.159</v>
      </c>
    </row>
    <row r="1981" spans="1:6">
      <c r="A1981" s="22" t="s">
        <v>5813</v>
      </c>
      <c r="B1981" s="22" t="s">
        <v>1241</v>
      </c>
      <c r="C1981" s="22" t="s">
        <v>3551</v>
      </c>
      <c r="D1981" s="22" t="s">
        <v>9</v>
      </c>
      <c r="E1981" s="22" t="s">
        <v>23</v>
      </c>
      <c r="F1981" s="22">
        <v>1129.085</v>
      </c>
    </row>
    <row r="1982" spans="1:6">
      <c r="A1982" s="22" t="s">
        <v>5814</v>
      </c>
      <c r="B1982" s="22" t="s">
        <v>5815</v>
      </c>
      <c r="C1982" s="22" t="s">
        <v>5815</v>
      </c>
      <c r="D1982" s="22" t="s">
        <v>9</v>
      </c>
      <c r="E1982" s="22" t="s">
        <v>14</v>
      </c>
      <c r="F1982" s="22">
        <v>200.635</v>
      </c>
    </row>
    <row r="1983" spans="1:6">
      <c r="A1983" s="22" t="s">
        <v>5816</v>
      </c>
      <c r="B1983" s="22" t="s">
        <v>5817</v>
      </c>
      <c r="C1983" s="22" t="s">
        <v>5818</v>
      </c>
      <c r="D1983" s="22" t="s">
        <v>9</v>
      </c>
      <c r="E1983" s="22" t="s">
        <v>39</v>
      </c>
      <c r="F1983" s="22">
        <v>3292.519</v>
      </c>
    </row>
    <row r="1984" spans="1:6">
      <c r="A1984" s="22" t="s">
        <v>5819</v>
      </c>
      <c r="B1984" s="22" t="s">
        <v>5820</v>
      </c>
      <c r="C1984" s="22" t="s">
        <v>5821</v>
      </c>
      <c r="D1984" s="22" t="s">
        <v>9</v>
      </c>
      <c r="E1984" s="22" t="s">
        <v>23</v>
      </c>
      <c r="F1984" s="22">
        <v>41.735</v>
      </c>
    </row>
    <row r="1985" spans="1:6">
      <c r="A1985" s="22" t="s">
        <v>5822</v>
      </c>
      <c r="B1985" s="22" t="s">
        <v>5823</v>
      </c>
      <c r="C1985" s="22" t="s">
        <v>5824</v>
      </c>
      <c r="D1985" s="22" t="s">
        <v>9</v>
      </c>
      <c r="E1985" s="22" t="s">
        <v>27</v>
      </c>
      <c r="F1985" s="22">
        <v>839.965</v>
      </c>
    </row>
    <row r="1986" spans="1:6">
      <c r="A1986" s="22" t="s">
        <v>5825</v>
      </c>
      <c r="B1986" s="22" t="s">
        <v>5826</v>
      </c>
      <c r="C1986" s="22" t="s">
        <v>5827</v>
      </c>
      <c r="D1986" s="22" t="s">
        <v>9</v>
      </c>
      <c r="E1986" s="22" t="s">
        <v>35</v>
      </c>
      <c r="F1986" s="22">
        <v>12.755</v>
      </c>
    </row>
    <row r="1987" spans="1:6">
      <c r="A1987" s="22" t="s">
        <v>5828</v>
      </c>
      <c r="B1987" s="22" t="s">
        <v>5829</v>
      </c>
      <c r="C1987" s="22" t="s">
        <v>5830</v>
      </c>
      <c r="D1987" s="22" t="s">
        <v>9</v>
      </c>
      <c r="E1987" s="22" t="s">
        <v>27</v>
      </c>
      <c r="F1987" s="22">
        <v>721.206</v>
      </c>
    </row>
    <row r="1988" spans="1:6">
      <c r="A1988" s="22" t="s">
        <v>5831</v>
      </c>
      <c r="B1988" s="22" t="s">
        <v>4705</v>
      </c>
      <c r="C1988" s="22" t="s">
        <v>5832</v>
      </c>
      <c r="D1988" s="22" t="s">
        <v>9</v>
      </c>
      <c r="E1988" s="22" t="s">
        <v>27</v>
      </c>
      <c r="F1988" s="22">
        <v>5482.626</v>
      </c>
    </row>
    <row r="1989" spans="1:6">
      <c r="A1989" s="22" t="s">
        <v>5833</v>
      </c>
      <c r="B1989" s="22" t="s">
        <v>4481</v>
      </c>
      <c r="C1989" s="22" t="s">
        <v>5834</v>
      </c>
      <c r="D1989" s="22" t="s">
        <v>9</v>
      </c>
      <c r="E1989" s="22" t="s">
        <v>27</v>
      </c>
      <c r="F1989" s="22">
        <v>43.044</v>
      </c>
    </row>
    <row r="1990" spans="1:6">
      <c r="A1990" s="22" t="s">
        <v>5835</v>
      </c>
      <c r="B1990" s="22" t="s">
        <v>5836</v>
      </c>
      <c r="C1990" s="22" t="s">
        <v>5837</v>
      </c>
      <c r="D1990" s="22" t="s">
        <v>9</v>
      </c>
      <c r="E1990" s="22" t="s">
        <v>23</v>
      </c>
      <c r="F1990" s="22">
        <v>218.352</v>
      </c>
    </row>
    <row r="1991" spans="1:6">
      <c r="A1991" s="22" t="s">
        <v>5838</v>
      </c>
      <c r="B1991" s="22" t="s">
        <v>3941</v>
      </c>
      <c r="C1991" s="22" t="s">
        <v>3942</v>
      </c>
      <c r="D1991" s="22" t="s">
        <v>9</v>
      </c>
      <c r="E1991" s="22" t="s">
        <v>27</v>
      </c>
      <c r="F1991" s="22">
        <v>1566.98</v>
      </c>
    </row>
    <row r="1992" spans="1:6">
      <c r="A1992" s="22" t="s">
        <v>5839</v>
      </c>
      <c r="B1992" s="22" t="s">
        <v>5840</v>
      </c>
      <c r="C1992" s="22" t="s">
        <v>5841</v>
      </c>
      <c r="D1992" s="22" t="s">
        <v>9</v>
      </c>
      <c r="E1992" s="22" t="s">
        <v>27</v>
      </c>
      <c r="F1992" s="22">
        <v>208.944</v>
      </c>
    </row>
    <row r="1993" spans="1:6">
      <c r="A1993" s="22" t="s">
        <v>5842</v>
      </c>
      <c r="B1993" s="22" t="s">
        <v>5843</v>
      </c>
      <c r="C1993" s="22" t="s">
        <v>5844</v>
      </c>
      <c r="D1993" s="22" t="s">
        <v>9</v>
      </c>
      <c r="E1993" s="22" t="s">
        <v>40</v>
      </c>
      <c r="F1993" s="22">
        <v>69.83</v>
      </c>
    </row>
    <row r="1994" spans="1:6">
      <c r="A1994" s="22" t="s">
        <v>5845</v>
      </c>
      <c r="B1994" s="22" t="s">
        <v>5846</v>
      </c>
      <c r="C1994" s="22" t="s">
        <v>5847</v>
      </c>
      <c r="D1994" s="22" t="s">
        <v>9</v>
      </c>
      <c r="E1994" s="22" t="s">
        <v>23</v>
      </c>
      <c r="F1994" s="22">
        <v>76.09</v>
      </c>
    </row>
    <row r="1995" spans="1:6">
      <c r="A1995" s="22" t="s">
        <v>5848</v>
      </c>
      <c r="B1995" s="22" t="s">
        <v>5849</v>
      </c>
      <c r="C1995" s="22" t="s">
        <v>5850</v>
      </c>
      <c r="D1995" s="22" t="s">
        <v>9</v>
      </c>
      <c r="E1995" s="22" t="s">
        <v>23</v>
      </c>
      <c r="F1995" s="22">
        <v>3889.622</v>
      </c>
    </row>
    <row r="1996" spans="1:6">
      <c r="A1996" s="22" t="s">
        <v>5851</v>
      </c>
      <c r="B1996" s="22" t="s">
        <v>5852</v>
      </c>
      <c r="C1996" s="22" t="s">
        <v>5853</v>
      </c>
      <c r="D1996" s="22" t="s">
        <v>9</v>
      </c>
      <c r="E1996" s="22" t="s">
        <v>27</v>
      </c>
      <c r="F1996" s="22">
        <v>187.064</v>
      </c>
    </row>
    <row r="1997" spans="1:6">
      <c r="A1997" s="22" t="s">
        <v>5854</v>
      </c>
      <c r="B1997" s="22" t="s">
        <v>5855</v>
      </c>
      <c r="C1997" s="22" t="s">
        <v>5856</v>
      </c>
      <c r="D1997" s="22" t="s">
        <v>9</v>
      </c>
      <c r="E1997" s="22" t="s">
        <v>14</v>
      </c>
      <c r="F1997" s="22">
        <v>90.086</v>
      </c>
    </row>
    <row r="1998" spans="1:6">
      <c r="A1998" s="22" t="s">
        <v>5857</v>
      </c>
      <c r="B1998" s="22" t="s">
        <v>5858</v>
      </c>
      <c r="C1998" s="22" t="s">
        <v>5859</v>
      </c>
      <c r="D1998" s="22" t="s">
        <v>9</v>
      </c>
      <c r="E1998" s="22" t="s">
        <v>35</v>
      </c>
      <c r="F1998" s="22">
        <v>466.385</v>
      </c>
    </row>
    <row r="1999" spans="1:6">
      <c r="A1999" s="22" t="s">
        <v>5860</v>
      </c>
      <c r="B1999" s="22" t="s">
        <v>5861</v>
      </c>
      <c r="C1999" s="22" t="s">
        <v>5862</v>
      </c>
      <c r="D1999" s="22" t="s">
        <v>9</v>
      </c>
      <c r="E1999" s="22" t="s">
        <v>23</v>
      </c>
      <c r="F1999" s="22">
        <v>6.54</v>
      </c>
    </row>
    <row r="2000" spans="1:6">
      <c r="A2000" s="22" t="s">
        <v>5863</v>
      </c>
      <c r="B2000" s="22" t="s">
        <v>5864</v>
      </c>
      <c r="C2000" s="22" t="s">
        <v>5865</v>
      </c>
      <c r="D2000" s="22" t="s">
        <v>9</v>
      </c>
      <c r="E2000" s="22" t="s">
        <v>35</v>
      </c>
      <c r="F2000" s="22">
        <v>83.067</v>
      </c>
    </row>
    <row r="2001" spans="1:6">
      <c r="A2001" s="22" t="s">
        <v>5866</v>
      </c>
      <c r="B2001" s="22" t="s">
        <v>5867</v>
      </c>
      <c r="C2001" s="22" t="s">
        <v>5868</v>
      </c>
      <c r="D2001" s="22" t="s">
        <v>9</v>
      </c>
      <c r="E2001" s="22" t="s">
        <v>39</v>
      </c>
    </row>
    <row r="2002" spans="1:6">
      <c r="A2002" s="22" t="s">
        <v>5869</v>
      </c>
      <c r="B2002" s="22" t="s">
        <v>5870</v>
      </c>
      <c r="C2002" s="22" t="s">
        <v>5871</v>
      </c>
      <c r="D2002" s="22" t="s">
        <v>9</v>
      </c>
      <c r="E2002" s="22" t="s">
        <v>23</v>
      </c>
      <c r="F2002" s="22">
        <v>43.237</v>
      </c>
    </row>
    <row r="2003" spans="1:6">
      <c r="A2003" s="22" t="s">
        <v>5872</v>
      </c>
      <c r="B2003" s="22" t="s">
        <v>5873</v>
      </c>
      <c r="C2003" s="22" t="s">
        <v>5874</v>
      </c>
      <c r="D2003" s="22" t="s">
        <v>9</v>
      </c>
      <c r="E2003" s="22" t="s">
        <v>35</v>
      </c>
      <c r="F2003" s="22">
        <v>441.528</v>
      </c>
    </row>
    <row r="2004" spans="1:6">
      <c r="A2004" s="22" t="s">
        <v>5875</v>
      </c>
      <c r="B2004" s="22" t="s">
        <v>5876</v>
      </c>
      <c r="C2004" s="22" t="s">
        <v>5877</v>
      </c>
      <c r="D2004" s="22" t="s">
        <v>9</v>
      </c>
      <c r="E2004" s="22" t="s">
        <v>23</v>
      </c>
      <c r="F2004" s="22">
        <v>94.579</v>
      </c>
    </row>
    <row r="2005" spans="1:6">
      <c r="A2005" s="22" t="s">
        <v>5878</v>
      </c>
      <c r="B2005" s="22" t="s">
        <v>5879</v>
      </c>
      <c r="C2005" s="22" t="s">
        <v>5880</v>
      </c>
      <c r="D2005" s="22" t="s">
        <v>9</v>
      </c>
      <c r="E2005" s="22" t="s">
        <v>109</v>
      </c>
      <c r="F2005" s="22">
        <v>343.568</v>
      </c>
    </row>
    <row r="2006" spans="1:6">
      <c r="A2006" s="22" t="s">
        <v>5881</v>
      </c>
      <c r="B2006" s="22" t="s">
        <v>5882</v>
      </c>
      <c r="C2006" s="22" t="s">
        <v>5883</v>
      </c>
      <c r="D2006" s="22" t="s">
        <v>9</v>
      </c>
      <c r="E2006" s="22" t="s">
        <v>40</v>
      </c>
      <c r="F2006" s="22">
        <v>17.686</v>
      </c>
    </row>
    <row r="2007" spans="1:6">
      <c r="A2007" s="22" t="s">
        <v>5884</v>
      </c>
      <c r="B2007" s="22" t="s">
        <v>5885</v>
      </c>
      <c r="C2007" s="22" t="s">
        <v>5886</v>
      </c>
      <c r="D2007" s="22" t="s">
        <v>9</v>
      </c>
      <c r="E2007" s="22" t="s">
        <v>23</v>
      </c>
      <c r="F2007" s="22">
        <v>101.656</v>
      </c>
    </row>
    <row r="2008" spans="1:6">
      <c r="A2008" s="22" t="s">
        <v>5887</v>
      </c>
      <c r="B2008" s="22" t="s">
        <v>5888</v>
      </c>
      <c r="C2008" s="22" t="s">
        <v>5889</v>
      </c>
      <c r="D2008" s="22" t="s">
        <v>9</v>
      </c>
      <c r="E2008" s="22" t="s">
        <v>39</v>
      </c>
      <c r="F2008" s="22">
        <v>751.882</v>
      </c>
    </row>
    <row r="2009" spans="1:6">
      <c r="A2009" s="22" t="s">
        <v>5890</v>
      </c>
      <c r="B2009" s="22" t="s">
        <v>5891</v>
      </c>
      <c r="C2009" s="22" t="s">
        <v>5892</v>
      </c>
      <c r="D2009" s="22" t="s">
        <v>9</v>
      </c>
      <c r="E2009" s="22" t="s">
        <v>39</v>
      </c>
    </row>
    <row r="2010" spans="1:6">
      <c r="A2010" s="22" t="s">
        <v>5893</v>
      </c>
      <c r="B2010" s="22" t="s">
        <v>5894</v>
      </c>
      <c r="C2010" s="22" t="s">
        <v>5895</v>
      </c>
      <c r="D2010" s="22" t="s">
        <v>9</v>
      </c>
      <c r="E2010" s="22" t="s">
        <v>23</v>
      </c>
      <c r="F2010" s="22">
        <v>355.647</v>
      </c>
    </row>
    <row r="2011" spans="1:6">
      <c r="A2011" s="22" t="s">
        <v>5896</v>
      </c>
      <c r="B2011" s="22" t="s">
        <v>5897</v>
      </c>
      <c r="C2011" s="22" t="s">
        <v>5898</v>
      </c>
      <c r="D2011" s="22" t="s">
        <v>9</v>
      </c>
      <c r="E2011" s="22" t="s">
        <v>39</v>
      </c>
      <c r="F2011" s="22">
        <v>1621.863</v>
      </c>
    </row>
    <row r="2012" spans="1:6">
      <c r="A2012" s="22" t="s">
        <v>5899</v>
      </c>
      <c r="B2012" s="22" t="s">
        <v>5900</v>
      </c>
      <c r="C2012" s="22" t="s">
        <v>5901</v>
      </c>
      <c r="D2012" s="22" t="s">
        <v>9</v>
      </c>
      <c r="E2012" s="22" t="s">
        <v>35</v>
      </c>
      <c r="F2012" s="22">
        <v>762.599</v>
      </c>
    </row>
    <row r="2013" spans="1:6">
      <c r="A2013" s="22" t="s">
        <v>5902</v>
      </c>
      <c r="B2013" s="22" t="s">
        <v>5903</v>
      </c>
      <c r="C2013" s="22" t="s">
        <v>5904</v>
      </c>
      <c r="D2013" s="22" t="s">
        <v>9</v>
      </c>
      <c r="E2013" s="22" t="s">
        <v>35</v>
      </c>
      <c r="F2013" s="22">
        <v>402.454</v>
      </c>
    </row>
    <row r="2014" spans="1:6">
      <c r="A2014" s="22" t="s">
        <v>5905</v>
      </c>
      <c r="B2014" s="22" t="s">
        <v>5906</v>
      </c>
      <c r="C2014" s="22" t="s">
        <v>5907</v>
      </c>
      <c r="D2014" s="22" t="s">
        <v>9</v>
      </c>
      <c r="E2014" s="22" t="s">
        <v>35</v>
      </c>
      <c r="F2014" s="22">
        <v>130.857</v>
      </c>
    </row>
    <row r="2015" spans="1:6">
      <c r="A2015" s="22" t="s">
        <v>5908</v>
      </c>
      <c r="B2015" s="22" t="s">
        <v>5909</v>
      </c>
      <c r="C2015" s="22" t="s">
        <v>5910</v>
      </c>
      <c r="D2015" s="22" t="s">
        <v>9</v>
      </c>
      <c r="E2015" s="22" t="s">
        <v>27</v>
      </c>
      <c r="F2015" s="22">
        <v>33.983</v>
      </c>
    </row>
    <row r="2016" spans="1:6">
      <c r="A2016" s="22" t="s">
        <v>5911</v>
      </c>
      <c r="B2016" s="22" t="s">
        <v>5912</v>
      </c>
      <c r="C2016" s="22" t="s">
        <v>5913</v>
      </c>
      <c r="D2016" s="22" t="s">
        <v>9</v>
      </c>
      <c r="E2016" s="22" t="s">
        <v>23</v>
      </c>
      <c r="F2016" s="22">
        <v>497.182</v>
      </c>
    </row>
    <row r="2017" spans="1:6">
      <c r="A2017" s="22" t="s">
        <v>5914</v>
      </c>
      <c r="B2017" s="22" t="s">
        <v>5915</v>
      </c>
      <c r="C2017" s="22" t="s">
        <v>5916</v>
      </c>
      <c r="D2017" s="22" t="s">
        <v>9</v>
      </c>
      <c r="E2017" s="22" t="s">
        <v>35</v>
      </c>
      <c r="F2017" s="22">
        <v>209.078</v>
      </c>
    </row>
    <row r="2018" spans="1:6">
      <c r="A2018" s="22" t="s">
        <v>5917</v>
      </c>
      <c r="B2018" s="22" t="s">
        <v>5918</v>
      </c>
      <c r="C2018" s="22" t="s">
        <v>5919</v>
      </c>
      <c r="D2018" s="22" t="s">
        <v>9</v>
      </c>
      <c r="E2018" s="22" t="s">
        <v>66</v>
      </c>
      <c r="F2018" s="22">
        <v>27.855</v>
      </c>
    </row>
    <row r="2019" spans="1:6">
      <c r="A2019" s="22" t="s">
        <v>5920</v>
      </c>
      <c r="B2019" s="22" t="s">
        <v>5921</v>
      </c>
      <c r="C2019" s="22" t="s">
        <v>5922</v>
      </c>
      <c r="D2019" s="22" t="s">
        <v>9</v>
      </c>
      <c r="E2019" s="22" t="s">
        <v>14</v>
      </c>
      <c r="F2019" s="22">
        <v>281.915</v>
      </c>
    </row>
    <row r="2020" spans="1:6">
      <c r="A2020" s="22" t="s">
        <v>5923</v>
      </c>
      <c r="B2020" s="22" t="s">
        <v>5924</v>
      </c>
      <c r="C2020" s="22" t="s">
        <v>5925</v>
      </c>
      <c r="D2020" s="22" t="s">
        <v>9</v>
      </c>
      <c r="E2020" s="22" t="s">
        <v>14</v>
      </c>
      <c r="F2020" s="22">
        <v>127.154</v>
      </c>
    </row>
    <row r="2021" spans="1:6">
      <c r="A2021" s="22" t="s">
        <v>5926</v>
      </c>
      <c r="B2021" s="22" t="s">
        <v>5927</v>
      </c>
      <c r="C2021" s="22" t="s">
        <v>5928</v>
      </c>
      <c r="D2021" s="22" t="s">
        <v>9</v>
      </c>
      <c r="E2021" s="22" t="s">
        <v>40</v>
      </c>
      <c r="F2021" s="22">
        <v>9.12</v>
      </c>
    </row>
    <row r="2022" spans="1:6">
      <c r="A2022" s="22" t="s">
        <v>5929</v>
      </c>
      <c r="B2022" s="22" t="s">
        <v>5930</v>
      </c>
      <c r="C2022" s="22" t="s">
        <v>5931</v>
      </c>
      <c r="D2022" s="22" t="s">
        <v>9</v>
      </c>
      <c r="E2022" s="22" t="s">
        <v>23</v>
      </c>
      <c r="F2022" s="22">
        <v>43.487</v>
      </c>
    </row>
    <row r="2023" spans="1:6">
      <c r="A2023" s="22" t="s">
        <v>5932</v>
      </c>
      <c r="B2023" s="22" t="s">
        <v>5933</v>
      </c>
      <c r="C2023" s="22" t="s">
        <v>5294</v>
      </c>
      <c r="D2023" s="22" t="s">
        <v>9</v>
      </c>
      <c r="E2023" s="22" t="s">
        <v>27</v>
      </c>
      <c r="F2023" s="22">
        <v>447.644</v>
      </c>
    </row>
    <row r="2024" spans="1:6">
      <c r="A2024" s="22" t="s">
        <v>5934</v>
      </c>
      <c r="B2024" s="22" t="s">
        <v>5935</v>
      </c>
      <c r="C2024" s="22" t="s">
        <v>5936</v>
      </c>
      <c r="D2024" s="22" t="s">
        <v>9</v>
      </c>
      <c r="E2024" s="22" t="s">
        <v>23</v>
      </c>
      <c r="F2024" s="22">
        <v>27763.887</v>
      </c>
    </row>
    <row r="2025" spans="1:6">
      <c r="A2025" s="22" t="s">
        <v>5937</v>
      </c>
      <c r="B2025" s="22" t="s">
        <v>5938</v>
      </c>
      <c r="C2025" s="22" t="s">
        <v>5939</v>
      </c>
      <c r="D2025" s="22" t="s">
        <v>9</v>
      </c>
      <c r="E2025" s="22" t="s">
        <v>50</v>
      </c>
      <c r="F2025" s="22">
        <v>231.112</v>
      </c>
    </row>
    <row r="2026" spans="1:6">
      <c r="A2026" s="22" t="s">
        <v>5940</v>
      </c>
      <c r="B2026" s="22" t="s">
        <v>5941</v>
      </c>
      <c r="C2026" s="22" t="s">
        <v>5942</v>
      </c>
      <c r="D2026" s="22" t="s">
        <v>9</v>
      </c>
      <c r="E2026" s="22" t="s">
        <v>31</v>
      </c>
      <c r="F2026" s="22">
        <v>252.11</v>
      </c>
    </row>
    <row r="2027" spans="1:6">
      <c r="A2027" s="22" t="s">
        <v>5943</v>
      </c>
      <c r="B2027" s="22" t="s">
        <v>5944</v>
      </c>
      <c r="C2027" s="22" t="s">
        <v>5945</v>
      </c>
      <c r="D2027" s="22" t="s">
        <v>9</v>
      </c>
      <c r="E2027" s="22" t="s">
        <v>23</v>
      </c>
      <c r="F2027" s="22">
        <v>104.268</v>
      </c>
    </row>
    <row r="2028" spans="1:6">
      <c r="A2028" s="22" t="s">
        <v>5946</v>
      </c>
      <c r="B2028" s="22" t="s">
        <v>5947</v>
      </c>
      <c r="C2028" s="22" t="s">
        <v>5948</v>
      </c>
      <c r="D2028" s="22" t="s">
        <v>9</v>
      </c>
      <c r="E2028" s="22" t="s">
        <v>23</v>
      </c>
      <c r="F2028" s="22">
        <v>108.581</v>
      </c>
    </row>
    <row r="2029" spans="1:6">
      <c r="A2029" s="22" t="s">
        <v>5949</v>
      </c>
      <c r="B2029" s="22" t="s">
        <v>5950</v>
      </c>
      <c r="C2029" s="22" t="s">
        <v>5951</v>
      </c>
      <c r="D2029" s="22" t="s">
        <v>9</v>
      </c>
      <c r="E2029" s="22" t="s">
        <v>27</v>
      </c>
      <c r="F2029" s="22">
        <v>745.128</v>
      </c>
    </row>
    <row r="2030" spans="1:6">
      <c r="A2030" s="22" t="s">
        <v>5952</v>
      </c>
      <c r="B2030" s="22" t="s">
        <v>5953</v>
      </c>
      <c r="C2030" s="22" t="s">
        <v>5954</v>
      </c>
      <c r="D2030" s="22" t="s">
        <v>9</v>
      </c>
      <c r="E2030" s="22" t="s">
        <v>23</v>
      </c>
      <c r="F2030" s="22">
        <v>265.162</v>
      </c>
    </row>
    <row r="2031" spans="1:6">
      <c r="A2031" s="22" t="s">
        <v>5955</v>
      </c>
      <c r="B2031" s="22" t="s">
        <v>5956</v>
      </c>
      <c r="C2031" s="22" t="s">
        <v>5957</v>
      </c>
      <c r="D2031" s="22" t="s">
        <v>9</v>
      </c>
      <c r="E2031" s="22" t="s">
        <v>23</v>
      </c>
      <c r="F2031" s="22">
        <v>31.002</v>
      </c>
    </row>
    <row r="2032" spans="1:6">
      <c r="A2032" s="22" t="s">
        <v>5958</v>
      </c>
      <c r="B2032" s="22" t="s">
        <v>5959</v>
      </c>
      <c r="C2032" s="22" t="s">
        <v>5960</v>
      </c>
      <c r="D2032" s="22" t="s">
        <v>9</v>
      </c>
      <c r="E2032" s="22" t="s">
        <v>50</v>
      </c>
      <c r="F2032" s="22">
        <v>16.566</v>
      </c>
    </row>
    <row r="2033" spans="1:6">
      <c r="A2033" s="22" t="s">
        <v>5961</v>
      </c>
      <c r="B2033" s="22" t="s">
        <v>5962</v>
      </c>
      <c r="C2033" s="22" t="s">
        <v>5963</v>
      </c>
      <c r="D2033" s="22" t="s">
        <v>9</v>
      </c>
      <c r="E2033" s="22" t="s">
        <v>27</v>
      </c>
      <c r="F2033" s="22">
        <v>30.846</v>
      </c>
    </row>
    <row r="2034" spans="1:6">
      <c r="A2034" s="22" t="s">
        <v>5964</v>
      </c>
      <c r="B2034" s="22" t="s">
        <v>5965</v>
      </c>
      <c r="C2034" s="22" t="s">
        <v>5966</v>
      </c>
      <c r="D2034" s="22" t="s">
        <v>9</v>
      </c>
      <c r="E2034" s="22" t="s">
        <v>27</v>
      </c>
      <c r="F2034" s="22">
        <v>80.33</v>
      </c>
    </row>
    <row r="2035" spans="1:6">
      <c r="A2035" s="22" t="s">
        <v>5967</v>
      </c>
      <c r="B2035" s="22" t="s">
        <v>5968</v>
      </c>
      <c r="C2035" s="22" t="s">
        <v>5969</v>
      </c>
      <c r="D2035" s="22" t="s">
        <v>9</v>
      </c>
      <c r="E2035" s="22" t="s">
        <v>23</v>
      </c>
      <c r="F2035" s="22">
        <v>461.904</v>
      </c>
    </row>
    <row r="2036" spans="1:6">
      <c r="A2036" s="22" t="s">
        <v>5970</v>
      </c>
      <c r="B2036" s="22" t="s">
        <v>5971</v>
      </c>
      <c r="C2036" s="22" t="s">
        <v>5972</v>
      </c>
      <c r="D2036" s="22" t="s">
        <v>9</v>
      </c>
      <c r="E2036" s="22" t="s">
        <v>14</v>
      </c>
      <c r="F2036" s="22">
        <v>524.561</v>
      </c>
    </row>
    <row r="2037" spans="1:6">
      <c r="A2037" s="22" t="s">
        <v>5973</v>
      </c>
      <c r="B2037" s="22" t="s">
        <v>5974</v>
      </c>
      <c r="C2037" s="22" t="s">
        <v>5975</v>
      </c>
      <c r="D2037" s="22" t="s">
        <v>9</v>
      </c>
      <c r="E2037" s="22" t="s">
        <v>31</v>
      </c>
      <c r="F2037" s="22">
        <v>155.306</v>
      </c>
    </row>
    <row r="2038" spans="1:6">
      <c r="A2038" s="22" t="s">
        <v>5976</v>
      </c>
      <c r="B2038" s="22" t="s">
        <v>5977</v>
      </c>
      <c r="C2038" s="22" t="s">
        <v>5978</v>
      </c>
      <c r="D2038" s="22" t="s">
        <v>9</v>
      </c>
      <c r="E2038" s="22" t="s">
        <v>23</v>
      </c>
      <c r="F2038" s="22">
        <v>79.482</v>
      </c>
    </row>
    <row r="2039" spans="1:6">
      <c r="A2039" s="22" t="s">
        <v>5979</v>
      </c>
      <c r="B2039" s="22" t="s">
        <v>5980</v>
      </c>
      <c r="C2039" s="22" t="s">
        <v>5981</v>
      </c>
      <c r="D2039" s="22" t="s">
        <v>9</v>
      </c>
      <c r="E2039" s="22" t="s">
        <v>40</v>
      </c>
      <c r="F2039" s="22">
        <v>157.038</v>
      </c>
    </row>
    <row r="2040" spans="1:6">
      <c r="A2040" s="22" t="s">
        <v>5982</v>
      </c>
      <c r="B2040" s="22" t="s">
        <v>5983</v>
      </c>
      <c r="C2040" s="22" t="s">
        <v>5984</v>
      </c>
      <c r="D2040" s="22" t="s">
        <v>9</v>
      </c>
      <c r="E2040" s="22" t="s">
        <v>27</v>
      </c>
      <c r="F2040" s="22">
        <v>6065.966</v>
      </c>
    </row>
    <row r="2041" spans="1:6">
      <c r="A2041" s="22" t="s">
        <v>5985</v>
      </c>
      <c r="B2041" s="22" t="s">
        <v>5986</v>
      </c>
      <c r="C2041" s="22" t="s">
        <v>5987</v>
      </c>
      <c r="D2041" s="22" t="s">
        <v>9</v>
      </c>
      <c r="E2041" s="22" t="s">
        <v>62</v>
      </c>
      <c r="F2041" s="22">
        <v>6.756</v>
      </c>
    </row>
    <row r="2042" spans="1:6">
      <c r="A2042" s="22" t="s">
        <v>5988</v>
      </c>
      <c r="B2042" s="22" t="s">
        <v>5989</v>
      </c>
      <c r="C2042" s="22" t="s">
        <v>5990</v>
      </c>
      <c r="D2042" s="22" t="s">
        <v>9</v>
      </c>
      <c r="E2042" s="22" t="s">
        <v>27</v>
      </c>
      <c r="F2042" s="22">
        <v>21.727</v>
      </c>
    </row>
    <row r="2043" spans="1:6">
      <c r="A2043" s="22" t="s">
        <v>5991</v>
      </c>
      <c r="B2043" s="22" t="s">
        <v>4699</v>
      </c>
      <c r="C2043" s="22" t="s">
        <v>5992</v>
      </c>
      <c r="D2043" s="22" t="s">
        <v>9</v>
      </c>
      <c r="E2043" s="22" t="s">
        <v>31</v>
      </c>
      <c r="F2043" s="22">
        <v>17.855</v>
      </c>
    </row>
    <row r="2044" spans="1:6">
      <c r="A2044" s="22" t="s">
        <v>5993</v>
      </c>
      <c r="B2044" s="22" t="s">
        <v>5994</v>
      </c>
      <c r="C2044" s="22" t="s">
        <v>5995</v>
      </c>
      <c r="D2044" s="22" t="s">
        <v>9</v>
      </c>
      <c r="E2044" s="22" t="s">
        <v>62</v>
      </c>
      <c r="F2044" s="22">
        <v>111.982</v>
      </c>
    </row>
    <row r="2045" spans="1:6">
      <c r="A2045" s="22" t="s">
        <v>5996</v>
      </c>
      <c r="B2045" s="22" t="s">
        <v>5997</v>
      </c>
      <c r="C2045" s="22" t="s">
        <v>5998</v>
      </c>
      <c r="D2045" s="22" t="s">
        <v>9</v>
      </c>
      <c r="E2045" s="22" t="s">
        <v>35</v>
      </c>
      <c r="F2045" s="22">
        <v>1115.529</v>
      </c>
    </row>
    <row r="2046" spans="1:6">
      <c r="A2046" s="22" t="s">
        <v>5999</v>
      </c>
      <c r="B2046" s="22" t="s">
        <v>3761</v>
      </c>
      <c r="C2046" s="22" t="s">
        <v>6000</v>
      </c>
      <c r="D2046" s="22" t="s">
        <v>9</v>
      </c>
      <c r="E2046" s="22" t="s">
        <v>27</v>
      </c>
      <c r="F2046" s="22">
        <v>5277.486</v>
      </c>
    </row>
    <row r="2047" spans="1:6">
      <c r="A2047" s="22" t="s">
        <v>6001</v>
      </c>
      <c r="B2047" s="22" t="s">
        <v>6002</v>
      </c>
      <c r="C2047" s="22" t="s">
        <v>6003</v>
      </c>
      <c r="D2047" s="22" t="s">
        <v>9</v>
      </c>
      <c r="E2047" s="22" t="s">
        <v>35</v>
      </c>
      <c r="F2047" s="22">
        <v>210.879</v>
      </c>
    </row>
    <row r="2048" spans="1:6">
      <c r="A2048" s="22" t="s">
        <v>6004</v>
      </c>
      <c r="B2048" s="22" t="s">
        <v>6005</v>
      </c>
      <c r="C2048" s="22" t="s">
        <v>6006</v>
      </c>
      <c r="D2048" s="22" t="s">
        <v>9</v>
      </c>
      <c r="E2048" s="22" t="s">
        <v>27</v>
      </c>
      <c r="F2048" s="22">
        <v>3844.776</v>
      </c>
    </row>
    <row r="2049" spans="1:6">
      <c r="A2049" s="22" t="s">
        <v>6007</v>
      </c>
      <c r="B2049" s="22" t="s">
        <v>6008</v>
      </c>
      <c r="C2049" s="22" t="s">
        <v>6009</v>
      </c>
      <c r="D2049" s="22" t="s">
        <v>9</v>
      </c>
      <c r="E2049" s="22" t="s">
        <v>27</v>
      </c>
      <c r="F2049" s="22">
        <v>10.574</v>
      </c>
    </row>
    <row r="2050" spans="1:6">
      <c r="A2050" s="22" t="s">
        <v>6010</v>
      </c>
      <c r="B2050" s="22" t="s">
        <v>762</v>
      </c>
      <c r="C2050" s="22" t="s">
        <v>6011</v>
      </c>
      <c r="D2050" s="22" t="s">
        <v>9</v>
      </c>
      <c r="E2050" s="22" t="s">
        <v>31</v>
      </c>
      <c r="F2050" s="22">
        <v>1482.354</v>
      </c>
    </row>
    <row r="2051" spans="1:6">
      <c r="A2051" s="22" t="s">
        <v>6012</v>
      </c>
      <c r="B2051" s="22" t="s">
        <v>6013</v>
      </c>
      <c r="C2051" s="22" t="s">
        <v>6014</v>
      </c>
      <c r="D2051" s="22" t="s">
        <v>9</v>
      </c>
      <c r="E2051" s="22" t="s">
        <v>39</v>
      </c>
    </row>
    <row r="2052" spans="1:6">
      <c r="A2052" s="22" t="s">
        <v>6015</v>
      </c>
      <c r="B2052" s="22" t="s">
        <v>6016</v>
      </c>
      <c r="C2052" s="22" t="s">
        <v>6017</v>
      </c>
      <c r="D2052" s="22" t="s">
        <v>9</v>
      </c>
      <c r="E2052" s="22" t="s">
        <v>31</v>
      </c>
      <c r="F2052" s="22">
        <v>1862.793</v>
      </c>
    </row>
    <row r="2053" spans="1:6">
      <c r="A2053" s="22" t="s">
        <v>6018</v>
      </c>
      <c r="B2053" s="22" t="s">
        <v>6019</v>
      </c>
      <c r="C2053" s="22" t="s">
        <v>6020</v>
      </c>
      <c r="D2053" s="22" t="s">
        <v>9</v>
      </c>
      <c r="E2053" s="22" t="s">
        <v>27</v>
      </c>
      <c r="F2053" s="22">
        <v>66.011</v>
      </c>
    </row>
    <row r="2054" spans="1:6">
      <c r="A2054" s="22" t="s">
        <v>6021</v>
      </c>
      <c r="B2054" s="22" t="s">
        <v>6022</v>
      </c>
      <c r="C2054" s="22" t="s">
        <v>6023</v>
      </c>
      <c r="D2054" s="22" t="s">
        <v>9</v>
      </c>
      <c r="E2054" s="22" t="s">
        <v>50</v>
      </c>
      <c r="F2054" s="22">
        <v>596.954</v>
      </c>
    </row>
    <row r="2055" spans="1:6">
      <c r="A2055" s="22" t="s">
        <v>6024</v>
      </c>
      <c r="B2055" s="22" t="s">
        <v>4481</v>
      </c>
      <c r="C2055" s="22" t="s">
        <v>6025</v>
      </c>
      <c r="D2055" s="22" t="s">
        <v>9</v>
      </c>
      <c r="E2055" s="22" t="s">
        <v>27</v>
      </c>
      <c r="F2055" s="22">
        <v>3803.729</v>
      </c>
    </row>
    <row r="2056" spans="1:6">
      <c r="A2056" s="22" t="s">
        <v>6026</v>
      </c>
      <c r="B2056" s="22" t="s">
        <v>2227</v>
      </c>
      <c r="C2056" s="22" t="s">
        <v>6027</v>
      </c>
      <c r="D2056" s="22" t="s">
        <v>9</v>
      </c>
      <c r="E2056" s="22" t="s">
        <v>31</v>
      </c>
      <c r="F2056" s="22">
        <v>1.2</v>
      </c>
    </row>
    <row r="2057" spans="1:6">
      <c r="A2057" s="22" t="s">
        <v>6028</v>
      </c>
      <c r="B2057" s="22" t="s">
        <v>6029</v>
      </c>
      <c r="C2057" s="22" t="s">
        <v>6030</v>
      </c>
      <c r="D2057" s="22" t="s">
        <v>9</v>
      </c>
      <c r="E2057" s="22" t="s">
        <v>23</v>
      </c>
      <c r="F2057" s="22">
        <v>1328.776</v>
      </c>
    </row>
    <row r="2058" spans="1:6">
      <c r="A2058" s="22" t="s">
        <v>6031</v>
      </c>
      <c r="B2058" s="22" t="s">
        <v>1754</v>
      </c>
      <c r="C2058" s="22" t="s">
        <v>6032</v>
      </c>
      <c r="D2058" s="22" t="s">
        <v>9</v>
      </c>
      <c r="E2058" s="22" t="s">
        <v>27</v>
      </c>
      <c r="F2058" s="22">
        <v>7879.856</v>
      </c>
    </row>
    <row r="2059" spans="1:6">
      <c r="A2059" s="22" t="s">
        <v>6033</v>
      </c>
      <c r="B2059" s="22" t="s">
        <v>6034</v>
      </c>
      <c r="C2059" s="22" t="s">
        <v>6035</v>
      </c>
      <c r="D2059" s="22" t="s">
        <v>9</v>
      </c>
      <c r="E2059" s="22" t="s">
        <v>23</v>
      </c>
      <c r="F2059" s="22">
        <v>110.721</v>
      </c>
    </row>
    <row r="2060" spans="1:6">
      <c r="A2060" s="22" t="s">
        <v>6036</v>
      </c>
      <c r="B2060" s="22" t="s">
        <v>759</v>
      </c>
      <c r="C2060" s="22" t="s">
        <v>6037</v>
      </c>
      <c r="D2060" s="22" t="s">
        <v>9</v>
      </c>
      <c r="E2060" s="22" t="s">
        <v>31</v>
      </c>
      <c r="F2060" s="22">
        <v>6.717</v>
      </c>
    </row>
    <row r="2061" spans="1:6">
      <c r="A2061" s="22" t="s">
        <v>6038</v>
      </c>
      <c r="B2061" s="22" t="s">
        <v>6039</v>
      </c>
      <c r="C2061" s="22" t="s">
        <v>6040</v>
      </c>
      <c r="D2061" s="22" t="s">
        <v>9</v>
      </c>
      <c r="E2061" s="22" t="s">
        <v>40</v>
      </c>
      <c r="F2061" s="22">
        <v>31.146</v>
      </c>
    </row>
    <row r="2062" spans="1:6">
      <c r="A2062" s="22" t="s">
        <v>6041</v>
      </c>
      <c r="B2062" s="22" t="s">
        <v>6042</v>
      </c>
      <c r="C2062" s="22" t="s">
        <v>6043</v>
      </c>
      <c r="D2062" s="22" t="s">
        <v>9</v>
      </c>
      <c r="E2062" s="22" t="s">
        <v>23</v>
      </c>
      <c r="F2062" s="22">
        <v>1795.67</v>
      </c>
    </row>
    <row r="2063" spans="1:6">
      <c r="A2063" s="22" t="s">
        <v>6044</v>
      </c>
      <c r="B2063" s="22" t="s">
        <v>1323</v>
      </c>
      <c r="C2063" s="22" t="s">
        <v>6045</v>
      </c>
      <c r="D2063" s="22" t="s">
        <v>9</v>
      </c>
      <c r="E2063" s="22" t="s">
        <v>23</v>
      </c>
      <c r="F2063" s="22">
        <v>777.472</v>
      </c>
    </row>
    <row r="2064" spans="1:6">
      <c r="A2064" s="22" t="s">
        <v>6046</v>
      </c>
      <c r="B2064" s="22" t="s">
        <v>6047</v>
      </c>
      <c r="C2064" s="22" t="s">
        <v>6048</v>
      </c>
      <c r="D2064" s="22" t="s">
        <v>9</v>
      </c>
      <c r="E2064" s="22" t="s">
        <v>27</v>
      </c>
      <c r="F2064" s="22">
        <v>63.763</v>
      </c>
    </row>
    <row r="2065" spans="1:6">
      <c r="A2065" s="22" t="s">
        <v>6049</v>
      </c>
      <c r="B2065" s="22" t="s">
        <v>6050</v>
      </c>
      <c r="C2065" s="22" t="s">
        <v>6051</v>
      </c>
      <c r="D2065" s="22" t="s">
        <v>9</v>
      </c>
      <c r="E2065" s="22" t="s">
        <v>70</v>
      </c>
      <c r="F2065" s="22">
        <v>152.611</v>
      </c>
    </row>
    <row r="2066" spans="1:6">
      <c r="A2066" s="22" t="s">
        <v>6052</v>
      </c>
      <c r="B2066" s="22" t="s">
        <v>6053</v>
      </c>
      <c r="C2066" s="22" t="s">
        <v>6054</v>
      </c>
      <c r="D2066" s="22" t="s">
        <v>9</v>
      </c>
      <c r="E2066" s="22" t="s">
        <v>50</v>
      </c>
      <c r="F2066" s="22">
        <v>179.874</v>
      </c>
    </row>
    <row r="2067" spans="1:6">
      <c r="A2067" s="22" t="s">
        <v>6055</v>
      </c>
      <c r="B2067" s="22" t="s">
        <v>6056</v>
      </c>
      <c r="C2067" s="22" t="s">
        <v>6057</v>
      </c>
      <c r="D2067" s="22" t="s">
        <v>9</v>
      </c>
      <c r="E2067" s="22" t="s">
        <v>50</v>
      </c>
      <c r="F2067" s="22">
        <v>2355.495</v>
      </c>
    </row>
    <row r="2068" spans="1:6">
      <c r="A2068" s="22" t="s">
        <v>6058</v>
      </c>
      <c r="B2068" s="22" t="s">
        <v>6059</v>
      </c>
      <c r="C2068" s="22" t="s">
        <v>6060</v>
      </c>
      <c r="D2068" s="22" t="s">
        <v>9</v>
      </c>
      <c r="E2068" s="22" t="s">
        <v>50</v>
      </c>
      <c r="F2068" s="22">
        <v>2.726</v>
      </c>
    </row>
    <row r="2069" spans="1:6">
      <c r="A2069" s="22" t="s">
        <v>6061</v>
      </c>
      <c r="B2069" s="22" t="s">
        <v>6062</v>
      </c>
      <c r="C2069" s="22" t="s">
        <v>6063</v>
      </c>
      <c r="D2069" s="22" t="s">
        <v>9</v>
      </c>
      <c r="E2069" s="22" t="s">
        <v>27</v>
      </c>
      <c r="F2069" s="22">
        <v>734.156</v>
      </c>
    </row>
    <row r="2070" spans="1:6">
      <c r="A2070" s="22" t="s">
        <v>6064</v>
      </c>
      <c r="B2070" s="22" t="s">
        <v>2665</v>
      </c>
      <c r="C2070" s="22" t="s">
        <v>6065</v>
      </c>
      <c r="D2070" s="22" t="s">
        <v>9</v>
      </c>
      <c r="E2070" s="22" t="s">
        <v>27</v>
      </c>
      <c r="F2070" s="22">
        <v>254.183</v>
      </c>
    </row>
    <row r="2071" spans="1:6">
      <c r="A2071" s="22" t="s">
        <v>6066</v>
      </c>
      <c r="B2071" s="22" t="s">
        <v>6067</v>
      </c>
      <c r="C2071" s="22" t="s">
        <v>6068</v>
      </c>
      <c r="D2071" s="22" t="s">
        <v>9</v>
      </c>
      <c r="E2071" s="22" t="s">
        <v>40</v>
      </c>
      <c r="F2071" s="22">
        <v>8777.329</v>
      </c>
    </row>
    <row r="2072" spans="1:6">
      <c r="A2072" s="22" t="s">
        <v>6069</v>
      </c>
      <c r="B2072" s="22" t="s">
        <v>6070</v>
      </c>
      <c r="C2072" s="22" t="s">
        <v>6071</v>
      </c>
      <c r="D2072" s="22" t="s">
        <v>9</v>
      </c>
      <c r="E2072" s="22" t="s">
        <v>23</v>
      </c>
      <c r="F2072" s="22">
        <v>302.392</v>
      </c>
    </row>
    <row r="2073" spans="1:6">
      <c r="A2073" s="22" t="s">
        <v>6072</v>
      </c>
      <c r="B2073" s="22" t="s">
        <v>6073</v>
      </c>
      <c r="C2073" s="22" t="s">
        <v>6074</v>
      </c>
      <c r="D2073" s="22" t="s">
        <v>9</v>
      </c>
      <c r="E2073" s="22" t="s">
        <v>31</v>
      </c>
      <c r="F2073" s="22">
        <v>3355.914</v>
      </c>
    </row>
    <row r="2074" spans="1:6">
      <c r="A2074" s="22" t="s">
        <v>6075</v>
      </c>
      <c r="B2074" s="22" t="s">
        <v>6076</v>
      </c>
      <c r="C2074" s="22" t="s">
        <v>6077</v>
      </c>
      <c r="D2074" s="22" t="s">
        <v>9</v>
      </c>
      <c r="E2074" s="22" t="s">
        <v>27</v>
      </c>
      <c r="F2074" s="22">
        <v>94.696</v>
      </c>
    </row>
    <row r="2075" spans="1:6">
      <c r="A2075" s="22" t="s">
        <v>6078</v>
      </c>
      <c r="B2075" s="22" t="s">
        <v>6079</v>
      </c>
      <c r="C2075" s="22" t="s">
        <v>6080</v>
      </c>
      <c r="D2075" s="22" t="s">
        <v>9</v>
      </c>
      <c r="E2075" s="22" t="s">
        <v>50</v>
      </c>
      <c r="F2075" s="22">
        <v>263.869</v>
      </c>
    </row>
    <row r="2076" spans="1:6">
      <c r="A2076" s="22" t="s">
        <v>6081</v>
      </c>
      <c r="B2076" s="22" t="s">
        <v>6082</v>
      </c>
      <c r="C2076" s="22" t="s">
        <v>6083</v>
      </c>
      <c r="D2076" s="22" t="s">
        <v>9</v>
      </c>
      <c r="E2076" s="22" t="s">
        <v>14</v>
      </c>
      <c r="F2076" s="22">
        <v>74.822</v>
      </c>
    </row>
    <row r="2077" spans="1:6">
      <c r="A2077" s="22" t="s">
        <v>6084</v>
      </c>
      <c r="B2077" s="22" t="s">
        <v>6085</v>
      </c>
      <c r="C2077" s="22" t="s">
        <v>6086</v>
      </c>
      <c r="D2077" s="22" t="s">
        <v>9</v>
      </c>
      <c r="E2077" s="22" t="s">
        <v>14</v>
      </c>
      <c r="F2077" s="22">
        <v>91.092</v>
      </c>
    </row>
    <row r="2078" spans="1:6">
      <c r="A2078" s="22" t="s">
        <v>6087</v>
      </c>
      <c r="B2078" s="22" t="s">
        <v>6088</v>
      </c>
      <c r="C2078" s="22" t="s">
        <v>6089</v>
      </c>
      <c r="D2078" s="22" t="s">
        <v>9</v>
      </c>
      <c r="E2078" s="22" t="s">
        <v>23</v>
      </c>
      <c r="F2078" s="22">
        <v>17690.111</v>
      </c>
    </row>
    <row r="2079" spans="1:6">
      <c r="A2079" s="22" t="s">
        <v>6090</v>
      </c>
      <c r="B2079" s="22" t="s">
        <v>6091</v>
      </c>
      <c r="C2079" s="22" t="s">
        <v>6092</v>
      </c>
      <c r="D2079" s="22" t="s">
        <v>9</v>
      </c>
      <c r="E2079" s="22" t="s">
        <v>23</v>
      </c>
      <c r="F2079" s="22">
        <v>443.316</v>
      </c>
    </row>
    <row r="2080" spans="1:6">
      <c r="A2080" s="22" t="s">
        <v>6093</v>
      </c>
      <c r="B2080" s="22" t="s">
        <v>6094</v>
      </c>
      <c r="C2080" s="22" t="s">
        <v>6095</v>
      </c>
      <c r="D2080" s="22" t="s">
        <v>9</v>
      </c>
      <c r="E2080" s="22" t="s">
        <v>50</v>
      </c>
      <c r="F2080" s="22">
        <v>61.067</v>
      </c>
    </row>
    <row r="2081" spans="1:6">
      <c r="A2081" s="22" t="s">
        <v>6096</v>
      </c>
      <c r="B2081" s="22" t="s">
        <v>6097</v>
      </c>
      <c r="C2081" s="22" t="s">
        <v>6098</v>
      </c>
      <c r="D2081" s="22" t="s">
        <v>9</v>
      </c>
      <c r="E2081" s="22" t="s">
        <v>14</v>
      </c>
      <c r="F2081" s="22">
        <v>76.686</v>
      </c>
    </row>
    <row r="2082" spans="1:6">
      <c r="A2082" s="22" t="s">
        <v>6099</v>
      </c>
      <c r="B2082" s="22" t="s">
        <v>6100</v>
      </c>
      <c r="C2082" s="22" t="s">
        <v>6101</v>
      </c>
      <c r="D2082" s="22" t="s">
        <v>9</v>
      </c>
      <c r="E2082" s="22" t="s">
        <v>27</v>
      </c>
      <c r="F2082" s="22">
        <v>102.533</v>
      </c>
    </row>
    <row r="2083" spans="1:6">
      <c r="A2083" s="22" t="s">
        <v>6102</v>
      </c>
      <c r="B2083" s="22" t="s">
        <v>6103</v>
      </c>
      <c r="C2083" s="22" t="s">
        <v>6104</v>
      </c>
      <c r="D2083" s="22" t="s">
        <v>9</v>
      </c>
      <c r="E2083" s="22" t="s">
        <v>23</v>
      </c>
      <c r="F2083" s="22">
        <v>8.91</v>
      </c>
    </row>
    <row r="2084" spans="1:6">
      <c r="A2084" s="22" t="s">
        <v>6105</v>
      </c>
      <c r="B2084" s="22" t="s">
        <v>6106</v>
      </c>
      <c r="C2084" s="22" t="s">
        <v>6107</v>
      </c>
      <c r="D2084" s="22" t="s">
        <v>9</v>
      </c>
      <c r="E2084" s="22" t="s">
        <v>14</v>
      </c>
      <c r="F2084" s="22">
        <v>105.717</v>
      </c>
    </row>
    <row r="2085" spans="1:6">
      <c r="A2085" s="22" t="s">
        <v>6108</v>
      </c>
      <c r="B2085" s="22" t="s">
        <v>6109</v>
      </c>
      <c r="C2085" s="22" t="s">
        <v>6110</v>
      </c>
      <c r="D2085" s="22" t="s">
        <v>9</v>
      </c>
      <c r="E2085" s="22" t="s">
        <v>40</v>
      </c>
      <c r="F2085" s="22">
        <v>5.08</v>
      </c>
    </row>
    <row r="2086" spans="1:6">
      <c r="A2086" s="22" t="s">
        <v>6111</v>
      </c>
      <c r="B2086" s="22" t="s">
        <v>6112</v>
      </c>
      <c r="C2086" s="22" t="s">
        <v>6113</v>
      </c>
      <c r="D2086" s="22" t="s">
        <v>9</v>
      </c>
      <c r="E2086" s="22" t="s">
        <v>40</v>
      </c>
      <c r="F2086" s="22">
        <v>50.051</v>
      </c>
    </row>
    <row r="2087" spans="1:6">
      <c r="A2087" s="22" t="s">
        <v>6114</v>
      </c>
      <c r="B2087" s="22" t="s">
        <v>6115</v>
      </c>
      <c r="C2087" s="22" t="s">
        <v>6116</v>
      </c>
      <c r="D2087" s="22" t="s">
        <v>9</v>
      </c>
      <c r="E2087" s="22" t="s">
        <v>57</v>
      </c>
      <c r="F2087" s="22">
        <v>20.45</v>
      </c>
    </row>
    <row r="2088" spans="1:6">
      <c r="A2088" s="22" t="s">
        <v>6117</v>
      </c>
      <c r="B2088" s="22" t="s">
        <v>6118</v>
      </c>
      <c r="C2088" s="22" t="s">
        <v>5050</v>
      </c>
      <c r="D2088" s="22" t="s">
        <v>9</v>
      </c>
      <c r="E2088" s="22" t="s">
        <v>27</v>
      </c>
      <c r="F2088" s="22">
        <v>514.692</v>
      </c>
    </row>
    <row r="2089" spans="1:6">
      <c r="A2089" s="22" t="s">
        <v>6119</v>
      </c>
      <c r="B2089" s="22" t="s">
        <v>6120</v>
      </c>
      <c r="C2089" s="22" t="s">
        <v>6121</v>
      </c>
      <c r="D2089" s="22" t="s">
        <v>9</v>
      </c>
      <c r="E2089" s="22" t="s">
        <v>23</v>
      </c>
      <c r="F2089" s="22">
        <v>38900.09</v>
      </c>
    </row>
    <row r="2090" spans="1:6">
      <c r="A2090" s="22" t="s">
        <v>6122</v>
      </c>
      <c r="B2090" s="22" t="s">
        <v>5641</v>
      </c>
      <c r="C2090" s="22" t="s">
        <v>6123</v>
      </c>
      <c r="D2090" s="22" t="s">
        <v>9</v>
      </c>
      <c r="E2090" s="22" t="s">
        <v>31</v>
      </c>
      <c r="F2090" s="22">
        <v>58.133</v>
      </c>
    </row>
    <row r="2091" spans="1:6">
      <c r="A2091" s="22" t="s">
        <v>6124</v>
      </c>
      <c r="B2091" s="22" t="s">
        <v>6125</v>
      </c>
      <c r="C2091" s="22" t="s">
        <v>6126</v>
      </c>
      <c r="D2091" s="22" t="s">
        <v>9</v>
      </c>
      <c r="E2091" s="22" t="s">
        <v>66</v>
      </c>
      <c r="F2091" s="22">
        <v>59.762</v>
      </c>
    </row>
    <row r="2092" spans="1:6">
      <c r="A2092" s="22" t="s">
        <v>6127</v>
      </c>
      <c r="B2092" s="22" t="s">
        <v>1323</v>
      </c>
      <c r="C2092" s="22" t="s">
        <v>1808</v>
      </c>
      <c r="D2092" s="22" t="s">
        <v>9</v>
      </c>
      <c r="E2092" s="22" t="s">
        <v>27</v>
      </c>
      <c r="F2092" s="22">
        <v>593.794</v>
      </c>
    </row>
    <row r="2093" spans="1:6">
      <c r="A2093" s="22" t="s">
        <v>6128</v>
      </c>
      <c r="B2093" s="22" t="s">
        <v>6129</v>
      </c>
      <c r="C2093" s="22" t="s">
        <v>6130</v>
      </c>
      <c r="D2093" s="22" t="s">
        <v>9</v>
      </c>
      <c r="E2093" s="22" t="s">
        <v>27</v>
      </c>
      <c r="F2093" s="22">
        <v>281.215</v>
      </c>
    </row>
    <row r="2094" spans="1:6">
      <c r="A2094" s="22" t="s">
        <v>6131</v>
      </c>
      <c r="B2094" s="22" t="s">
        <v>6132</v>
      </c>
      <c r="C2094" s="22" t="s">
        <v>6133</v>
      </c>
      <c r="D2094" s="22" t="s">
        <v>9</v>
      </c>
      <c r="E2094" s="22" t="s">
        <v>35</v>
      </c>
      <c r="F2094" s="22">
        <v>29.699</v>
      </c>
    </row>
    <row r="2095" spans="1:6">
      <c r="A2095" s="22" t="s">
        <v>6134</v>
      </c>
      <c r="B2095" s="22" t="s">
        <v>3223</v>
      </c>
      <c r="C2095" s="22" t="s">
        <v>6135</v>
      </c>
      <c r="D2095" s="22" t="s">
        <v>9</v>
      </c>
      <c r="E2095" s="22" t="s">
        <v>23</v>
      </c>
      <c r="F2095" s="22">
        <v>25.775</v>
      </c>
    </row>
    <row r="2096" spans="1:6">
      <c r="A2096" s="22" t="s">
        <v>6136</v>
      </c>
      <c r="B2096" s="22" t="s">
        <v>6137</v>
      </c>
      <c r="C2096" s="22" t="s">
        <v>6138</v>
      </c>
      <c r="D2096" s="22" t="s">
        <v>9</v>
      </c>
      <c r="E2096" s="22" t="s">
        <v>23</v>
      </c>
      <c r="F2096" s="22">
        <v>32.935</v>
      </c>
    </row>
    <row r="2097" spans="1:6">
      <c r="A2097" s="22" t="s">
        <v>6139</v>
      </c>
      <c r="B2097" s="22" t="s">
        <v>3369</v>
      </c>
      <c r="C2097" s="22" t="s">
        <v>6140</v>
      </c>
      <c r="D2097" s="22" t="s">
        <v>9</v>
      </c>
      <c r="E2097" s="22" t="s">
        <v>101</v>
      </c>
      <c r="F2097" s="22">
        <v>312.61</v>
      </c>
    </row>
    <row r="2098" spans="1:6">
      <c r="A2098" s="22" t="s">
        <v>6141</v>
      </c>
      <c r="B2098" s="22" t="s">
        <v>6142</v>
      </c>
      <c r="C2098" s="22" t="s">
        <v>6143</v>
      </c>
      <c r="D2098" s="22" t="s">
        <v>9</v>
      </c>
      <c r="E2098" s="22" t="s">
        <v>27</v>
      </c>
      <c r="F2098" s="22">
        <v>9458.581</v>
      </c>
    </row>
    <row r="2099" spans="1:6">
      <c r="A2099" s="22" t="s">
        <v>6144</v>
      </c>
      <c r="B2099" s="22" t="s">
        <v>6145</v>
      </c>
      <c r="C2099" s="22" t="s">
        <v>6146</v>
      </c>
      <c r="D2099" s="22" t="s">
        <v>9</v>
      </c>
      <c r="E2099" s="22" t="s">
        <v>50</v>
      </c>
      <c r="F2099" s="22">
        <v>42.255</v>
      </c>
    </row>
    <row r="2100" spans="1:6">
      <c r="A2100" s="22" t="s">
        <v>6147</v>
      </c>
      <c r="B2100" s="22" t="s">
        <v>6148</v>
      </c>
      <c r="C2100" s="22" t="s">
        <v>6149</v>
      </c>
      <c r="D2100" s="22" t="s">
        <v>9</v>
      </c>
      <c r="E2100" s="22" t="s">
        <v>27</v>
      </c>
      <c r="F2100" s="22">
        <v>140.541</v>
      </c>
    </row>
    <row r="2101" spans="1:6">
      <c r="A2101" s="22" t="s">
        <v>6150</v>
      </c>
      <c r="B2101" s="22" t="s">
        <v>6151</v>
      </c>
      <c r="C2101" s="22" t="s">
        <v>6152</v>
      </c>
      <c r="D2101" s="22" t="s">
        <v>9</v>
      </c>
      <c r="E2101" s="22" t="s">
        <v>27</v>
      </c>
      <c r="F2101" s="22">
        <v>49.51</v>
      </c>
    </row>
    <row r="2102" spans="1:6">
      <c r="A2102" s="22" t="s">
        <v>6153</v>
      </c>
      <c r="B2102" s="22" t="s">
        <v>6154</v>
      </c>
      <c r="C2102" s="22" t="s">
        <v>6155</v>
      </c>
      <c r="D2102" s="22" t="s">
        <v>9</v>
      </c>
      <c r="E2102" s="22" t="s">
        <v>27</v>
      </c>
      <c r="F2102" s="22">
        <v>658.596</v>
      </c>
    </row>
    <row r="2103" spans="1:6">
      <c r="A2103" s="22" t="s">
        <v>6156</v>
      </c>
      <c r="B2103" s="22" t="s">
        <v>2665</v>
      </c>
      <c r="C2103" s="22" t="s">
        <v>6157</v>
      </c>
      <c r="D2103" s="22" t="s">
        <v>9</v>
      </c>
      <c r="E2103" s="22" t="s">
        <v>27</v>
      </c>
      <c r="F2103" s="22">
        <v>25.338</v>
      </c>
    </row>
    <row r="2104" spans="1:6">
      <c r="A2104" s="22" t="s">
        <v>6158</v>
      </c>
      <c r="B2104" s="22" t="s">
        <v>6159</v>
      </c>
      <c r="C2104" s="22" t="s">
        <v>6160</v>
      </c>
      <c r="D2104" s="22" t="s">
        <v>9</v>
      </c>
      <c r="E2104" s="22" t="s">
        <v>50</v>
      </c>
      <c r="F2104" s="22">
        <v>2.376</v>
      </c>
    </row>
    <row r="2105" spans="1:6">
      <c r="A2105" s="22" t="s">
        <v>6161</v>
      </c>
      <c r="B2105" s="22" t="s">
        <v>6162</v>
      </c>
      <c r="C2105" s="22" t="s">
        <v>6163</v>
      </c>
      <c r="D2105" s="22" t="s">
        <v>9</v>
      </c>
      <c r="E2105" s="22" t="s">
        <v>23</v>
      </c>
      <c r="F2105" s="22">
        <v>9388.071</v>
      </c>
    </row>
    <row r="2106" spans="1:6">
      <c r="A2106" s="22" t="s">
        <v>6164</v>
      </c>
      <c r="B2106" s="22" t="s">
        <v>1241</v>
      </c>
      <c r="C2106" s="22" t="s">
        <v>6165</v>
      </c>
      <c r="D2106" s="22" t="s">
        <v>9</v>
      </c>
      <c r="E2106" s="22" t="s">
        <v>27</v>
      </c>
      <c r="F2106" s="22">
        <v>17.305</v>
      </c>
    </row>
    <row r="2107" spans="1:6">
      <c r="A2107" s="22" t="s">
        <v>6166</v>
      </c>
      <c r="B2107" s="22" t="s">
        <v>6167</v>
      </c>
      <c r="C2107" s="22" t="s">
        <v>6168</v>
      </c>
      <c r="D2107" s="22" t="s">
        <v>9</v>
      </c>
      <c r="E2107" s="22" t="s">
        <v>23</v>
      </c>
      <c r="F2107" s="22">
        <v>417.657</v>
      </c>
    </row>
    <row r="2108" spans="1:6">
      <c r="A2108" s="22" t="s">
        <v>6169</v>
      </c>
      <c r="B2108" s="22" t="s">
        <v>6170</v>
      </c>
      <c r="C2108" s="22" t="s">
        <v>6171</v>
      </c>
      <c r="D2108" s="22" t="s">
        <v>9</v>
      </c>
      <c r="E2108" s="22" t="s">
        <v>27</v>
      </c>
      <c r="F2108" s="22">
        <v>178.589</v>
      </c>
    </row>
    <row r="2109" spans="1:6">
      <c r="A2109" s="22" t="s">
        <v>6172</v>
      </c>
      <c r="B2109" s="22" t="s">
        <v>3788</v>
      </c>
      <c r="C2109" s="22" t="s">
        <v>6173</v>
      </c>
      <c r="D2109" s="22" t="s">
        <v>9</v>
      </c>
      <c r="E2109" s="22" t="s">
        <v>57</v>
      </c>
      <c r="F2109" s="22">
        <v>21.928</v>
      </c>
    </row>
    <row r="2110" spans="1:6">
      <c r="A2110" s="22" t="s">
        <v>6174</v>
      </c>
      <c r="B2110" s="22" t="s">
        <v>6175</v>
      </c>
      <c r="C2110" s="22" t="s">
        <v>6176</v>
      </c>
      <c r="D2110" s="22" t="s">
        <v>9</v>
      </c>
      <c r="E2110" s="22" t="s">
        <v>27</v>
      </c>
      <c r="F2110" s="22">
        <v>67.349</v>
      </c>
    </row>
    <row r="2111" spans="1:6">
      <c r="A2111" s="22" t="s">
        <v>6177</v>
      </c>
      <c r="B2111" s="22" t="s">
        <v>6178</v>
      </c>
      <c r="C2111" s="22" t="s">
        <v>6179</v>
      </c>
      <c r="D2111" s="22" t="s">
        <v>9</v>
      </c>
      <c r="E2111" s="22" t="s">
        <v>40</v>
      </c>
      <c r="F2111" s="22">
        <v>571.878</v>
      </c>
    </row>
    <row r="2112" spans="1:6">
      <c r="A2112" s="22" t="s">
        <v>6180</v>
      </c>
      <c r="B2112" s="22" t="s">
        <v>414</v>
      </c>
      <c r="C2112" s="22" t="s">
        <v>6181</v>
      </c>
      <c r="D2112" s="22" t="s">
        <v>9</v>
      </c>
      <c r="E2112" s="22" t="s">
        <v>23</v>
      </c>
      <c r="F2112" s="22">
        <v>51.902</v>
      </c>
    </row>
    <row r="2113" spans="1:6">
      <c r="A2113" s="22" t="s">
        <v>6182</v>
      </c>
      <c r="B2113" s="22" t="s">
        <v>456</v>
      </c>
      <c r="C2113" s="22" t="s">
        <v>6183</v>
      </c>
      <c r="D2113" s="22" t="s">
        <v>9</v>
      </c>
      <c r="E2113" s="22" t="s">
        <v>27</v>
      </c>
      <c r="F2113" s="22">
        <v>505.005</v>
      </c>
    </row>
    <row r="2114" spans="1:6">
      <c r="A2114" s="22" t="s">
        <v>6184</v>
      </c>
      <c r="B2114" s="22" t="s">
        <v>6185</v>
      </c>
      <c r="C2114" s="22" t="s">
        <v>6186</v>
      </c>
      <c r="D2114" s="22" t="s">
        <v>9</v>
      </c>
      <c r="E2114" s="22" t="s">
        <v>23</v>
      </c>
      <c r="F2114" s="22">
        <v>131.536</v>
      </c>
    </row>
    <row r="2115" spans="1:6">
      <c r="A2115" s="22" t="s">
        <v>6187</v>
      </c>
      <c r="B2115" s="22" t="s">
        <v>6188</v>
      </c>
      <c r="C2115" s="22" t="s">
        <v>6189</v>
      </c>
      <c r="D2115" s="22" t="s">
        <v>9</v>
      </c>
      <c r="E2115" s="22" t="s">
        <v>40</v>
      </c>
      <c r="F2115" s="22">
        <v>469.898</v>
      </c>
    </row>
    <row r="2116" spans="1:6">
      <c r="A2116" s="22" t="s">
        <v>6190</v>
      </c>
      <c r="B2116" s="22" t="s">
        <v>6191</v>
      </c>
      <c r="C2116" s="22" t="s">
        <v>6192</v>
      </c>
      <c r="D2116" s="22" t="s">
        <v>9</v>
      </c>
      <c r="E2116" s="22" t="s">
        <v>50</v>
      </c>
      <c r="F2116" s="22">
        <v>698.706</v>
      </c>
    </row>
    <row r="2117" spans="1:6">
      <c r="A2117" s="22" t="s">
        <v>6193</v>
      </c>
      <c r="B2117" s="22" t="s">
        <v>6194</v>
      </c>
      <c r="C2117" s="22" t="s">
        <v>6195</v>
      </c>
      <c r="D2117" s="22" t="s">
        <v>9</v>
      </c>
      <c r="E2117" s="22" t="s">
        <v>23</v>
      </c>
      <c r="F2117" s="22">
        <v>12772.132</v>
      </c>
    </row>
    <row r="2118" spans="1:6">
      <c r="A2118" s="22" t="s">
        <v>6196</v>
      </c>
      <c r="B2118" s="22" t="s">
        <v>6197</v>
      </c>
      <c r="C2118" s="22" t="s">
        <v>6198</v>
      </c>
      <c r="D2118" s="22" t="s">
        <v>9</v>
      </c>
      <c r="E2118" s="22" t="s">
        <v>14</v>
      </c>
      <c r="F2118" s="22">
        <v>26.717</v>
      </c>
    </row>
    <row r="2119" spans="1:6">
      <c r="A2119" s="22" t="s">
        <v>6199</v>
      </c>
      <c r="B2119" s="22" t="s">
        <v>6200</v>
      </c>
      <c r="C2119" s="22" t="s">
        <v>6201</v>
      </c>
      <c r="D2119" s="22" t="s">
        <v>9</v>
      </c>
      <c r="E2119" s="22" t="s">
        <v>50</v>
      </c>
      <c r="F2119" s="22">
        <v>244.02</v>
      </c>
    </row>
    <row r="2120" spans="1:6">
      <c r="A2120" s="22" t="s">
        <v>6202</v>
      </c>
      <c r="B2120" s="22" t="s">
        <v>5229</v>
      </c>
      <c r="C2120" s="22" t="s">
        <v>6203</v>
      </c>
      <c r="D2120" s="22" t="s">
        <v>9</v>
      </c>
      <c r="E2120" s="22" t="s">
        <v>27</v>
      </c>
      <c r="F2120" s="22">
        <v>396.865</v>
      </c>
    </row>
    <row r="2121" spans="1:6">
      <c r="A2121" s="22" t="s">
        <v>6204</v>
      </c>
      <c r="B2121" s="22" t="s">
        <v>6205</v>
      </c>
      <c r="C2121" s="22" t="s">
        <v>6206</v>
      </c>
      <c r="D2121" s="22" t="s">
        <v>9</v>
      </c>
      <c r="E2121" s="22" t="s">
        <v>14</v>
      </c>
      <c r="F2121" s="22">
        <v>29.852</v>
      </c>
    </row>
    <row r="2122" spans="1:6">
      <c r="A2122" s="22" t="s">
        <v>6207</v>
      </c>
      <c r="B2122" s="22" t="s">
        <v>6208</v>
      </c>
      <c r="C2122" s="22" t="s">
        <v>6209</v>
      </c>
      <c r="D2122" s="22" t="s">
        <v>9</v>
      </c>
      <c r="E2122" s="22" t="s">
        <v>31</v>
      </c>
      <c r="F2122" s="22">
        <v>763.838</v>
      </c>
    </row>
    <row r="2123" spans="1:6">
      <c r="A2123" s="22" t="s">
        <v>6210</v>
      </c>
      <c r="B2123" s="22" t="s">
        <v>6211</v>
      </c>
      <c r="C2123" s="22" t="s">
        <v>6212</v>
      </c>
      <c r="D2123" s="22" t="s">
        <v>9</v>
      </c>
      <c r="E2123" s="22" t="s">
        <v>27</v>
      </c>
      <c r="F2123" s="22">
        <v>41.043</v>
      </c>
    </row>
    <row r="2124" spans="1:6">
      <c r="A2124" s="22" t="s">
        <v>6213</v>
      </c>
      <c r="B2124" s="22" t="s">
        <v>6214</v>
      </c>
      <c r="C2124" s="22" t="s">
        <v>6215</v>
      </c>
      <c r="D2124" s="22" t="s">
        <v>9</v>
      </c>
      <c r="E2124" s="22" t="s">
        <v>40</v>
      </c>
      <c r="F2124" s="22">
        <v>11.317</v>
      </c>
    </row>
    <row r="2125" spans="1:6">
      <c r="A2125" s="22" t="s">
        <v>6216</v>
      </c>
      <c r="B2125" s="22" t="s">
        <v>2445</v>
      </c>
      <c r="C2125" s="22" t="s">
        <v>6217</v>
      </c>
      <c r="D2125" s="22" t="s">
        <v>9</v>
      </c>
      <c r="E2125" s="22" t="s">
        <v>27</v>
      </c>
      <c r="F2125" s="22">
        <v>13.333</v>
      </c>
    </row>
    <row r="2126" spans="1:6">
      <c r="A2126" s="22" t="s">
        <v>6218</v>
      </c>
      <c r="B2126" s="22" t="s">
        <v>6219</v>
      </c>
      <c r="C2126" s="22" t="s">
        <v>6220</v>
      </c>
      <c r="D2126" s="22" t="s">
        <v>9</v>
      </c>
      <c r="E2126" s="22" t="s">
        <v>35</v>
      </c>
      <c r="F2126" s="22">
        <v>79.362</v>
      </c>
    </row>
    <row r="2127" spans="1:6">
      <c r="A2127" s="22" t="s">
        <v>6221</v>
      </c>
      <c r="B2127" s="22" t="s">
        <v>6222</v>
      </c>
      <c r="C2127" s="22" t="s">
        <v>6223</v>
      </c>
      <c r="D2127" s="22" t="s">
        <v>9</v>
      </c>
      <c r="E2127" s="22" t="s">
        <v>40</v>
      </c>
      <c r="F2127" s="22">
        <v>857.833</v>
      </c>
    </row>
    <row r="2128" spans="1:6">
      <c r="A2128" s="22" t="s">
        <v>6224</v>
      </c>
      <c r="B2128" s="22" t="s">
        <v>6225</v>
      </c>
      <c r="C2128" s="22" t="s">
        <v>6226</v>
      </c>
      <c r="D2128" s="22" t="s">
        <v>9</v>
      </c>
      <c r="E2128" s="22" t="s">
        <v>31</v>
      </c>
      <c r="F2128" s="22">
        <v>232.13</v>
      </c>
    </row>
    <row r="2129" spans="1:6">
      <c r="A2129" s="22" t="s">
        <v>6227</v>
      </c>
      <c r="B2129" s="22" t="s">
        <v>2831</v>
      </c>
      <c r="C2129" s="22" t="s">
        <v>6228</v>
      </c>
      <c r="D2129" s="22" t="s">
        <v>9</v>
      </c>
      <c r="E2129" s="22" t="s">
        <v>23</v>
      </c>
      <c r="F2129" s="22">
        <v>517.749</v>
      </c>
    </row>
    <row r="2130" spans="1:6">
      <c r="A2130" s="22" t="s">
        <v>6229</v>
      </c>
      <c r="B2130" s="22" t="s">
        <v>6230</v>
      </c>
      <c r="C2130" s="22" t="s">
        <v>6231</v>
      </c>
      <c r="D2130" s="22" t="s">
        <v>9</v>
      </c>
      <c r="E2130" s="22" t="s">
        <v>57</v>
      </c>
      <c r="F2130" s="22">
        <v>6.316</v>
      </c>
    </row>
    <row r="2131" spans="1:6">
      <c r="A2131" s="22" t="s">
        <v>6232</v>
      </c>
      <c r="B2131" s="22" t="s">
        <v>6233</v>
      </c>
      <c r="C2131" s="22" t="s">
        <v>6234</v>
      </c>
      <c r="D2131" s="22" t="s">
        <v>9</v>
      </c>
      <c r="E2131" s="22" t="s">
        <v>27</v>
      </c>
      <c r="F2131" s="22">
        <v>218.709</v>
      </c>
    </row>
    <row r="2132" spans="1:6">
      <c r="A2132" s="22" t="s">
        <v>6235</v>
      </c>
      <c r="B2132" s="22" t="s">
        <v>542</v>
      </c>
      <c r="C2132" s="22" t="s">
        <v>6236</v>
      </c>
      <c r="D2132" s="22" t="s">
        <v>9</v>
      </c>
      <c r="E2132" s="22" t="s">
        <v>23</v>
      </c>
      <c r="F2132" s="22">
        <v>232.887</v>
      </c>
    </row>
    <row r="2133" spans="1:6">
      <c r="A2133" s="22" t="s">
        <v>6237</v>
      </c>
      <c r="B2133" s="22" t="s">
        <v>6238</v>
      </c>
      <c r="C2133" s="22" t="s">
        <v>6239</v>
      </c>
      <c r="D2133" s="22" t="s">
        <v>9</v>
      </c>
      <c r="E2133" s="22" t="s">
        <v>14</v>
      </c>
      <c r="F2133" s="22">
        <v>29.691</v>
      </c>
    </row>
    <row r="2134" spans="1:6">
      <c r="A2134" s="22" t="s">
        <v>6240</v>
      </c>
      <c r="B2134" s="22" t="s">
        <v>6241</v>
      </c>
      <c r="C2134" s="22" t="s">
        <v>6242</v>
      </c>
      <c r="D2134" s="22" t="s">
        <v>9</v>
      </c>
      <c r="E2134" s="22" t="s">
        <v>50</v>
      </c>
      <c r="F2134" s="22">
        <v>193.632</v>
      </c>
    </row>
    <row r="2135" spans="1:6">
      <c r="A2135" s="22" t="s">
        <v>6243</v>
      </c>
      <c r="B2135" s="22" t="s">
        <v>6244</v>
      </c>
      <c r="C2135" s="22" t="s">
        <v>6245</v>
      </c>
      <c r="D2135" s="22" t="s">
        <v>9</v>
      </c>
      <c r="E2135" s="22" t="s">
        <v>27</v>
      </c>
      <c r="F2135" s="22">
        <v>163.815</v>
      </c>
    </row>
    <row r="2136" spans="1:6">
      <c r="A2136" s="22" t="s">
        <v>6246</v>
      </c>
      <c r="B2136" s="22" t="s">
        <v>6247</v>
      </c>
      <c r="C2136" s="22" t="s">
        <v>6248</v>
      </c>
      <c r="D2136" s="22" t="s">
        <v>9</v>
      </c>
      <c r="E2136" s="22" t="s">
        <v>66</v>
      </c>
      <c r="F2136" s="22">
        <v>1.984</v>
      </c>
    </row>
    <row r="2137" spans="1:6">
      <c r="A2137" s="22" t="s">
        <v>6249</v>
      </c>
      <c r="B2137" s="22" t="s">
        <v>835</v>
      </c>
      <c r="C2137" s="22" t="s">
        <v>6250</v>
      </c>
      <c r="D2137" s="22" t="s">
        <v>9</v>
      </c>
      <c r="E2137" s="22" t="s">
        <v>23</v>
      </c>
      <c r="F2137" s="22">
        <v>419.842</v>
      </c>
    </row>
    <row r="2138" spans="1:6">
      <c r="A2138" s="22" t="s">
        <v>6251</v>
      </c>
      <c r="B2138" s="22" t="s">
        <v>6252</v>
      </c>
      <c r="C2138" s="22" t="s">
        <v>6253</v>
      </c>
      <c r="D2138" s="22" t="s">
        <v>9</v>
      </c>
      <c r="E2138" s="22" t="s">
        <v>66</v>
      </c>
      <c r="F2138" s="22">
        <v>15.678</v>
      </c>
    </row>
    <row r="2139" spans="1:6">
      <c r="A2139" s="22" t="s">
        <v>6254</v>
      </c>
      <c r="B2139" s="22" t="s">
        <v>6255</v>
      </c>
      <c r="C2139" s="22" t="s">
        <v>6256</v>
      </c>
      <c r="D2139" s="22" t="s">
        <v>9</v>
      </c>
      <c r="E2139" s="22" t="s">
        <v>61</v>
      </c>
      <c r="F2139" s="22">
        <v>53.449</v>
      </c>
    </row>
    <row r="2140" spans="1:6">
      <c r="A2140" s="22" t="s">
        <v>6257</v>
      </c>
      <c r="B2140" s="22" t="s">
        <v>6258</v>
      </c>
      <c r="C2140" s="22" t="s">
        <v>6259</v>
      </c>
      <c r="D2140" s="22" t="s">
        <v>9</v>
      </c>
      <c r="E2140" s="22" t="s">
        <v>23</v>
      </c>
      <c r="F2140" s="22">
        <v>67.195</v>
      </c>
    </row>
    <row r="2141" spans="1:6">
      <c r="A2141" s="22" t="s">
        <v>6260</v>
      </c>
      <c r="B2141" s="22" t="s">
        <v>1226</v>
      </c>
      <c r="C2141" s="22" t="s">
        <v>6261</v>
      </c>
      <c r="D2141" s="22" t="s">
        <v>9</v>
      </c>
      <c r="E2141" s="22" t="s">
        <v>23</v>
      </c>
      <c r="F2141" s="22">
        <v>513.856</v>
      </c>
    </row>
    <row r="2142" spans="1:6">
      <c r="A2142" s="22" t="s">
        <v>6262</v>
      </c>
      <c r="B2142" s="22" t="s">
        <v>6263</v>
      </c>
      <c r="C2142" s="22" t="s">
        <v>6264</v>
      </c>
      <c r="D2142" s="22" t="s">
        <v>9</v>
      </c>
      <c r="E2142" s="22" t="s">
        <v>27</v>
      </c>
      <c r="F2142" s="22">
        <v>39.389</v>
      </c>
    </row>
    <row r="2143" spans="1:6">
      <c r="A2143" s="22" t="s">
        <v>6265</v>
      </c>
      <c r="B2143" s="22" t="s">
        <v>6266</v>
      </c>
      <c r="C2143" s="22" t="s">
        <v>6267</v>
      </c>
      <c r="D2143" s="22" t="s">
        <v>9</v>
      </c>
      <c r="E2143" s="22" t="s">
        <v>14</v>
      </c>
      <c r="F2143" s="22">
        <v>25.391</v>
      </c>
    </row>
    <row r="2144" spans="1:6">
      <c r="A2144" s="22" t="s">
        <v>6268</v>
      </c>
      <c r="B2144" s="22" t="s">
        <v>6269</v>
      </c>
      <c r="C2144" s="22" t="s">
        <v>6270</v>
      </c>
      <c r="D2144" s="22" t="s">
        <v>9</v>
      </c>
      <c r="E2144" s="22" t="s">
        <v>27</v>
      </c>
      <c r="F2144" s="22">
        <v>1617.94</v>
      </c>
    </row>
    <row r="2145" spans="1:6">
      <c r="A2145" s="22" t="s">
        <v>6271</v>
      </c>
      <c r="B2145" s="22" t="s">
        <v>6272</v>
      </c>
      <c r="C2145" s="22" t="s">
        <v>6273</v>
      </c>
      <c r="D2145" s="22" t="s">
        <v>9</v>
      </c>
      <c r="E2145" s="22" t="s">
        <v>31</v>
      </c>
      <c r="F2145" s="22">
        <v>8.744</v>
      </c>
    </row>
    <row r="2146" spans="1:6">
      <c r="A2146" s="22" t="s">
        <v>6274</v>
      </c>
      <c r="B2146" s="22" t="s">
        <v>6275</v>
      </c>
      <c r="C2146" s="22" t="s">
        <v>6276</v>
      </c>
      <c r="D2146" s="22" t="s">
        <v>9</v>
      </c>
      <c r="E2146" s="22" t="s">
        <v>109</v>
      </c>
      <c r="F2146" s="22">
        <v>17.119</v>
      </c>
    </row>
    <row r="2147" spans="1:6">
      <c r="A2147" s="22" t="s">
        <v>6277</v>
      </c>
      <c r="B2147" s="22" t="s">
        <v>6278</v>
      </c>
      <c r="C2147" s="22" t="s">
        <v>6279</v>
      </c>
      <c r="D2147" s="22" t="s">
        <v>9</v>
      </c>
      <c r="E2147" s="22" t="s">
        <v>23</v>
      </c>
      <c r="F2147" s="22">
        <v>286.043</v>
      </c>
    </row>
    <row r="2148" spans="1:6">
      <c r="A2148" s="22" t="s">
        <v>6280</v>
      </c>
      <c r="B2148" s="22" t="s">
        <v>1226</v>
      </c>
      <c r="C2148" s="22" t="s">
        <v>6281</v>
      </c>
      <c r="D2148" s="22" t="s">
        <v>9</v>
      </c>
      <c r="E2148" s="22" t="s">
        <v>27</v>
      </c>
      <c r="F2148" s="22">
        <v>137.633</v>
      </c>
    </row>
    <row r="2149" spans="1:6">
      <c r="A2149" s="22" t="s">
        <v>6282</v>
      </c>
      <c r="B2149" s="22" t="s">
        <v>2831</v>
      </c>
      <c r="C2149" s="22" t="s">
        <v>6283</v>
      </c>
      <c r="D2149" s="22" t="s">
        <v>9</v>
      </c>
      <c r="E2149" s="22" t="s">
        <v>27</v>
      </c>
      <c r="F2149" s="22">
        <v>106.18</v>
      </c>
    </row>
    <row r="2150" spans="1:6">
      <c r="A2150" s="22" t="s">
        <v>6284</v>
      </c>
      <c r="B2150" s="22" t="s">
        <v>6285</v>
      </c>
      <c r="C2150" s="22" t="s">
        <v>6286</v>
      </c>
      <c r="D2150" s="22" t="s">
        <v>9</v>
      </c>
      <c r="E2150" s="22" t="s">
        <v>23</v>
      </c>
      <c r="F2150" s="22">
        <v>2340.176</v>
      </c>
    </row>
    <row r="2151" spans="1:6">
      <c r="A2151" s="22" t="s">
        <v>6287</v>
      </c>
      <c r="B2151" s="22" t="s">
        <v>6288</v>
      </c>
      <c r="C2151" s="22" t="s">
        <v>6289</v>
      </c>
      <c r="D2151" s="22" t="s">
        <v>9</v>
      </c>
      <c r="E2151" s="22" t="s">
        <v>31</v>
      </c>
      <c r="F2151" s="22">
        <v>163.688</v>
      </c>
    </row>
    <row r="2152" spans="1:6">
      <c r="A2152" s="22" t="s">
        <v>6290</v>
      </c>
      <c r="B2152" s="22" t="s">
        <v>6291</v>
      </c>
      <c r="C2152" s="22" t="s">
        <v>6292</v>
      </c>
      <c r="D2152" s="22" t="s">
        <v>9</v>
      </c>
      <c r="E2152" s="22" t="s">
        <v>40</v>
      </c>
      <c r="F2152" s="22">
        <v>188.315</v>
      </c>
    </row>
    <row r="2153" spans="1:6">
      <c r="A2153" s="22" t="s">
        <v>6293</v>
      </c>
      <c r="B2153" s="22" t="s">
        <v>6294</v>
      </c>
      <c r="C2153" s="22" t="s">
        <v>6295</v>
      </c>
      <c r="D2153" s="22" t="s">
        <v>9</v>
      </c>
      <c r="E2153" s="22" t="s">
        <v>14</v>
      </c>
      <c r="F2153" s="22">
        <v>8.532</v>
      </c>
    </row>
    <row r="2154" spans="1:6">
      <c r="A2154" s="22" t="s">
        <v>6296</v>
      </c>
      <c r="B2154" s="22" t="s">
        <v>6297</v>
      </c>
      <c r="C2154" s="22" t="s">
        <v>6298</v>
      </c>
      <c r="D2154" s="22" t="s">
        <v>9</v>
      </c>
      <c r="E2154" s="22" t="s">
        <v>27</v>
      </c>
      <c r="F2154" s="22">
        <v>6308.673</v>
      </c>
    </row>
    <row r="2155" spans="1:6">
      <c r="A2155" s="22" t="s">
        <v>6299</v>
      </c>
      <c r="B2155" s="22" t="s">
        <v>6300</v>
      </c>
      <c r="C2155" s="22" t="s">
        <v>6301</v>
      </c>
      <c r="D2155" s="22" t="s">
        <v>9</v>
      </c>
      <c r="E2155" s="22" t="s">
        <v>35</v>
      </c>
      <c r="F2155" s="22">
        <v>296.238</v>
      </c>
    </row>
    <row r="2156" spans="1:6">
      <c r="A2156" s="22" t="s">
        <v>6302</v>
      </c>
      <c r="B2156" s="22" t="s">
        <v>6303</v>
      </c>
      <c r="C2156" s="22" t="s">
        <v>6304</v>
      </c>
      <c r="D2156" s="22" t="s">
        <v>9</v>
      </c>
      <c r="E2156" s="22" t="s">
        <v>23</v>
      </c>
      <c r="F2156" s="22">
        <v>9.692</v>
      </c>
    </row>
    <row r="2157" spans="1:6">
      <c r="A2157" s="22" t="s">
        <v>6305</v>
      </c>
      <c r="B2157" s="22" t="s">
        <v>6306</v>
      </c>
      <c r="C2157" s="22" t="s">
        <v>6307</v>
      </c>
      <c r="D2157" s="22" t="s">
        <v>9</v>
      </c>
      <c r="E2157" s="22" t="s">
        <v>40</v>
      </c>
      <c r="F2157" s="22">
        <v>5.702</v>
      </c>
    </row>
    <row r="2158" spans="1:6">
      <c r="A2158" s="22" t="s">
        <v>6308</v>
      </c>
      <c r="B2158" s="22" t="s">
        <v>6309</v>
      </c>
      <c r="C2158" s="22" t="s">
        <v>6310</v>
      </c>
      <c r="D2158" s="22" t="s">
        <v>9</v>
      </c>
      <c r="E2158" s="22" t="s">
        <v>27</v>
      </c>
      <c r="F2158" s="22">
        <v>409.186</v>
      </c>
    </row>
    <row r="2159" spans="1:6">
      <c r="A2159" s="22" t="s">
        <v>6311</v>
      </c>
      <c r="B2159" s="22" t="s">
        <v>6312</v>
      </c>
      <c r="C2159" s="22" t="s">
        <v>6313</v>
      </c>
      <c r="D2159" s="22" t="s">
        <v>9</v>
      </c>
      <c r="E2159" s="22" t="s">
        <v>23</v>
      </c>
      <c r="F2159" s="22">
        <v>46703.199</v>
      </c>
    </row>
    <row r="2160" spans="1:6">
      <c r="A2160" s="22" t="s">
        <v>6314</v>
      </c>
      <c r="B2160" s="22" t="s">
        <v>6315</v>
      </c>
      <c r="C2160" s="22" t="s">
        <v>6316</v>
      </c>
      <c r="D2160" s="22" t="s">
        <v>9</v>
      </c>
      <c r="E2160" s="22" t="s">
        <v>23</v>
      </c>
      <c r="F2160" s="22">
        <v>3.523</v>
      </c>
    </row>
    <row r="2161" spans="1:6">
      <c r="A2161" s="22" t="s">
        <v>6317</v>
      </c>
      <c r="B2161" s="22" t="s">
        <v>6318</v>
      </c>
      <c r="C2161" s="22" t="s">
        <v>6319</v>
      </c>
      <c r="D2161" s="22" t="s">
        <v>9</v>
      </c>
      <c r="E2161" s="22" t="s">
        <v>23</v>
      </c>
      <c r="F2161" s="22">
        <v>271.861</v>
      </c>
    </row>
    <row r="2162" spans="1:6">
      <c r="A2162" s="22" t="s">
        <v>6320</v>
      </c>
      <c r="B2162" s="22" t="s">
        <v>6321</v>
      </c>
      <c r="C2162" s="22" t="s">
        <v>6322</v>
      </c>
      <c r="D2162" s="22" t="s">
        <v>9</v>
      </c>
      <c r="E2162" s="22" t="s">
        <v>50</v>
      </c>
      <c r="F2162" s="22">
        <v>744.691</v>
      </c>
    </row>
    <row r="2163" spans="1:6">
      <c r="A2163" s="22" t="s">
        <v>6323</v>
      </c>
      <c r="B2163" s="22" t="s">
        <v>6324</v>
      </c>
      <c r="C2163" s="22" t="s">
        <v>6325</v>
      </c>
      <c r="D2163" s="22" t="s">
        <v>9</v>
      </c>
      <c r="E2163" s="22" t="s">
        <v>40</v>
      </c>
      <c r="F2163" s="22">
        <v>265.447</v>
      </c>
    </row>
    <row r="2164" spans="1:6">
      <c r="A2164" s="22" t="s">
        <v>6326</v>
      </c>
      <c r="B2164" s="22" t="s">
        <v>6327</v>
      </c>
      <c r="C2164" s="22" t="s">
        <v>6328</v>
      </c>
      <c r="D2164" s="22" t="s">
        <v>9</v>
      </c>
      <c r="E2164" s="22" t="s">
        <v>31</v>
      </c>
      <c r="F2164" s="22">
        <v>28.107</v>
      </c>
    </row>
    <row r="2165" spans="1:6">
      <c r="A2165" s="22" t="s">
        <v>6329</v>
      </c>
      <c r="B2165" s="22" t="s">
        <v>741</v>
      </c>
      <c r="C2165" s="22" t="s">
        <v>6330</v>
      </c>
      <c r="D2165" s="22" t="s">
        <v>9</v>
      </c>
      <c r="E2165" s="22" t="s">
        <v>23</v>
      </c>
      <c r="F2165" s="22">
        <v>114.262</v>
      </c>
    </row>
    <row r="2166" spans="1:6">
      <c r="A2166" s="22" t="s">
        <v>6331</v>
      </c>
      <c r="B2166" s="22" t="s">
        <v>6332</v>
      </c>
      <c r="C2166" s="22" t="s">
        <v>6333</v>
      </c>
      <c r="D2166" s="22" t="s">
        <v>9</v>
      </c>
      <c r="E2166" s="22" t="s">
        <v>14</v>
      </c>
      <c r="F2166" s="22">
        <v>34.989</v>
      </c>
    </row>
    <row r="2167" spans="1:6">
      <c r="A2167" s="22" t="s">
        <v>6334</v>
      </c>
      <c r="B2167" s="22" t="s">
        <v>6335</v>
      </c>
      <c r="C2167" s="22" t="s">
        <v>6336</v>
      </c>
      <c r="D2167" s="22" t="s">
        <v>9</v>
      </c>
      <c r="E2167" s="22" t="s">
        <v>23</v>
      </c>
      <c r="F2167" s="22">
        <v>50.339</v>
      </c>
    </row>
    <row r="2168" spans="1:6">
      <c r="A2168" s="22" t="s">
        <v>6337</v>
      </c>
      <c r="B2168" s="22" t="s">
        <v>6338</v>
      </c>
      <c r="C2168" s="22" t="s">
        <v>6339</v>
      </c>
      <c r="D2168" s="22" t="s">
        <v>9</v>
      </c>
      <c r="E2168" s="22" t="s">
        <v>31</v>
      </c>
      <c r="F2168" s="22">
        <v>151.124</v>
      </c>
    </row>
    <row r="2169" spans="1:6">
      <c r="A2169" s="22" t="s">
        <v>6340</v>
      </c>
      <c r="B2169" s="22" t="s">
        <v>6341</v>
      </c>
      <c r="C2169" s="22" t="s">
        <v>6286</v>
      </c>
      <c r="D2169" s="22" t="s">
        <v>9</v>
      </c>
      <c r="E2169" s="22" t="s">
        <v>35</v>
      </c>
      <c r="F2169" s="22">
        <v>46.578</v>
      </c>
    </row>
    <row r="2170" spans="1:6">
      <c r="A2170" s="22" t="s">
        <v>6342</v>
      </c>
      <c r="B2170" s="22" t="s">
        <v>6343</v>
      </c>
      <c r="C2170" s="22" t="s">
        <v>6344</v>
      </c>
      <c r="D2170" s="22" t="s">
        <v>9</v>
      </c>
      <c r="E2170" s="22" t="s">
        <v>14</v>
      </c>
      <c r="F2170" s="22">
        <v>304.857</v>
      </c>
    </row>
    <row r="2171" spans="1:6">
      <c r="A2171" s="22" t="s">
        <v>6345</v>
      </c>
      <c r="B2171" s="22" t="s">
        <v>6346</v>
      </c>
      <c r="C2171" s="22" t="s">
        <v>6347</v>
      </c>
      <c r="D2171" s="22" t="s">
        <v>9</v>
      </c>
      <c r="E2171" s="22" t="s">
        <v>50</v>
      </c>
      <c r="F2171" s="22">
        <v>8.921</v>
      </c>
    </row>
    <row r="2172" spans="1:6">
      <c r="A2172" s="22" t="s">
        <v>6348</v>
      </c>
      <c r="B2172" s="22" t="s">
        <v>6349</v>
      </c>
      <c r="C2172" s="22" t="s">
        <v>6350</v>
      </c>
      <c r="D2172" s="22" t="s">
        <v>9</v>
      </c>
      <c r="E2172" s="22" t="s">
        <v>27</v>
      </c>
      <c r="F2172" s="22">
        <v>27.239</v>
      </c>
    </row>
    <row r="2173" spans="1:6">
      <c r="A2173" s="22" t="s">
        <v>6351</v>
      </c>
      <c r="B2173" s="22" t="s">
        <v>6352</v>
      </c>
      <c r="C2173" s="22" t="s">
        <v>6353</v>
      </c>
      <c r="D2173" s="22" t="s">
        <v>9</v>
      </c>
      <c r="E2173" s="22" t="s">
        <v>14</v>
      </c>
      <c r="F2173" s="22">
        <v>255.919</v>
      </c>
    </row>
    <row r="2174" spans="1:6">
      <c r="A2174" s="22" t="s">
        <v>6354</v>
      </c>
      <c r="B2174" s="22" t="s">
        <v>6355</v>
      </c>
      <c r="C2174" s="22" t="s">
        <v>6356</v>
      </c>
      <c r="D2174" s="22" t="s">
        <v>9</v>
      </c>
      <c r="E2174" s="22" t="s">
        <v>31</v>
      </c>
      <c r="F2174" s="22">
        <v>76.158</v>
      </c>
    </row>
    <row r="2175" spans="1:6">
      <c r="A2175" s="22" t="s">
        <v>6357</v>
      </c>
      <c r="B2175" s="22" t="s">
        <v>6358</v>
      </c>
      <c r="C2175" s="22" t="s">
        <v>6359</v>
      </c>
      <c r="D2175" s="22" t="s">
        <v>9</v>
      </c>
      <c r="E2175" s="22" t="s">
        <v>35</v>
      </c>
      <c r="F2175" s="22">
        <v>187.719</v>
      </c>
    </row>
    <row r="2176" spans="1:6">
      <c r="A2176" s="22" t="s">
        <v>6360</v>
      </c>
      <c r="B2176" s="22" t="s">
        <v>6361</v>
      </c>
      <c r="C2176" s="22" t="s">
        <v>6362</v>
      </c>
      <c r="D2176" s="22" t="s">
        <v>9</v>
      </c>
      <c r="E2176" s="22" t="s">
        <v>27</v>
      </c>
      <c r="F2176" s="22">
        <v>34.272</v>
      </c>
    </row>
    <row r="2177" spans="1:6">
      <c r="A2177" s="22" t="s">
        <v>6363</v>
      </c>
      <c r="B2177" s="22" t="s">
        <v>6364</v>
      </c>
      <c r="C2177" s="22" t="s">
        <v>6365</v>
      </c>
      <c r="D2177" s="22" t="s">
        <v>9</v>
      </c>
      <c r="E2177" s="22" t="s">
        <v>35</v>
      </c>
      <c r="F2177" s="22">
        <v>685.133</v>
      </c>
    </row>
    <row r="2178" spans="1:6">
      <c r="A2178" s="22" t="s">
        <v>6366</v>
      </c>
      <c r="B2178" s="22" t="s">
        <v>6367</v>
      </c>
      <c r="C2178" s="22" t="s">
        <v>6368</v>
      </c>
      <c r="D2178" s="22" t="s">
        <v>9</v>
      </c>
      <c r="E2178" s="22" t="s">
        <v>27</v>
      </c>
      <c r="F2178" s="22">
        <v>681.782</v>
      </c>
    </row>
    <row r="2179" spans="1:6">
      <c r="A2179" s="22" t="s">
        <v>6369</v>
      </c>
      <c r="B2179" s="22" t="s">
        <v>6370</v>
      </c>
      <c r="C2179" s="22" t="s">
        <v>6371</v>
      </c>
      <c r="D2179" s="22" t="s">
        <v>9</v>
      </c>
      <c r="E2179" s="22" t="s">
        <v>62</v>
      </c>
      <c r="F2179" s="22">
        <v>1018.973</v>
      </c>
    </row>
    <row r="2180" spans="1:6">
      <c r="A2180" s="22" t="s">
        <v>6372</v>
      </c>
      <c r="B2180" s="22" t="s">
        <v>6373</v>
      </c>
      <c r="C2180" s="22" t="s">
        <v>6374</v>
      </c>
      <c r="D2180" s="22" t="s">
        <v>9</v>
      </c>
      <c r="E2180" s="22" t="s">
        <v>70</v>
      </c>
      <c r="F2180" s="22">
        <v>593.397</v>
      </c>
    </row>
    <row r="2181" spans="1:6">
      <c r="A2181" s="22" t="s">
        <v>6375</v>
      </c>
      <c r="B2181" s="22" t="s">
        <v>6376</v>
      </c>
      <c r="C2181" s="22" t="s">
        <v>6377</v>
      </c>
      <c r="D2181" s="22" t="s">
        <v>9</v>
      </c>
      <c r="E2181" s="22" t="s">
        <v>31</v>
      </c>
      <c r="F2181" s="22">
        <v>62.503</v>
      </c>
    </row>
    <row r="2182" spans="1:6">
      <c r="A2182" s="22" t="s">
        <v>6378</v>
      </c>
      <c r="B2182" s="22" t="s">
        <v>6379</v>
      </c>
      <c r="C2182" s="22" t="s">
        <v>6380</v>
      </c>
      <c r="D2182" s="22" t="s">
        <v>9</v>
      </c>
      <c r="E2182" s="22" t="s">
        <v>23</v>
      </c>
      <c r="F2182" s="22">
        <v>243.723</v>
      </c>
    </row>
    <row r="2183" spans="1:6">
      <c r="A2183" s="22" t="s">
        <v>6381</v>
      </c>
      <c r="B2183" s="22" t="s">
        <v>6382</v>
      </c>
      <c r="C2183" s="22" t="s">
        <v>6383</v>
      </c>
      <c r="D2183" s="22" t="s">
        <v>9</v>
      </c>
      <c r="E2183" s="22" t="s">
        <v>31</v>
      </c>
      <c r="F2183" s="22">
        <v>61.557</v>
      </c>
    </row>
    <row r="2184" spans="1:6">
      <c r="A2184" s="22" t="s">
        <v>6384</v>
      </c>
      <c r="B2184" s="22" t="s">
        <v>6385</v>
      </c>
      <c r="C2184" s="22" t="s">
        <v>6386</v>
      </c>
      <c r="D2184" s="22" t="s">
        <v>9</v>
      </c>
      <c r="E2184" s="22" t="s">
        <v>27</v>
      </c>
      <c r="F2184" s="22">
        <v>9.248</v>
      </c>
    </row>
    <row r="2185" spans="1:6">
      <c r="A2185" s="22" t="s">
        <v>6387</v>
      </c>
      <c r="B2185" s="22" t="s">
        <v>6388</v>
      </c>
      <c r="C2185" s="22" t="s">
        <v>6389</v>
      </c>
      <c r="D2185" s="22" t="s">
        <v>9</v>
      </c>
      <c r="E2185" s="22" t="s">
        <v>66</v>
      </c>
      <c r="F2185" s="22">
        <v>291.943</v>
      </c>
    </row>
    <row r="2186" spans="1:6">
      <c r="A2186" s="22" t="s">
        <v>6390</v>
      </c>
      <c r="B2186" s="22" t="s">
        <v>6391</v>
      </c>
      <c r="C2186" s="22" t="s">
        <v>6392</v>
      </c>
      <c r="D2186" s="22" t="s">
        <v>9</v>
      </c>
      <c r="E2186" s="22" t="s">
        <v>14</v>
      </c>
      <c r="F2186" s="22">
        <v>325.828</v>
      </c>
    </row>
    <row r="2187" spans="1:6">
      <c r="A2187" s="22" t="s">
        <v>6393</v>
      </c>
      <c r="B2187" s="22" t="s">
        <v>6394</v>
      </c>
      <c r="C2187" s="22" t="s">
        <v>6395</v>
      </c>
      <c r="D2187" s="22" t="s">
        <v>9</v>
      </c>
      <c r="E2187" s="22" t="s">
        <v>23</v>
      </c>
      <c r="F2187" s="22">
        <v>30.295</v>
      </c>
    </row>
    <row r="2188" spans="1:6">
      <c r="A2188" s="22" t="s">
        <v>6396</v>
      </c>
      <c r="B2188" s="22" t="s">
        <v>6397</v>
      </c>
      <c r="C2188" s="22" t="s">
        <v>6398</v>
      </c>
      <c r="D2188" s="22" t="s">
        <v>9</v>
      </c>
      <c r="E2188" s="22" t="s">
        <v>27</v>
      </c>
      <c r="F2188" s="22">
        <v>58.31</v>
      </c>
    </row>
    <row r="2189" spans="1:6">
      <c r="A2189" s="22" t="s">
        <v>6399</v>
      </c>
      <c r="B2189" s="22" t="s">
        <v>6400</v>
      </c>
      <c r="C2189" s="22" t="s">
        <v>6401</v>
      </c>
      <c r="D2189" s="22" t="s">
        <v>9</v>
      </c>
      <c r="E2189" s="22" t="s">
        <v>23</v>
      </c>
      <c r="F2189" s="22">
        <v>959.076</v>
      </c>
    </row>
    <row r="2190" spans="1:6">
      <c r="A2190" s="22" t="s">
        <v>6402</v>
      </c>
      <c r="B2190" s="22" t="s">
        <v>6403</v>
      </c>
      <c r="C2190" s="22" t="s">
        <v>6404</v>
      </c>
      <c r="D2190" s="22" t="s">
        <v>9</v>
      </c>
      <c r="E2190" s="22" t="s">
        <v>14</v>
      </c>
      <c r="F2190" s="22">
        <v>21.362</v>
      </c>
    </row>
    <row r="2191" spans="1:6">
      <c r="A2191" s="22" t="s">
        <v>6405</v>
      </c>
      <c r="B2191" s="22" t="s">
        <v>6406</v>
      </c>
      <c r="C2191" s="22" t="s">
        <v>6407</v>
      </c>
      <c r="D2191" s="22" t="s">
        <v>9</v>
      </c>
      <c r="E2191" s="22" t="s">
        <v>31</v>
      </c>
      <c r="F2191" s="22">
        <v>2643.136</v>
      </c>
    </row>
    <row r="2192" spans="1:6">
      <c r="A2192" s="22" t="s">
        <v>6408</v>
      </c>
      <c r="B2192" s="22" t="s">
        <v>6409</v>
      </c>
      <c r="C2192" s="22" t="s">
        <v>6410</v>
      </c>
      <c r="D2192" s="22" t="s">
        <v>9</v>
      </c>
      <c r="E2192" s="22" t="s">
        <v>14</v>
      </c>
      <c r="F2192" s="22">
        <v>181.678</v>
      </c>
    </row>
    <row r="2193" spans="1:6">
      <c r="A2193" s="22" t="s">
        <v>6411</v>
      </c>
      <c r="B2193" s="22" t="s">
        <v>6412</v>
      </c>
      <c r="C2193" s="22" t="s">
        <v>6413</v>
      </c>
      <c r="D2193" s="22" t="s">
        <v>9</v>
      </c>
      <c r="E2193" s="22" t="s">
        <v>27</v>
      </c>
      <c r="F2193" s="22">
        <v>228.912</v>
      </c>
    </row>
    <row r="2194" spans="1:6">
      <c r="A2194" s="22" t="s">
        <v>6414</v>
      </c>
      <c r="B2194" s="22" t="s">
        <v>6415</v>
      </c>
      <c r="C2194" s="22" t="s">
        <v>6416</v>
      </c>
      <c r="D2194" s="22" t="s">
        <v>9</v>
      </c>
      <c r="E2194" s="22" t="s">
        <v>50</v>
      </c>
      <c r="F2194" s="22">
        <v>345.445</v>
      </c>
    </row>
    <row r="2195" spans="1:6">
      <c r="A2195" s="22" t="s">
        <v>6417</v>
      </c>
      <c r="B2195" s="22" t="s">
        <v>6418</v>
      </c>
      <c r="C2195" s="22" t="s">
        <v>6419</v>
      </c>
      <c r="D2195" s="22" t="s">
        <v>9</v>
      </c>
      <c r="E2195" s="22" t="s">
        <v>31</v>
      </c>
      <c r="F2195" s="22">
        <v>1077.868</v>
      </c>
    </row>
    <row r="2196" spans="1:6">
      <c r="A2196" s="22" t="s">
        <v>6420</v>
      </c>
      <c r="B2196" s="22" t="s">
        <v>6421</v>
      </c>
      <c r="C2196" s="22" t="s">
        <v>6422</v>
      </c>
      <c r="D2196" s="22" t="s">
        <v>9</v>
      </c>
      <c r="E2196" s="22" t="s">
        <v>40</v>
      </c>
      <c r="F2196" s="22">
        <v>65.283</v>
      </c>
    </row>
    <row r="2197" spans="1:6">
      <c r="A2197" s="22" t="s">
        <v>6423</v>
      </c>
      <c r="B2197" s="22" t="s">
        <v>6424</v>
      </c>
      <c r="C2197" s="22" t="s">
        <v>6425</v>
      </c>
      <c r="D2197" s="22" t="s">
        <v>9</v>
      </c>
      <c r="E2197" s="22" t="s">
        <v>35</v>
      </c>
      <c r="F2197" s="22">
        <v>489.602</v>
      </c>
    </row>
    <row r="2198" spans="1:6">
      <c r="A2198" s="22" t="s">
        <v>6426</v>
      </c>
      <c r="B2198" s="22" t="s">
        <v>6427</v>
      </c>
      <c r="C2198" s="22" t="s">
        <v>6428</v>
      </c>
      <c r="D2198" s="22" t="s">
        <v>9</v>
      </c>
      <c r="E2198" s="22" t="s">
        <v>117</v>
      </c>
      <c r="F2198" s="22">
        <v>37.488</v>
      </c>
    </row>
    <row r="2199" spans="1:6">
      <c r="A2199" s="22" t="s">
        <v>6429</v>
      </c>
      <c r="B2199" s="22" t="s">
        <v>6430</v>
      </c>
      <c r="C2199" s="22" t="s">
        <v>6431</v>
      </c>
      <c r="D2199" s="22" t="s">
        <v>9</v>
      </c>
      <c r="E2199" s="22" t="s">
        <v>40</v>
      </c>
      <c r="F2199" s="22">
        <v>4281.2</v>
      </c>
    </row>
    <row r="2200" spans="1:6">
      <c r="A2200" s="22" t="s">
        <v>6432</v>
      </c>
      <c r="B2200" s="22" t="s">
        <v>6433</v>
      </c>
      <c r="C2200" s="22" t="s">
        <v>6434</v>
      </c>
      <c r="D2200" s="22" t="s">
        <v>9</v>
      </c>
      <c r="E2200" s="22" t="s">
        <v>66</v>
      </c>
      <c r="F2200" s="22">
        <v>10.177</v>
      </c>
    </row>
    <row r="2201" spans="1:6">
      <c r="A2201" s="22" t="s">
        <v>6435</v>
      </c>
      <c r="B2201" s="22" t="s">
        <v>6436</v>
      </c>
      <c r="C2201" s="22" t="s">
        <v>6437</v>
      </c>
      <c r="D2201" s="22" t="s">
        <v>9</v>
      </c>
      <c r="E2201" s="22" t="s">
        <v>23</v>
      </c>
      <c r="F2201" s="22">
        <v>158.8</v>
      </c>
    </row>
    <row r="2202" spans="1:6">
      <c r="A2202" s="22" t="s">
        <v>6438</v>
      </c>
      <c r="B2202" s="22" t="s">
        <v>6439</v>
      </c>
      <c r="C2202" s="22" t="s">
        <v>6440</v>
      </c>
      <c r="D2202" s="22" t="s">
        <v>9</v>
      </c>
      <c r="E2202" s="22" t="s">
        <v>35</v>
      </c>
      <c r="F2202" s="22">
        <v>12.616</v>
      </c>
    </row>
    <row r="2203" spans="1:6">
      <c r="A2203" s="22" t="s">
        <v>6441</v>
      </c>
      <c r="B2203" s="22" t="s">
        <v>6442</v>
      </c>
      <c r="C2203" s="22" t="s">
        <v>6443</v>
      </c>
      <c r="D2203" s="22" t="s">
        <v>9</v>
      </c>
      <c r="E2203" s="22" t="s">
        <v>40</v>
      </c>
      <c r="F2203" s="22">
        <v>156.927</v>
      </c>
    </row>
    <row r="2204" spans="1:6">
      <c r="A2204" s="22" t="s">
        <v>6444</v>
      </c>
      <c r="B2204" s="22" t="s">
        <v>4311</v>
      </c>
      <c r="C2204" s="22" t="s">
        <v>6445</v>
      </c>
      <c r="D2204" s="22" t="s">
        <v>9</v>
      </c>
      <c r="E2204" s="22" t="s">
        <v>50</v>
      </c>
      <c r="F2204" s="22">
        <v>50.403</v>
      </c>
    </row>
    <row r="2205" spans="1:6">
      <c r="A2205" s="22" t="s">
        <v>6446</v>
      </c>
      <c r="B2205" s="22" t="s">
        <v>6447</v>
      </c>
      <c r="C2205" s="22" t="s">
        <v>6448</v>
      </c>
      <c r="D2205" s="22" t="s">
        <v>9</v>
      </c>
      <c r="E2205" s="22" t="s">
        <v>27</v>
      </c>
      <c r="F2205" s="22">
        <v>575.65</v>
      </c>
    </row>
    <row r="2206" spans="1:6">
      <c r="A2206" s="22" t="s">
        <v>6449</v>
      </c>
      <c r="B2206" s="22" t="s">
        <v>2227</v>
      </c>
      <c r="C2206" s="22" t="s">
        <v>6450</v>
      </c>
      <c r="D2206" s="22" t="s">
        <v>9</v>
      </c>
      <c r="E2206" s="22" t="s">
        <v>31</v>
      </c>
      <c r="F2206" s="22">
        <v>1.44</v>
      </c>
    </row>
    <row r="2207" spans="1:6">
      <c r="A2207" s="22" t="s">
        <v>6451</v>
      </c>
      <c r="B2207" s="22" t="s">
        <v>6452</v>
      </c>
      <c r="C2207" s="22" t="s">
        <v>6453</v>
      </c>
      <c r="D2207" s="22" t="s">
        <v>9</v>
      </c>
      <c r="E2207" s="22" t="s">
        <v>31</v>
      </c>
      <c r="F2207" s="22">
        <v>2640.113</v>
      </c>
    </row>
    <row r="2208" spans="1:6">
      <c r="A2208" s="22" t="s">
        <v>6454</v>
      </c>
      <c r="B2208" s="22" t="s">
        <v>6455</v>
      </c>
      <c r="C2208" s="22" t="s">
        <v>6456</v>
      </c>
      <c r="D2208" s="22" t="s">
        <v>9</v>
      </c>
      <c r="E2208" s="22" t="s">
        <v>27</v>
      </c>
      <c r="F2208" s="22">
        <v>10190.211</v>
      </c>
    </row>
    <row r="2209" spans="1:6">
      <c r="A2209" s="22" t="s">
        <v>6457</v>
      </c>
      <c r="B2209" s="22" t="s">
        <v>6458</v>
      </c>
      <c r="C2209" s="22" t="s">
        <v>6459</v>
      </c>
      <c r="D2209" s="22" t="s">
        <v>9</v>
      </c>
      <c r="E2209" s="22" t="s">
        <v>40</v>
      </c>
      <c r="F2209" s="22">
        <v>679.276</v>
      </c>
    </row>
    <row r="2210" spans="1:6">
      <c r="A2210" s="22" t="s">
        <v>6460</v>
      </c>
      <c r="B2210" s="22" t="s">
        <v>6461</v>
      </c>
      <c r="C2210" s="22" t="s">
        <v>6462</v>
      </c>
      <c r="D2210" s="22" t="s">
        <v>9</v>
      </c>
      <c r="E2210" s="22" t="s">
        <v>23</v>
      </c>
      <c r="F2210" s="22">
        <v>59.512</v>
      </c>
    </row>
    <row r="2211" spans="1:6">
      <c r="A2211" s="22" t="s">
        <v>6463</v>
      </c>
      <c r="B2211" s="22" t="s">
        <v>6464</v>
      </c>
      <c r="C2211" s="22" t="s">
        <v>6465</v>
      </c>
      <c r="D2211" s="22" t="s">
        <v>9</v>
      </c>
      <c r="E2211" s="22" t="s">
        <v>27</v>
      </c>
      <c r="F2211" s="22">
        <v>326.87</v>
      </c>
    </row>
    <row r="2212" spans="1:6">
      <c r="A2212" s="22" t="s">
        <v>6466</v>
      </c>
      <c r="B2212" s="22" t="s">
        <v>6467</v>
      </c>
      <c r="C2212" s="22" t="s">
        <v>6468</v>
      </c>
      <c r="D2212" s="22" t="s">
        <v>9</v>
      </c>
      <c r="E2212" s="22" t="s">
        <v>40</v>
      </c>
      <c r="F2212" s="22">
        <v>18.26</v>
      </c>
    </row>
    <row r="2213" spans="1:6">
      <c r="A2213" s="22" t="s">
        <v>6469</v>
      </c>
      <c r="B2213" s="22" t="s">
        <v>6470</v>
      </c>
      <c r="C2213" s="22" t="s">
        <v>6471</v>
      </c>
      <c r="D2213" s="22" t="s">
        <v>9</v>
      </c>
      <c r="E2213" s="22" t="s">
        <v>50</v>
      </c>
      <c r="F2213" s="22">
        <v>55.813</v>
      </c>
    </row>
    <row r="2214" spans="1:6">
      <c r="A2214" s="22" t="s">
        <v>6472</v>
      </c>
      <c r="B2214" s="22" t="s">
        <v>6473</v>
      </c>
      <c r="C2214" s="22" t="s">
        <v>6474</v>
      </c>
      <c r="D2214" s="22" t="s">
        <v>9</v>
      </c>
      <c r="E2214" s="22" t="s">
        <v>27</v>
      </c>
      <c r="F2214" s="22">
        <v>2693.895</v>
      </c>
    </row>
    <row r="2215" spans="1:6">
      <c r="A2215" s="22" t="s">
        <v>6475</v>
      </c>
      <c r="B2215" s="22" t="s">
        <v>6039</v>
      </c>
      <c r="C2215" s="22" t="s">
        <v>6476</v>
      </c>
      <c r="D2215" s="22" t="s">
        <v>9</v>
      </c>
      <c r="E2215" s="22" t="s">
        <v>40</v>
      </c>
      <c r="F2215" s="22">
        <v>15.568</v>
      </c>
    </row>
    <row r="2216" spans="1:6">
      <c r="A2216" s="22" t="s">
        <v>6477</v>
      </c>
      <c r="B2216" s="22" t="s">
        <v>6478</v>
      </c>
      <c r="C2216" s="22" t="s">
        <v>6479</v>
      </c>
      <c r="D2216" s="22" t="s">
        <v>9</v>
      </c>
      <c r="E2216" s="22" t="s">
        <v>35</v>
      </c>
      <c r="F2216" s="22">
        <v>2.955</v>
      </c>
    </row>
    <row r="2217" spans="1:6">
      <c r="A2217" s="22" t="s">
        <v>6480</v>
      </c>
      <c r="B2217" s="22" t="s">
        <v>6481</v>
      </c>
      <c r="C2217" s="22" t="s">
        <v>6482</v>
      </c>
      <c r="D2217" s="22" t="s">
        <v>9</v>
      </c>
      <c r="E2217" s="22" t="s">
        <v>31</v>
      </c>
      <c r="F2217" s="22">
        <v>64.222</v>
      </c>
    </row>
    <row r="2218" spans="1:6">
      <c r="A2218" s="22" t="s">
        <v>6483</v>
      </c>
      <c r="B2218" s="22" t="s">
        <v>6484</v>
      </c>
      <c r="C2218" s="22" t="s">
        <v>6485</v>
      </c>
      <c r="D2218" s="22" t="s">
        <v>9</v>
      </c>
      <c r="E2218" s="22" t="s">
        <v>27</v>
      </c>
      <c r="F2218" s="22">
        <v>10.018</v>
      </c>
    </row>
    <row r="2219" spans="1:6">
      <c r="A2219" s="22" t="s">
        <v>6486</v>
      </c>
      <c r="B2219" s="22" t="s">
        <v>6487</v>
      </c>
      <c r="C2219" s="22" t="s">
        <v>6488</v>
      </c>
      <c r="D2219" s="22" t="s">
        <v>9</v>
      </c>
      <c r="E2219" s="22" t="s">
        <v>66</v>
      </c>
      <c r="F2219" s="22">
        <v>248.838</v>
      </c>
    </row>
    <row r="2220" spans="1:6">
      <c r="A2220" s="22" t="s">
        <v>6489</v>
      </c>
      <c r="B2220" s="22" t="s">
        <v>6490</v>
      </c>
      <c r="C2220" s="22" t="s">
        <v>6491</v>
      </c>
      <c r="D2220" s="22" t="s">
        <v>9</v>
      </c>
      <c r="E2220" s="22" t="s">
        <v>117</v>
      </c>
      <c r="F2220" s="22">
        <v>2.042</v>
      </c>
    </row>
    <row r="2221" spans="1:6">
      <c r="A2221" s="22" t="s">
        <v>6492</v>
      </c>
      <c r="B2221" s="22" t="s">
        <v>6493</v>
      </c>
      <c r="C2221" s="22" t="s">
        <v>6494</v>
      </c>
      <c r="D2221" s="22" t="s">
        <v>9</v>
      </c>
      <c r="E2221" s="22" t="s">
        <v>27</v>
      </c>
      <c r="F2221" s="22">
        <v>2770.922</v>
      </c>
    </row>
    <row r="2222" spans="1:6">
      <c r="A2222" s="22" t="s">
        <v>6495</v>
      </c>
      <c r="B2222" s="22" t="s">
        <v>6496</v>
      </c>
      <c r="C2222" s="22" t="s">
        <v>6497</v>
      </c>
      <c r="D2222" s="22" t="s">
        <v>9</v>
      </c>
      <c r="E2222" s="22" t="s">
        <v>40</v>
      </c>
      <c r="F2222" s="22">
        <v>91.568</v>
      </c>
    </row>
    <row r="2223" spans="1:6">
      <c r="A2223" s="22" t="s">
        <v>6498</v>
      </c>
      <c r="B2223" s="22" t="s">
        <v>6499</v>
      </c>
      <c r="C2223" s="22" t="s">
        <v>6500</v>
      </c>
      <c r="D2223" s="22" t="s">
        <v>9</v>
      </c>
      <c r="E2223" s="22" t="s">
        <v>27</v>
      </c>
      <c r="F2223" s="22">
        <v>15.441</v>
      </c>
    </row>
    <row r="2224" spans="1:6">
      <c r="A2224" s="22" t="s">
        <v>6501</v>
      </c>
      <c r="B2224" s="22" t="s">
        <v>6502</v>
      </c>
      <c r="C2224" s="22" t="s">
        <v>6503</v>
      </c>
      <c r="D2224" s="22" t="s">
        <v>9</v>
      </c>
      <c r="E2224" s="22" t="s">
        <v>23</v>
      </c>
      <c r="F2224" s="22">
        <v>52.044</v>
      </c>
    </row>
    <row r="2225" spans="1:6">
      <c r="A2225" s="22" t="s">
        <v>6504</v>
      </c>
      <c r="B2225" s="22" t="s">
        <v>835</v>
      </c>
      <c r="C2225" s="22" t="s">
        <v>6505</v>
      </c>
      <c r="D2225" s="22" t="s">
        <v>9</v>
      </c>
      <c r="E2225" s="22" t="s">
        <v>27</v>
      </c>
      <c r="F2225" s="22">
        <v>58.386</v>
      </c>
    </row>
    <row r="2226" spans="1:6">
      <c r="A2226" s="22" t="s">
        <v>6506</v>
      </c>
      <c r="B2226" s="22" t="s">
        <v>6507</v>
      </c>
      <c r="C2226" s="22" t="s">
        <v>6508</v>
      </c>
      <c r="D2226" s="22" t="s">
        <v>9</v>
      </c>
      <c r="E2226" s="22" t="s">
        <v>44</v>
      </c>
      <c r="F2226" s="22">
        <v>12.26</v>
      </c>
    </row>
    <row r="2227" spans="1:6">
      <c r="A2227" s="22" t="s">
        <v>6509</v>
      </c>
      <c r="B2227" s="22" t="s">
        <v>6510</v>
      </c>
      <c r="C2227" s="22" t="s">
        <v>6511</v>
      </c>
      <c r="D2227" s="22" t="s">
        <v>9</v>
      </c>
      <c r="E2227" s="22" t="s">
        <v>40</v>
      </c>
      <c r="F2227" s="22">
        <v>128.924</v>
      </c>
    </row>
    <row r="2228" spans="1:6">
      <c r="A2228" s="22" t="s">
        <v>6512</v>
      </c>
      <c r="B2228" s="22" t="s">
        <v>6513</v>
      </c>
      <c r="C2228" s="22" t="s">
        <v>6514</v>
      </c>
      <c r="D2228" s="22" t="s">
        <v>9</v>
      </c>
      <c r="E2228" s="22" t="s">
        <v>40</v>
      </c>
      <c r="F2228" s="22">
        <v>1174.541</v>
      </c>
    </row>
    <row r="2229" spans="1:6">
      <c r="A2229" s="22" t="s">
        <v>6515</v>
      </c>
      <c r="B2229" s="22" t="s">
        <v>6516</v>
      </c>
      <c r="C2229" s="22" t="s">
        <v>6517</v>
      </c>
      <c r="D2229" s="22" t="s">
        <v>9</v>
      </c>
      <c r="E2229" s="22" t="s">
        <v>40</v>
      </c>
      <c r="F2229" s="22">
        <v>9.976</v>
      </c>
    </row>
    <row r="2230" spans="1:6">
      <c r="A2230" s="22" t="s">
        <v>6518</v>
      </c>
      <c r="B2230" s="22" t="s">
        <v>6519</v>
      </c>
      <c r="C2230" s="22" t="s">
        <v>6520</v>
      </c>
      <c r="D2230" s="22" t="s">
        <v>9</v>
      </c>
      <c r="E2230" s="22" t="s">
        <v>40</v>
      </c>
      <c r="F2230" s="22">
        <v>33.644</v>
      </c>
    </row>
    <row r="2231" spans="1:6">
      <c r="A2231" s="22" t="s">
        <v>6521</v>
      </c>
      <c r="B2231" s="22" t="s">
        <v>6522</v>
      </c>
      <c r="C2231" s="22" t="s">
        <v>6523</v>
      </c>
      <c r="D2231" s="22" t="s">
        <v>9</v>
      </c>
      <c r="E2231" s="22" t="s">
        <v>66</v>
      </c>
      <c r="F2231" s="22">
        <v>10.162</v>
      </c>
    </row>
    <row r="2232" spans="1:6">
      <c r="A2232" s="22" t="s">
        <v>6524</v>
      </c>
      <c r="B2232" s="22" t="s">
        <v>6525</v>
      </c>
      <c r="C2232" s="22" t="s">
        <v>6526</v>
      </c>
      <c r="D2232" s="22" t="s">
        <v>9</v>
      </c>
      <c r="E2232" s="22" t="s">
        <v>40</v>
      </c>
      <c r="F2232" s="22">
        <v>209.13</v>
      </c>
    </row>
    <row r="2233" spans="1:6">
      <c r="A2233" s="22" t="s">
        <v>6527</v>
      </c>
      <c r="B2233" s="22" t="s">
        <v>6528</v>
      </c>
      <c r="C2233" s="22" t="s">
        <v>6529</v>
      </c>
      <c r="D2233" s="22" t="s">
        <v>9</v>
      </c>
      <c r="E2233" s="22" t="s">
        <v>31</v>
      </c>
      <c r="F2233" s="22">
        <v>198.764</v>
      </c>
    </row>
    <row r="2234" spans="1:6">
      <c r="A2234" s="22" t="s">
        <v>6530</v>
      </c>
      <c r="B2234" s="22" t="s">
        <v>3223</v>
      </c>
      <c r="C2234" s="22" t="s">
        <v>6531</v>
      </c>
      <c r="D2234" s="22" t="s">
        <v>9</v>
      </c>
      <c r="E2234" s="22" t="s">
        <v>27</v>
      </c>
      <c r="F2234" s="22">
        <v>72.706</v>
      </c>
    </row>
    <row r="2235" spans="1:6">
      <c r="A2235" s="22" t="s">
        <v>6532</v>
      </c>
      <c r="B2235" s="22" t="s">
        <v>6533</v>
      </c>
      <c r="C2235" s="22" t="s">
        <v>6534</v>
      </c>
      <c r="D2235" s="22" t="s">
        <v>9</v>
      </c>
      <c r="E2235" s="22" t="s">
        <v>27</v>
      </c>
      <c r="F2235" s="22">
        <v>110.616</v>
      </c>
    </row>
    <row r="2236" spans="1:6">
      <c r="A2236" s="22" t="s">
        <v>6535</v>
      </c>
      <c r="B2236" s="22" t="s">
        <v>6536</v>
      </c>
      <c r="C2236" s="22" t="s">
        <v>6537</v>
      </c>
      <c r="D2236" s="22" t="s">
        <v>9</v>
      </c>
      <c r="E2236" s="22" t="s">
        <v>27</v>
      </c>
      <c r="F2236" s="22">
        <v>5.103</v>
      </c>
    </row>
    <row r="2237" spans="1:6">
      <c r="A2237" s="22" t="s">
        <v>6538</v>
      </c>
      <c r="B2237" s="22" t="s">
        <v>6539</v>
      </c>
      <c r="C2237" s="22" t="s">
        <v>6540</v>
      </c>
      <c r="D2237" s="22" t="s">
        <v>9</v>
      </c>
      <c r="E2237" s="22" t="s">
        <v>23</v>
      </c>
      <c r="F2237" s="22">
        <v>145.105</v>
      </c>
    </row>
    <row r="2238" spans="1:6">
      <c r="A2238" s="22" t="s">
        <v>6541</v>
      </c>
      <c r="B2238" s="22" t="s">
        <v>6542</v>
      </c>
      <c r="C2238" s="22" t="s">
        <v>6543</v>
      </c>
      <c r="D2238" s="22" t="s">
        <v>9</v>
      </c>
      <c r="E2238" s="22" t="s">
        <v>50</v>
      </c>
      <c r="F2238" s="22">
        <v>447.485</v>
      </c>
    </row>
    <row r="2239" spans="1:6">
      <c r="A2239" s="22" t="s">
        <v>6544</v>
      </c>
      <c r="B2239" s="22" t="s">
        <v>3941</v>
      </c>
      <c r="C2239" s="22" t="s">
        <v>6545</v>
      </c>
      <c r="D2239" s="22" t="s">
        <v>9</v>
      </c>
      <c r="E2239" s="22" t="s">
        <v>27</v>
      </c>
      <c r="F2239" s="22">
        <v>10.408</v>
      </c>
    </row>
    <row r="2240" spans="1:6">
      <c r="A2240" s="22" t="s">
        <v>6546</v>
      </c>
      <c r="B2240" s="22" t="s">
        <v>6547</v>
      </c>
      <c r="C2240" s="22" t="s">
        <v>6548</v>
      </c>
      <c r="D2240" s="22" t="s">
        <v>9</v>
      </c>
      <c r="E2240" s="22" t="s">
        <v>14</v>
      </c>
      <c r="F2240" s="22">
        <v>272.109</v>
      </c>
    </row>
    <row r="2241" spans="1:6">
      <c r="A2241" s="22" t="s">
        <v>6549</v>
      </c>
      <c r="B2241" s="22" t="s">
        <v>6550</v>
      </c>
      <c r="C2241" s="22" t="s">
        <v>6551</v>
      </c>
      <c r="D2241" s="22" t="s">
        <v>9</v>
      </c>
      <c r="E2241" s="22" t="s">
        <v>27</v>
      </c>
      <c r="F2241" s="22">
        <v>5655.429</v>
      </c>
    </row>
    <row r="2242" spans="1:6">
      <c r="A2242" s="22" t="s">
        <v>6552</v>
      </c>
      <c r="B2242" s="22" t="s">
        <v>6553</v>
      </c>
      <c r="C2242" s="22" t="s">
        <v>6554</v>
      </c>
      <c r="D2242" s="22" t="s">
        <v>9</v>
      </c>
      <c r="E2242" s="22" t="s">
        <v>14</v>
      </c>
      <c r="F2242" s="22">
        <v>642.956</v>
      </c>
    </row>
    <row r="2243" spans="1:6">
      <c r="A2243" s="22" t="s">
        <v>6555</v>
      </c>
      <c r="B2243" s="22" t="s">
        <v>542</v>
      </c>
      <c r="C2243" s="22" t="s">
        <v>6556</v>
      </c>
      <c r="D2243" s="22" t="s">
        <v>9</v>
      </c>
      <c r="E2243" s="22" t="s">
        <v>27</v>
      </c>
      <c r="F2243" s="22">
        <v>152.202</v>
      </c>
    </row>
    <row r="2244" spans="1:6">
      <c r="A2244" s="22" t="s">
        <v>6557</v>
      </c>
      <c r="B2244" s="22" t="s">
        <v>6558</v>
      </c>
      <c r="C2244" s="22" t="s">
        <v>6559</v>
      </c>
      <c r="D2244" s="22" t="s">
        <v>9</v>
      </c>
      <c r="E2244" s="22" t="s">
        <v>27</v>
      </c>
      <c r="F2244" s="22">
        <v>65.647</v>
      </c>
    </row>
    <row r="2245" spans="1:6">
      <c r="A2245" s="22" t="s">
        <v>6560</v>
      </c>
      <c r="B2245" s="22" t="s">
        <v>6561</v>
      </c>
      <c r="C2245" s="22" t="s">
        <v>6562</v>
      </c>
      <c r="D2245" s="22" t="s">
        <v>9</v>
      </c>
      <c r="E2245" s="22" t="s">
        <v>23</v>
      </c>
      <c r="F2245" s="22">
        <v>9.221</v>
      </c>
    </row>
    <row r="2246" spans="1:6">
      <c r="A2246" s="22" t="s">
        <v>6563</v>
      </c>
      <c r="B2246" s="22" t="s">
        <v>6564</v>
      </c>
      <c r="C2246" s="22" t="s">
        <v>6565</v>
      </c>
      <c r="D2246" s="22" t="s">
        <v>9</v>
      </c>
      <c r="E2246" s="22" t="s">
        <v>27</v>
      </c>
      <c r="F2246" s="22">
        <v>58.203</v>
      </c>
    </row>
    <row r="2247" spans="1:6">
      <c r="A2247" s="22" t="s">
        <v>6566</v>
      </c>
      <c r="B2247" s="22" t="s">
        <v>6567</v>
      </c>
      <c r="C2247" s="22" t="s">
        <v>6568</v>
      </c>
      <c r="D2247" s="22" t="s">
        <v>9</v>
      </c>
      <c r="E2247" s="22" t="s">
        <v>27</v>
      </c>
      <c r="F2247" s="22">
        <v>641.743</v>
      </c>
    </row>
    <row r="2248" spans="1:6">
      <c r="A2248" s="22" t="s">
        <v>6569</v>
      </c>
      <c r="B2248" s="22" t="s">
        <v>6570</v>
      </c>
      <c r="C2248" s="22" t="s">
        <v>6571</v>
      </c>
      <c r="D2248" s="22" t="s">
        <v>9</v>
      </c>
      <c r="E2248" s="22" t="s">
        <v>14</v>
      </c>
      <c r="F2248" s="22">
        <v>127.894</v>
      </c>
    </row>
    <row r="2249" spans="1:6">
      <c r="A2249" s="22" t="s">
        <v>6572</v>
      </c>
      <c r="B2249" s="22" t="s">
        <v>6573</v>
      </c>
      <c r="C2249" s="22" t="s">
        <v>6574</v>
      </c>
      <c r="D2249" s="22" t="s">
        <v>9</v>
      </c>
      <c r="E2249" s="22" t="s">
        <v>23</v>
      </c>
      <c r="F2249" s="22">
        <v>56.601</v>
      </c>
    </row>
    <row r="2250" spans="1:6">
      <c r="A2250" s="22" t="s">
        <v>6575</v>
      </c>
      <c r="B2250" s="22" t="s">
        <v>5480</v>
      </c>
      <c r="C2250" s="22" t="s">
        <v>6576</v>
      </c>
      <c r="D2250" s="22" t="s">
        <v>9</v>
      </c>
      <c r="E2250" s="22" t="s">
        <v>66</v>
      </c>
      <c r="F2250" s="22">
        <v>3.447</v>
      </c>
    </row>
    <row r="2251" spans="1:6">
      <c r="A2251" s="22" t="s">
        <v>6577</v>
      </c>
      <c r="B2251" s="22" t="s">
        <v>6578</v>
      </c>
      <c r="C2251" s="22" t="s">
        <v>6579</v>
      </c>
      <c r="D2251" s="22" t="s">
        <v>9</v>
      </c>
      <c r="E2251" s="22" t="s">
        <v>40</v>
      </c>
      <c r="F2251" s="22">
        <v>292.832</v>
      </c>
    </row>
    <row r="2252" spans="1:6">
      <c r="A2252" s="22" t="s">
        <v>6580</v>
      </c>
      <c r="B2252" s="22" t="s">
        <v>6581</v>
      </c>
      <c r="C2252" s="22" t="s">
        <v>6582</v>
      </c>
      <c r="D2252" s="22" t="s">
        <v>9</v>
      </c>
      <c r="E2252" s="22" t="s">
        <v>40</v>
      </c>
      <c r="F2252" s="22">
        <v>57.68</v>
      </c>
    </row>
    <row r="2253" spans="1:6">
      <c r="A2253" s="22" t="s">
        <v>6583</v>
      </c>
      <c r="B2253" s="22" t="s">
        <v>103</v>
      </c>
      <c r="C2253" s="22" t="s">
        <v>6584</v>
      </c>
      <c r="D2253" s="22" t="s">
        <v>9</v>
      </c>
      <c r="E2253" s="22" t="s">
        <v>62</v>
      </c>
      <c r="F2253" s="22">
        <v>39.359</v>
      </c>
    </row>
    <row r="2254" spans="1:6">
      <c r="A2254" s="22" t="s">
        <v>6585</v>
      </c>
      <c r="B2254" s="22" t="s">
        <v>5903</v>
      </c>
      <c r="C2254" s="22" t="s">
        <v>6586</v>
      </c>
      <c r="D2254" s="22" t="s">
        <v>9</v>
      </c>
      <c r="E2254" s="22" t="s">
        <v>23</v>
      </c>
      <c r="F2254" s="22">
        <v>42.893</v>
      </c>
    </row>
    <row r="2255" spans="1:6">
      <c r="A2255" s="22" t="s">
        <v>6587</v>
      </c>
      <c r="B2255" s="22" t="s">
        <v>6588</v>
      </c>
      <c r="C2255" s="22" t="s">
        <v>6589</v>
      </c>
      <c r="D2255" s="22" t="s">
        <v>9</v>
      </c>
      <c r="E2255" s="22" t="s">
        <v>35</v>
      </c>
      <c r="F2255" s="22">
        <v>57.091</v>
      </c>
    </row>
    <row r="2256" spans="1:6">
      <c r="A2256" s="22" t="s">
        <v>6590</v>
      </c>
      <c r="B2256" s="22" t="s">
        <v>5764</v>
      </c>
      <c r="C2256" s="22" t="s">
        <v>5765</v>
      </c>
      <c r="D2256" s="22" t="s">
        <v>9</v>
      </c>
      <c r="E2256" s="22" t="s">
        <v>27</v>
      </c>
      <c r="F2256" s="22">
        <v>95.644</v>
      </c>
    </row>
    <row r="2257" spans="1:6">
      <c r="A2257" s="22" t="s">
        <v>6591</v>
      </c>
      <c r="B2257" s="22" t="s">
        <v>6592</v>
      </c>
      <c r="C2257" s="22" t="s">
        <v>6593</v>
      </c>
      <c r="D2257" s="22" t="s">
        <v>9</v>
      </c>
      <c r="E2257" s="22" t="s">
        <v>147</v>
      </c>
    </row>
    <row r="2258" spans="1:6">
      <c r="A2258" s="22" t="s">
        <v>6594</v>
      </c>
      <c r="B2258" s="22" t="s">
        <v>6595</v>
      </c>
      <c r="C2258" s="22" t="s">
        <v>6596</v>
      </c>
      <c r="D2258" s="22" t="s">
        <v>9</v>
      </c>
      <c r="E2258" s="22" t="s">
        <v>62</v>
      </c>
      <c r="F2258" s="22">
        <v>18.849</v>
      </c>
    </row>
    <row r="2259" spans="1:6">
      <c r="A2259" s="22" t="s">
        <v>6597</v>
      </c>
      <c r="B2259" s="22" t="s">
        <v>6598</v>
      </c>
      <c r="C2259" s="22" t="s">
        <v>6599</v>
      </c>
      <c r="D2259" s="22" t="s">
        <v>9</v>
      </c>
      <c r="E2259" s="22" t="s">
        <v>40</v>
      </c>
      <c r="F2259" s="22">
        <v>4592.707</v>
      </c>
    </row>
    <row r="2260" spans="1:6">
      <c r="A2260" s="22" t="s">
        <v>6600</v>
      </c>
      <c r="B2260" s="22" t="s">
        <v>6601</v>
      </c>
      <c r="C2260" s="22" t="s">
        <v>6602</v>
      </c>
      <c r="D2260" s="22" t="s">
        <v>9</v>
      </c>
      <c r="E2260" s="22" t="s">
        <v>40</v>
      </c>
      <c r="F2260" s="22">
        <v>35.089</v>
      </c>
    </row>
    <row r="2261" spans="1:6">
      <c r="A2261" s="22" t="s">
        <v>6603</v>
      </c>
      <c r="B2261" s="22" t="s">
        <v>6604</v>
      </c>
      <c r="C2261" s="22" t="s">
        <v>6605</v>
      </c>
      <c r="D2261" s="22" t="s">
        <v>9</v>
      </c>
      <c r="E2261" s="22" t="s">
        <v>40</v>
      </c>
      <c r="F2261" s="22">
        <v>648.846</v>
      </c>
    </row>
    <row r="2262" spans="1:6">
      <c r="A2262" s="22" t="s">
        <v>6606</v>
      </c>
      <c r="B2262" s="22" t="s">
        <v>6607</v>
      </c>
      <c r="C2262" s="22" t="s">
        <v>6608</v>
      </c>
      <c r="D2262" s="22" t="s">
        <v>9</v>
      </c>
      <c r="E2262" s="22" t="s">
        <v>40</v>
      </c>
      <c r="F2262" s="22">
        <v>511.45</v>
      </c>
    </row>
    <row r="2263" spans="1:6">
      <c r="A2263" s="22" t="s">
        <v>6609</v>
      </c>
      <c r="B2263" s="22" t="s">
        <v>6610</v>
      </c>
      <c r="C2263" s="22" t="s">
        <v>6611</v>
      </c>
      <c r="D2263" s="22" t="s">
        <v>9</v>
      </c>
      <c r="E2263" s="22" t="s">
        <v>14</v>
      </c>
      <c r="F2263" s="22">
        <v>17.085</v>
      </c>
    </row>
    <row r="2264" spans="1:6">
      <c r="A2264" s="22" t="s">
        <v>6612</v>
      </c>
      <c r="B2264" s="22" t="s">
        <v>6613</v>
      </c>
      <c r="C2264" s="22" t="s">
        <v>6614</v>
      </c>
      <c r="D2264" s="22" t="s">
        <v>9</v>
      </c>
      <c r="E2264" s="22" t="s">
        <v>40</v>
      </c>
      <c r="F2264" s="22">
        <v>271.815</v>
      </c>
    </row>
    <row r="2265" spans="1:6">
      <c r="A2265" s="22" t="s">
        <v>6615</v>
      </c>
      <c r="B2265" s="22" t="s">
        <v>6616</v>
      </c>
      <c r="C2265" s="22" t="s">
        <v>6617</v>
      </c>
      <c r="D2265" s="22" t="s">
        <v>9</v>
      </c>
      <c r="E2265" s="22" t="s">
        <v>66</v>
      </c>
      <c r="F2265" s="22">
        <v>2746.812</v>
      </c>
    </row>
    <row r="2266" spans="1:6">
      <c r="A2266" s="22" t="s">
        <v>6618</v>
      </c>
      <c r="B2266" s="22" t="s">
        <v>6619</v>
      </c>
      <c r="C2266" s="22" t="s">
        <v>6620</v>
      </c>
      <c r="D2266" s="22" t="s">
        <v>9</v>
      </c>
      <c r="E2266" s="22" t="s">
        <v>27</v>
      </c>
      <c r="F2266" s="22">
        <v>216.443</v>
      </c>
    </row>
    <row r="2267" spans="1:6">
      <c r="A2267" s="22" t="s">
        <v>6621</v>
      </c>
      <c r="B2267" s="22" t="s">
        <v>6622</v>
      </c>
      <c r="C2267" s="22" t="s">
        <v>6623</v>
      </c>
      <c r="D2267" s="22" t="s">
        <v>9</v>
      </c>
      <c r="E2267" s="22" t="s">
        <v>23</v>
      </c>
      <c r="F2267" s="22">
        <v>355.593</v>
      </c>
    </row>
    <row r="2268" spans="1:6">
      <c r="A2268" s="22" t="s">
        <v>6624</v>
      </c>
      <c r="B2268" s="22" t="s">
        <v>6625</v>
      </c>
      <c r="C2268" s="22" t="s">
        <v>6626</v>
      </c>
      <c r="D2268" s="22" t="s">
        <v>9</v>
      </c>
      <c r="E2268" s="22" t="s">
        <v>62</v>
      </c>
      <c r="F2268" s="22">
        <v>45.939</v>
      </c>
    </row>
    <row r="2269" spans="1:6">
      <c r="A2269" s="22" t="s">
        <v>6627</v>
      </c>
      <c r="B2269" s="22" t="s">
        <v>6628</v>
      </c>
      <c r="C2269" s="22" t="s">
        <v>6629</v>
      </c>
      <c r="D2269" s="22" t="s">
        <v>9</v>
      </c>
      <c r="E2269" s="22" t="s">
        <v>61</v>
      </c>
      <c r="F2269" s="22">
        <v>332.66</v>
      </c>
    </row>
    <row r="2270" spans="1:6">
      <c r="A2270" s="22" t="s">
        <v>6630</v>
      </c>
      <c r="B2270" s="22" t="s">
        <v>6631</v>
      </c>
      <c r="C2270" s="22" t="s">
        <v>6632</v>
      </c>
      <c r="D2270" s="22" t="s">
        <v>9</v>
      </c>
      <c r="E2270" s="22" t="s">
        <v>40</v>
      </c>
      <c r="F2270" s="22">
        <v>2257.881</v>
      </c>
    </row>
    <row r="2271" spans="1:6">
      <c r="A2271" s="22" t="s">
        <v>6633</v>
      </c>
      <c r="B2271" s="22" t="s">
        <v>6634</v>
      </c>
      <c r="C2271" s="22" t="s">
        <v>6635</v>
      </c>
      <c r="D2271" s="22" t="s">
        <v>9</v>
      </c>
      <c r="E2271" s="22" t="s">
        <v>50</v>
      </c>
      <c r="F2271" s="22">
        <v>1.234</v>
      </c>
    </row>
    <row r="2272" spans="1:6">
      <c r="A2272" s="22" t="s">
        <v>6636</v>
      </c>
      <c r="B2272" s="22" t="s">
        <v>6637</v>
      </c>
      <c r="C2272" s="22" t="s">
        <v>6638</v>
      </c>
      <c r="D2272" s="22" t="s">
        <v>9</v>
      </c>
      <c r="E2272" s="22" t="s">
        <v>40</v>
      </c>
      <c r="F2272" s="22">
        <v>235.062</v>
      </c>
    </row>
    <row r="2273" spans="1:6">
      <c r="A2273" s="22" t="s">
        <v>6639</v>
      </c>
      <c r="B2273" s="22" t="s">
        <v>6640</v>
      </c>
      <c r="C2273" s="22" t="s">
        <v>6641</v>
      </c>
      <c r="D2273" s="22" t="s">
        <v>9</v>
      </c>
      <c r="E2273" s="22" t="s">
        <v>40</v>
      </c>
      <c r="F2273" s="22">
        <v>11.821</v>
      </c>
    </row>
    <row r="2274" spans="1:6">
      <c r="A2274" s="22" t="s">
        <v>6642</v>
      </c>
      <c r="B2274" s="22" t="s">
        <v>6643</v>
      </c>
      <c r="C2274" s="22" t="s">
        <v>6644</v>
      </c>
      <c r="D2274" s="22" t="s">
        <v>9</v>
      </c>
      <c r="E2274" s="22" t="s">
        <v>61</v>
      </c>
      <c r="F2274" s="22">
        <v>171.056</v>
      </c>
    </row>
    <row r="2275" spans="1:6">
      <c r="A2275" s="22" t="s">
        <v>6645</v>
      </c>
      <c r="B2275" s="22" t="s">
        <v>6646</v>
      </c>
      <c r="C2275" s="22" t="s">
        <v>6647</v>
      </c>
      <c r="D2275" s="22" t="s">
        <v>9</v>
      </c>
      <c r="E2275" s="22" t="s">
        <v>35</v>
      </c>
      <c r="F2275" s="22">
        <v>14.976</v>
      </c>
    </row>
    <row r="2276" spans="1:6">
      <c r="A2276" s="22" t="s">
        <v>6648</v>
      </c>
      <c r="B2276" s="22" t="s">
        <v>6649</v>
      </c>
      <c r="C2276" s="22" t="s">
        <v>6650</v>
      </c>
      <c r="D2276" s="22" t="s">
        <v>9</v>
      </c>
      <c r="E2276" s="22" t="s">
        <v>40</v>
      </c>
      <c r="F2276" s="22">
        <v>1507.788</v>
      </c>
    </row>
    <row r="2277" spans="1:6">
      <c r="A2277" s="22" t="s">
        <v>6651</v>
      </c>
      <c r="B2277" s="22" t="s">
        <v>6652</v>
      </c>
      <c r="C2277" s="22" t="s">
        <v>6653</v>
      </c>
      <c r="D2277" s="22" t="s">
        <v>9</v>
      </c>
      <c r="E2277" s="22" t="s">
        <v>14</v>
      </c>
      <c r="F2277" s="22">
        <v>206.718</v>
      </c>
    </row>
    <row r="2278" spans="1:6">
      <c r="A2278" s="22" t="s">
        <v>6654</v>
      </c>
      <c r="B2278" s="22" t="s">
        <v>6655</v>
      </c>
      <c r="C2278" s="22" t="s">
        <v>6656</v>
      </c>
      <c r="D2278" s="22" t="s">
        <v>9</v>
      </c>
      <c r="E2278" s="22" t="s">
        <v>50</v>
      </c>
      <c r="F2278" s="22">
        <v>18.392</v>
      </c>
    </row>
    <row r="2279" spans="1:6">
      <c r="A2279" s="22" t="s">
        <v>6657</v>
      </c>
      <c r="B2279" s="22" t="s">
        <v>6658</v>
      </c>
      <c r="C2279" s="22" t="s">
        <v>6659</v>
      </c>
      <c r="D2279" s="22" t="s">
        <v>9</v>
      </c>
      <c r="E2279" s="22" t="s">
        <v>23</v>
      </c>
      <c r="F2279" s="22">
        <v>4.394</v>
      </c>
    </row>
    <row r="2280" spans="1:6">
      <c r="A2280" s="22" t="s">
        <v>6660</v>
      </c>
      <c r="B2280" s="22" t="s">
        <v>6661</v>
      </c>
      <c r="C2280" s="22" t="s">
        <v>6662</v>
      </c>
      <c r="D2280" s="22" t="s">
        <v>9</v>
      </c>
      <c r="E2280" s="22" t="s">
        <v>40</v>
      </c>
      <c r="F2280" s="22">
        <v>21.109</v>
      </c>
    </row>
    <row r="2281" spans="1:6">
      <c r="A2281" s="22" t="s">
        <v>6663</v>
      </c>
      <c r="B2281" s="22" t="s">
        <v>6039</v>
      </c>
      <c r="C2281" s="22" t="s">
        <v>6664</v>
      </c>
      <c r="D2281" s="22" t="s">
        <v>9</v>
      </c>
      <c r="E2281" s="22" t="s">
        <v>40</v>
      </c>
      <c r="F2281" s="22">
        <v>29.462</v>
      </c>
    </row>
    <row r="2282" spans="1:6">
      <c r="A2282" s="22" t="s">
        <v>6665</v>
      </c>
      <c r="B2282" s="22" t="s">
        <v>4024</v>
      </c>
      <c r="C2282" s="22" t="s">
        <v>6666</v>
      </c>
      <c r="D2282" s="22" t="s">
        <v>9</v>
      </c>
      <c r="E2282" s="22" t="s">
        <v>61</v>
      </c>
      <c r="F2282" s="22">
        <v>24.17</v>
      </c>
    </row>
    <row r="2283" spans="1:6">
      <c r="A2283" s="22" t="s">
        <v>6667</v>
      </c>
      <c r="B2283" s="22" t="s">
        <v>6668</v>
      </c>
      <c r="C2283" s="22" t="s">
        <v>6669</v>
      </c>
      <c r="D2283" s="22" t="s">
        <v>9</v>
      </c>
      <c r="E2283" s="22" t="s">
        <v>31</v>
      </c>
      <c r="F2283" s="22">
        <v>418.694</v>
      </c>
    </row>
    <row r="2284" spans="1:6">
      <c r="A2284" s="22" t="s">
        <v>6670</v>
      </c>
      <c r="B2284" s="22" t="s">
        <v>6671</v>
      </c>
      <c r="C2284" s="22" t="s">
        <v>6672</v>
      </c>
      <c r="D2284" s="22" t="s">
        <v>9</v>
      </c>
      <c r="E2284" s="22" t="s">
        <v>27</v>
      </c>
      <c r="F2284" s="22">
        <v>8808.098</v>
      </c>
    </row>
    <row r="2285" spans="1:6">
      <c r="A2285" s="22" t="s">
        <v>6673</v>
      </c>
      <c r="B2285" s="22" t="s">
        <v>6674</v>
      </c>
      <c r="C2285" s="22" t="s">
        <v>6675</v>
      </c>
      <c r="D2285" s="22" t="s">
        <v>9</v>
      </c>
      <c r="E2285" s="22" t="s">
        <v>40</v>
      </c>
      <c r="F2285" s="22">
        <v>137.307</v>
      </c>
    </row>
    <row r="2286" spans="1:6">
      <c r="A2286" s="22" t="s">
        <v>6676</v>
      </c>
      <c r="B2286" s="22" t="s">
        <v>6677</v>
      </c>
      <c r="C2286" s="22" t="s">
        <v>6678</v>
      </c>
      <c r="D2286" s="22" t="s">
        <v>9</v>
      </c>
      <c r="E2286" s="22" t="s">
        <v>35</v>
      </c>
      <c r="F2286" s="22">
        <v>240.343</v>
      </c>
    </row>
    <row r="2287" spans="1:6">
      <c r="A2287" s="22" t="s">
        <v>6679</v>
      </c>
      <c r="B2287" s="22" t="s">
        <v>6649</v>
      </c>
      <c r="C2287" s="22" t="s">
        <v>6680</v>
      </c>
      <c r="D2287" s="22" t="s">
        <v>9</v>
      </c>
      <c r="E2287" s="22" t="s">
        <v>40</v>
      </c>
      <c r="F2287" s="22">
        <v>3303.25</v>
      </c>
    </row>
    <row r="2288" spans="1:6">
      <c r="A2288" s="22" t="s">
        <v>6681</v>
      </c>
      <c r="B2288" s="22" t="s">
        <v>6682</v>
      </c>
      <c r="C2288" s="22" t="s">
        <v>6683</v>
      </c>
      <c r="D2288" s="22" t="s">
        <v>9</v>
      </c>
      <c r="E2288" s="22" t="s">
        <v>31</v>
      </c>
      <c r="F2288" s="22">
        <v>417.834</v>
      </c>
    </row>
    <row r="2289" spans="1:6">
      <c r="A2289" s="22" t="s">
        <v>6684</v>
      </c>
      <c r="B2289" s="22" t="s">
        <v>6685</v>
      </c>
      <c r="C2289" s="22" t="s">
        <v>6686</v>
      </c>
      <c r="D2289" s="22" t="s">
        <v>9</v>
      </c>
      <c r="E2289" s="22" t="s">
        <v>61</v>
      </c>
      <c r="F2289" s="22">
        <v>15.07</v>
      </c>
    </row>
    <row r="2290" spans="1:6">
      <c r="A2290" s="22" t="s">
        <v>6687</v>
      </c>
      <c r="B2290" s="22" t="s">
        <v>6688</v>
      </c>
      <c r="C2290" s="22" t="s">
        <v>6689</v>
      </c>
      <c r="D2290" s="22" t="s">
        <v>9</v>
      </c>
      <c r="E2290" s="22" t="s">
        <v>14</v>
      </c>
      <c r="F2290" s="22">
        <v>79.958</v>
      </c>
    </row>
    <row r="2291" spans="1:6">
      <c r="A2291" s="22" t="s">
        <v>6690</v>
      </c>
      <c r="B2291" s="22" t="s">
        <v>6691</v>
      </c>
      <c r="C2291" s="22" t="s">
        <v>6692</v>
      </c>
      <c r="D2291" s="22" t="s">
        <v>9</v>
      </c>
      <c r="E2291" s="22" t="s">
        <v>62</v>
      </c>
      <c r="F2291" s="22">
        <v>20.386</v>
      </c>
    </row>
    <row r="2292" spans="1:6">
      <c r="A2292" s="22" t="s">
        <v>6693</v>
      </c>
      <c r="B2292" s="22" t="s">
        <v>6694</v>
      </c>
      <c r="C2292" s="22" t="s">
        <v>6695</v>
      </c>
      <c r="D2292" s="22" t="s">
        <v>9</v>
      </c>
      <c r="E2292" s="22" t="s">
        <v>14</v>
      </c>
      <c r="F2292" s="22">
        <v>44.542</v>
      </c>
    </row>
    <row r="2293" spans="1:6">
      <c r="A2293" s="22" t="s">
        <v>6696</v>
      </c>
      <c r="B2293" s="22" t="s">
        <v>6697</v>
      </c>
      <c r="C2293" s="22" t="s">
        <v>6698</v>
      </c>
      <c r="D2293" s="22" t="s">
        <v>9</v>
      </c>
      <c r="E2293" s="22" t="s">
        <v>40</v>
      </c>
      <c r="F2293" s="22">
        <v>19.253</v>
      </c>
    </row>
    <row r="2294" spans="1:6">
      <c r="A2294" s="22" t="s">
        <v>6699</v>
      </c>
      <c r="B2294" s="22" t="s">
        <v>6700</v>
      </c>
      <c r="C2294" s="22" t="s">
        <v>6701</v>
      </c>
      <c r="D2294" s="22" t="s">
        <v>9</v>
      </c>
      <c r="E2294" s="22" t="s">
        <v>40</v>
      </c>
      <c r="F2294" s="22">
        <v>72.742</v>
      </c>
    </row>
    <row r="2295" spans="1:6">
      <c r="A2295" s="22" t="s">
        <v>6702</v>
      </c>
      <c r="B2295" s="22" t="s">
        <v>6703</v>
      </c>
      <c r="C2295" s="22" t="s">
        <v>6704</v>
      </c>
      <c r="D2295" s="22" t="s">
        <v>9</v>
      </c>
      <c r="E2295" s="22" t="s">
        <v>40</v>
      </c>
      <c r="F2295" s="22">
        <v>516.836</v>
      </c>
    </row>
    <row r="2296" spans="1:6">
      <c r="A2296" s="22" t="s">
        <v>6705</v>
      </c>
      <c r="B2296" s="22" t="s">
        <v>6706</v>
      </c>
      <c r="C2296" s="22" t="s">
        <v>6707</v>
      </c>
      <c r="D2296" s="22" t="s">
        <v>9</v>
      </c>
      <c r="E2296" s="22" t="s">
        <v>40</v>
      </c>
      <c r="F2296" s="22">
        <v>1740.808</v>
      </c>
    </row>
    <row r="2297" spans="1:6">
      <c r="A2297" s="22" t="s">
        <v>6708</v>
      </c>
      <c r="B2297" s="22" t="s">
        <v>6709</v>
      </c>
      <c r="C2297" s="22" t="s">
        <v>6710</v>
      </c>
      <c r="D2297" s="22" t="s">
        <v>9</v>
      </c>
      <c r="E2297" s="22" t="s">
        <v>40</v>
      </c>
      <c r="F2297" s="22">
        <v>1709.238</v>
      </c>
    </row>
    <row r="2298" spans="1:6">
      <c r="A2298" s="22" t="s">
        <v>6711</v>
      </c>
      <c r="B2298" s="22" t="s">
        <v>6712</v>
      </c>
      <c r="C2298" s="22" t="s">
        <v>6713</v>
      </c>
      <c r="D2298" s="22" t="s">
        <v>9</v>
      </c>
      <c r="E2298" s="22" t="s">
        <v>40</v>
      </c>
      <c r="F2298" s="22">
        <v>1732.441</v>
      </c>
    </row>
    <row r="2299" spans="1:6">
      <c r="A2299" s="22" t="s">
        <v>6714</v>
      </c>
      <c r="B2299" s="22" t="s">
        <v>6715</v>
      </c>
      <c r="C2299" s="22" t="s">
        <v>6716</v>
      </c>
      <c r="D2299" s="22" t="s">
        <v>9</v>
      </c>
      <c r="E2299" s="22" t="s">
        <v>40</v>
      </c>
      <c r="F2299" s="22">
        <v>302.841</v>
      </c>
    </row>
    <row r="2300" spans="1:6">
      <c r="A2300" s="22" t="s">
        <v>6717</v>
      </c>
      <c r="B2300" s="22" t="s">
        <v>741</v>
      </c>
      <c r="C2300" s="22" t="s">
        <v>6718</v>
      </c>
      <c r="D2300" s="22" t="s">
        <v>9</v>
      </c>
      <c r="E2300" s="22" t="s">
        <v>27</v>
      </c>
      <c r="F2300" s="22">
        <v>25.56</v>
      </c>
    </row>
    <row r="2301" spans="1:6">
      <c r="A2301" s="22" t="s">
        <v>6719</v>
      </c>
      <c r="B2301" s="22" t="s">
        <v>6720</v>
      </c>
      <c r="C2301" s="22" t="s">
        <v>6721</v>
      </c>
      <c r="D2301" s="22" t="s">
        <v>9</v>
      </c>
      <c r="E2301" s="22" t="s">
        <v>35</v>
      </c>
      <c r="F2301" s="22">
        <v>1028.09</v>
      </c>
    </row>
    <row r="2302" spans="1:6">
      <c r="A2302" s="22" t="s">
        <v>6722</v>
      </c>
      <c r="B2302" s="22" t="s">
        <v>6723</v>
      </c>
      <c r="C2302" s="22" t="s">
        <v>6724</v>
      </c>
      <c r="D2302" s="22" t="s">
        <v>9</v>
      </c>
      <c r="E2302" s="22" t="s">
        <v>23</v>
      </c>
      <c r="F2302" s="22">
        <v>195.084</v>
      </c>
    </row>
    <row r="2303" spans="1:6">
      <c r="A2303" s="22" t="s">
        <v>6725</v>
      </c>
      <c r="B2303" s="22" t="s">
        <v>6726</v>
      </c>
      <c r="C2303" s="22" t="s">
        <v>6727</v>
      </c>
      <c r="D2303" s="22" t="s">
        <v>9</v>
      </c>
      <c r="E2303" s="22" t="s">
        <v>154</v>
      </c>
    </row>
    <row r="2304" spans="1:6">
      <c r="A2304" s="22" t="s">
        <v>6728</v>
      </c>
      <c r="B2304" s="22" t="s">
        <v>6729</v>
      </c>
      <c r="C2304" s="22" t="s">
        <v>6730</v>
      </c>
      <c r="D2304" s="22" t="s">
        <v>9</v>
      </c>
      <c r="E2304" s="22" t="s">
        <v>61</v>
      </c>
      <c r="F2304" s="22">
        <v>1.01</v>
      </c>
    </row>
    <row r="2305" spans="1:6">
      <c r="A2305" s="22" t="s">
        <v>6731</v>
      </c>
      <c r="B2305" s="22" t="s">
        <v>6732</v>
      </c>
      <c r="C2305" s="22" t="s">
        <v>6733</v>
      </c>
      <c r="D2305" s="22" t="s">
        <v>9</v>
      </c>
      <c r="E2305" s="22" t="s">
        <v>31</v>
      </c>
      <c r="F2305" s="22">
        <v>5066.14</v>
      </c>
    </row>
    <row r="2306" spans="1:6">
      <c r="A2306" s="22" t="s">
        <v>6734</v>
      </c>
      <c r="B2306" s="22" t="s">
        <v>6735</v>
      </c>
      <c r="C2306" s="22" t="s">
        <v>6736</v>
      </c>
      <c r="D2306" s="22" t="s">
        <v>9</v>
      </c>
      <c r="E2306" s="22" t="s">
        <v>23</v>
      </c>
      <c r="F2306" s="22">
        <v>16.692</v>
      </c>
    </row>
    <row r="2307" spans="1:6">
      <c r="A2307" s="22" t="s">
        <v>6737</v>
      </c>
      <c r="B2307" s="22" t="s">
        <v>6738</v>
      </c>
      <c r="C2307" s="22" t="s">
        <v>6739</v>
      </c>
      <c r="D2307" s="22" t="s">
        <v>9</v>
      </c>
      <c r="E2307" s="22" t="s">
        <v>40</v>
      </c>
      <c r="F2307" s="22">
        <v>2108.1</v>
      </c>
    </row>
    <row r="2308" spans="1:6">
      <c r="A2308" s="22" t="s">
        <v>6740</v>
      </c>
      <c r="B2308" s="22" t="s">
        <v>6741</v>
      </c>
      <c r="C2308" s="22" t="s">
        <v>6742</v>
      </c>
      <c r="D2308" s="22" t="s">
        <v>9</v>
      </c>
      <c r="E2308" s="22" t="s">
        <v>31</v>
      </c>
      <c r="F2308" s="22">
        <v>20.921</v>
      </c>
    </row>
    <row r="2309" spans="1:6">
      <c r="A2309" s="22" t="s">
        <v>6743</v>
      </c>
      <c r="B2309" s="22" t="s">
        <v>6744</v>
      </c>
      <c r="C2309" s="22" t="s">
        <v>6745</v>
      </c>
      <c r="D2309" s="22" t="s">
        <v>9</v>
      </c>
      <c r="E2309" s="22" t="s">
        <v>14</v>
      </c>
      <c r="F2309" s="22">
        <v>3.627</v>
      </c>
    </row>
    <row r="2310" spans="1:6">
      <c r="A2310" s="22" t="s">
        <v>6746</v>
      </c>
      <c r="B2310" s="22" t="s">
        <v>6747</v>
      </c>
      <c r="C2310" s="22" t="s">
        <v>6748</v>
      </c>
      <c r="D2310" s="22" t="s">
        <v>9</v>
      </c>
      <c r="E2310" s="22" t="s">
        <v>23</v>
      </c>
      <c r="F2310" s="22">
        <v>6452.181</v>
      </c>
    </row>
    <row r="2311" spans="1:6">
      <c r="A2311" s="22" t="s">
        <v>6749</v>
      </c>
      <c r="B2311" s="22" t="s">
        <v>6750</v>
      </c>
      <c r="C2311" s="22" t="s">
        <v>6751</v>
      </c>
      <c r="D2311" s="22" t="s">
        <v>9</v>
      </c>
      <c r="E2311" s="22" t="s">
        <v>40</v>
      </c>
      <c r="F2311" s="22">
        <v>4.502</v>
      </c>
    </row>
    <row r="2312" spans="1:6">
      <c r="A2312" s="22" t="s">
        <v>6752</v>
      </c>
      <c r="B2312" s="22" t="s">
        <v>6753</v>
      </c>
      <c r="C2312" s="22" t="s">
        <v>6754</v>
      </c>
      <c r="D2312" s="22" t="s">
        <v>9</v>
      </c>
      <c r="E2312" s="22" t="s">
        <v>27</v>
      </c>
      <c r="F2312" s="22">
        <v>18.734</v>
      </c>
    </row>
    <row r="2313" spans="1:6">
      <c r="A2313" s="22" t="s">
        <v>6755</v>
      </c>
      <c r="B2313" s="22" t="s">
        <v>6756</v>
      </c>
      <c r="C2313" s="22" t="s">
        <v>6757</v>
      </c>
      <c r="D2313" s="22" t="s">
        <v>9</v>
      </c>
      <c r="E2313" s="22" t="s">
        <v>27</v>
      </c>
      <c r="F2313" s="22">
        <v>2133.759</v>
      </c>
    </row>
    <row r="2314" spans="1:6">
      <c r="A2314" s="22" t="s">
        <v>6758</v>
      </c>
      <c r="B2314" s="22" t="s">
        <v>6759</v>
      </c>
      <c r="C2314" s="22" t="s">
        <v>6760</v>
      </c>
      <c r="D2314" s="22" t="s">
        <v>9</v>
      </c>
      <c r="E2314" s="22" t="s">
        <v>27</v>
      </c>
      <c r="F2314" s="22">
        <v>4836.239</v>
      </c>
    </row>
    <row r="2315" spans="1:6">
      <c r="A2315" s="22" t="s">
        <v>6761</v>
      </c>
      <c r="B2315" s="22" t="s">
        <v>6762</v>
      </c>
      <c r="C2315" s="22" t="s">
        <v>6763</v>
      </c>
      <c r="D2315" s="22" t="s">
        <v>9</v>
      </c>
      <c r="E2315" s="22" t="s">
        <v>40</v>
      </c>
      <c r="F2315" s="22">
        <v>66.814</v>
      </c>
    </row>
    <row r="2316" spans="1:6">
      <c r="A2316" s="22" t="s">
        <v>6764</v>
      </c>
      <c r="B2316" s="22" t="s">
        <v>6765</v>
      </c>
      <c r="C2316" s="22" t="s">
        <v>6766</v>
      </c>
      <c r="D2316" s="22" t="s">
        <v>9</v>
      </c>
      <c r="E2316" s="22" t="s">
        <v>40</v>
      </c>
      <c r="F2316" s="22">
        <v>83.804</v>
      </c>
    </row>
    <row r="2317" spans="1:6">
      <c r="A2317" s="22" t="s">
        <v>6767</v>
      </c>
      <c r="B2317" s="22" t="s">
        <v>6768</v>
      </c>
      <c r="C2317" s="22" t="s">
        <v>6769</v>
      </c>
      <c r="D2317" s="22" t="s">
        <v>9</v>
      </c>
      <c r="E2317" s="22" t="s">
        <v>31</v>
      </c>
      <c r="F2317" s="22">
        <v>296.262</v>
      </c>
    </row>
    <row r="2318" spans="1:6">
      <c r="A2318" s="22" t="s">
        <v>6770</v>
      </c>
      <c r="B2318" s="22" t="s">
        <v>6771</v>
      </c>
      <c r="C2318" s="22" t="s">
        <v>6772</v>
      </c>
      <c r="D2318" s="22" t="s">
        <v>9</v>
      </c>
      <c r="E2318" s="22" t="s">
        <v>40</v>
      </c>
      <c r="F2318" s="22">
        <v>586.548</v>
      </c>
    </row>
    <row r="2319" spans="1:6">
      <c r="A2319" s="22" t="s">
        <v>6773</v>
      </c>
      <c r="B2319" s="22" t="s">
        <v>6774</v>
      </c>
      <c r="C2319" s="22" t="s">
        <v>6775</v>
      </c>
      <c r="D2319" s="22" t="s">
        <v>9</v>
      </c>
      <c r="E2319" s="22" t="s">
        <v>27</v>
      </c>
      <c r="F2319" s="22">
        <v>7.443</v>
      </c>
    </row>
    <row r="2320" spans="1:6">
      <c r="A2320" s="22" t="s">
        <v>6776</v>
      </c>
      <c r="B2320" s="22" t="s">
        <v>6777</v>
      </c>
      <c r="C2320" s="22" t="s">
        <v>6778</v>
      </c>
      <c r="D2320" s="22" t="s">
        <v>9</v>
      </c>
      <c r="E2320" s="22" t="s">
        <v>40</v>
      </c>
      <c r="F2320" s="22">
        <v>4920.304</v>
      </c>
    </row>
    <row r="2321" spans="1:6">
      <c r="A2321" s="22" t="s">
        <v>6779</v>
      </c>
      <c r="B2321" s="22" t="s">
        <v>6780</v>
      </c>
      <c r="C2321" s="22" t="s">
        <v>6781</v>
      </c>
      <c r="D2321" s="22" t="s">
        <v>9</v>
      </c>
      <c r="E2321" s="22" t="s">
        <v>23</v>
      </c>
      <c r="F2321" s="22">
        <v>1.422</v>
      </c>
    </row>
    <row r="2322" spans="1:6">
      <c r="A2322" s="22" t="s">
        <v>6782</v>
      </c>
      <c r="B2322" s="22" t="s">
        <v>6783</v>
      </c>
      <c r="C2322" s="22" t="s">
        <v>6784</v>
      </c>
      <c r="D2322" s="22" t="s">
        <v>9</v>
      </c>
      <c r="E2322" s="22" t="s">
        <v>40</v>
      </c>
      <c r="F2322" s="22">
        <v>24.362</v>
      </c>
    </row>
    <row r="2323" spans="1:6">
      <c r="A2323" s="22" t="s">
        <v>6785</v>
      </c>
      <c r="B2323" s="22" t="s">
        <v>6786</v>
      </c>
      <c r="C2323" s="22" t="s">
        <v>6787</v>
      </c>
      <c r="D2323" s="22" t="s">
        <v>9</v>
      </c>
      <c r="E2323" s="22" t="s">
        <v>62</v>
      </c>
      <c r="F2323" s="22">
        <v>1.21</v>
      </c>
    </row>
    <row r="2324" spans="1:6">
      <c r="A2324" s="22" t="s">
        <v>6788</v>
      </c>
      <c r="B2324" s="22" t="s">
        <v>6789</v>
      </c>
      <c r="C2324" s="22" t="s">
        <v>6790</v>
      </c>
      <c r="D2324" s="22" t="s">
        <v>9</v>
      </c>
      <c r="E2324" s="22" t="s">
        <v>14</v>
      </c>
      <c r="F2324" s="22">
        <v>74.542</v>
      </c>
    </row>
    <row r="2325" spans="1:6">
      <c r="A2325" s="22" t="s">
        <v>6791</v>
      </c>
      <c r="B2325" s="22" t="s">
        <v>6792</v>
      </c>
      <c r="C2325" s="22" t="s">
        <v>6793</v>
      </c>
      <c r="D2325" s="22" t="s">
        <v>9</v>
      </c>
      <c r="E2325" s="22" t="s">
        <v>40</v>
      </c>
      <c r="F2325" s="22">
        <v>3064.646</v>
      </c>
    </row>
    <row r="2326" spans="1:6">
      <c r="A2326" s="22" t="s">
        <v>6794</v>
      </c>
      <c r="B2326" s="22" t="s">
        <v>6795</v>
      </c>
      <c r="C2326" s="22" t="s">
        <v>6796</v>
      </c>
      <c r="D2326" s="22" t="s">
        <v>9</v>
      </c>
      <c r="E2326" s="22" t="s">
        <v>40</v>
      </c>
      <c r="F2326" s="22">
        <v>86.357</v>
      </c>
    </row>
    <row r="2327" spans="1:6">
      <c r="A2327" s="22" t="s">
        <v>6797</v>
      </c>
      <c r="B2327" s="22" t="s">
        <v>6798</v>
      </c>
      <c r="C2327" s="22" t="s">
        <v>6799</v>
      </c>
      <c r="D2327" s="22" t="s">
        <v>9</v>
      </c>
      <c r="E2327" s="22" t="s">
        <v>62</v>
      </c>
      <c r="F2327" s="22">
        <v>257.874</v>
      </c>
    </row>
    <row r="2328" spans="1:6">
      <c r="A2328" s="22" t="s">
        <v>6800</v>
      </c>
      <c r="B2328" s="22" t="s">
        <v>6801</v>
      </c>
      <c r="C2328" s="22" t="s">
        <v>6802</v>
      </c>
      <c r="D2328" s="22" t="s">
        <v>9</v>
      </c>
      <c r="E2328" s="22" t="s">
        <v>50</v>
      </c>
      <c r="F2328" s="22">
        <v>119.831</v>
      </c>
    </row>
    <row r="2329" spans="1:6">
      <c r="A2329" s="22" t="s">
        <v>6803</v>
      </c>
      <c r="B2329" s="22" t="s">
        <v>6804</v>
      </c>
      <c r="C2329" s="22" t="s">
        <v>6805</v>
      </c>
      <c r="D2329" s="22" t="s">
        <v>9</v>
      </c>
      <c r="E2329" s="22" t="s">
        <v>40</v>
      </c>
      <c r="F2329" s="22">
        <v>3807.439</v>
      </c>
    </row>
    <row r="2330" spans="1:6">
      <c r="A2330" s="22" t="s">
        <v>6806</v>
      </c>
      <c r="B2330" s="22" t="s">
        <v>6807</v>
      </c>
      <c r="C2330" s="22" t="s">
        <v>6808</v>
      </c>
      <c r="D2330" s="22" t="s">
        <v>9</v>
      </c>
      <c r="E2330" s="22" t="s">
        <v>40</v>
      </c>
      <c r="F2330" s="22">
        <v>447.275</v>
      </c>
    </row>
    <row r="2331" spans="1:6">
      <c r="A2331" s="22" t="s">
        <v>6809</v>
      </c>
      <c r="B2331" s="22" t="s">
        <v>6810</v>
      </c>
      <c r="C2331" s="22" t="s">
        <v>6811</v>
      </c>
      <c r="D2331" s="22" t="s">
        <v>9</v>
      </c>
      <c r="E2331" s="22" t="s">
        <v>40</v>
      </c>
      <c r="F2331" s="22">
        <v>8.737</v>
      </c>
    </row>
    <row r="2332" spans="1:6">
      <c r="A2332" s="22" t="s">
        <v>6812</v>
      </c>
      <c r="B2332" s="22" t="s">
        <v>6813</v>
      </c>
      <c r="C2332" s="22" t="s">
        <v>6814</v>
      </c>
      <c r="D2332" s="22" t="s">
        <v>9</v>
      </c>
      <c r="E2332" s="22" t="s">
        <v>57</v>
      </c>
      <c r="F2332" s="22">
        <v>9.587</v>
      </c>
    </row>
    <row r="2333" spans="1:6">
      <c r="A2333" s="22" t="s">
        <v>6815</v>
      </c>
      <c r="B2333" s="22" t="s">
        <v>6816</v>
      </c>
      <c r="C2333" s="22" t="s">
        <v>6817</v>
      </c>
      <c r="D2333" s="22" t="s">
        <v>9</v>
      </c>
      <c r="E2333" s="22" t="s">
        <v>40</v>
      </c>
      <c r="F2333" s="22">
        <v>21.834</v>
      </c>
    </row>
    <row r="2334" spans="1:6">
      <c r="A2334" s="22" t="s">
        <v>6818</v>
      </c>
      <c r="B2334" s="22" t="s">
        <v>6819</v>
      </c>
      <c r="C2334" s="22" t="s">
        <v>6820</v>
      </c>
      <c r="D2334" s="22" t="s">
        <v>9</v>
      </c>
      <c r="E2334" s="22" t="s">
        <v>40</v>
      </c>
      <c r="F2334" s="22">
        <v>3598.64</v>
      </c>
    </row>
    <row r="2335" spans="1:6">
      <c r="A2335" s="22" t="s">
        <v>6821</v>
      </c>
      <c r="B2335" s="22" t="s">
        <v>6822</v>
      </c>
      <c r="C2335" s="22" t="s">
        <v>6823</v>
      </c>
      <c r="D2335" s="22" t="s">
        <v>9</v>
      </c>
      <c r="E2335" s="22" t="s">
        <v>23</v>
      </c>
      <c r="F2335" s="22">
        <v>46.375</v>
      </c>
    </row>
    <row r="2336" spans="1:6">
      <c r="A2336" s="22" t="s">
        <v>6824</v>
      </c>
      <c r="B2336" s="22" t="s">
        <v>6825</v>
      </c>
      <c r="C2336" s="22" t="s">
        <v>6826</v>
      </c>
      <c r="D2336" s="22" t="s">
        <v>9</v>
      </c>
      <c r="E2336" s="22" t="s">
        <v>40</v>
      </c>
      <c r="F2336" s="22">
        <v>1248.865</v>
      </c>
    </row>
    <row r="2337" spans="1:6">
      <c r="A2337" s="22" t="s">
        <v>6827</v>
      </c>
      <c r="B2337" s="22" t="s">
        <v>6828</v>
      </c>
      <c r="C2337" s="22" t="s">
        <v>6829</v>
      </c>
      <c r="D2337" s="22" t="s">
        <v>9</v>
      </c>
      <c r="E2337" s="22" t="s">
        <v>35</v>
      </c>
      <c r="F2337" s="22">
        <v>3.652</v>
      </c>
    </row>
    <row r="2338" spans="1:6">
      <c r="A2338" s="22" t="s">
        <v>6830</v>
      </c>
      <c r="B2338" s="22" t="s">
        <v>6831</v>
      </c>
      <c r="C2338" s="22" t="s">
        <v>6832</v>
      </c>
      <c r="D2338" s="22" t="s">
        <v>9</v>
      </c>
      <c r="E2338" s="22" t="s">
        <v>27</v>
      </c>
      <c r="F2338" s="22">
        <v>2621.926</v>
      </c>
    </row>
    <row r="2339" spans="1:6">
      <c r="A2339" s="22" t="s">
        <v>6833</v>
      </c>
      <c r="B2339" s="22" t="s">
        <v>6834</v>
      </c>
      <c r="C2339" s="22" t="s">
        <v>6835</v>
      </c>
      <c r="D2339" s="22" t="s">
        <v>9</v>
      </c>
      <c r="E2339" s="22" t="s">
        <v>40</v>
      </c>
      <c r="F2339" s="22">
        <v>210.559</v>
      </c>
    </row>
    <row r="2340" spans="1:6">
      <c r="A2340" s="22" t="s">
        <v>6836</v>
      </c>
      <c r="B2340" s="22" t="s">
        <v>6837</v>
      </c>
      <c r="C2340" s="22" t="s">
        <v>6838</v>
      </c>
      <c r="D2340" s="22" t="s">
        <v>9</v>
      </c>
      <c r="E2340" s="22" t="s">
        <v>70</v>
      </c>
      <c r="F2340" s="22">
        <v>201.208</v>
      </c>
    </row>
    <row r="2341" spans="1:6">
      <c r="A2341" s="22" t="s">
        <v>6839</v>
      </c>
      <c r="B2341" s="22" t="s">
        <v>6840</v>
      </c>
      <c r="C2341" s="22" t="s">
        <v>6841</v>
      </c>
      <c r="D2341" s="22" t="s">
        <v>9</v>
      </c>
      <c r="E2341" s="22" t="s">
        <v>35</v>
      </c>
      <c r="F2341" s="22">
        <v>22.524</v>
      </c>
    </row>
    <row r="2342" spans="1:6">
      <c r="A2342" s="22" t="s">
        <v>6842</v>
      </c>
      <c r="B2342" s="22" t="s">
        <v>6655</v>
      </c>
      <c r="C2342" s="22" t="s">
        <v>6843</v>
      </c>
      <c r="D2342" s="22" t="s">
        <v>9</v>
      </c>
      <c r="E2342" s="22" t="s">
        <v>50</v>
      </c>
      <c r="F2342" s="22">
        <v>93.666</v>
      </c>
    </row>
    <row r="2343" spans="1:6">
      <c r="A2343" s="22" t="s">
        <v>6844</v>
      </c>
      <c r="B2343" s="22" t="s">
        <v>6845</v>
      </c>
      <c r="C2343" s="22" t="s">
        <v>6846</v>
      </c>
      <c r="D2343" s="22" t="s">
        <v>9</v>
      </c>
      <c r="E2343" s="22" t="s">
        <v>40</v>
      </c>
      <c r="F2343" s="22">
        <v>1964.026</v>
      </c>
    </row>
    <row r="2344" spans="1:6">
      <c r="A2344" s="22" t="s">
        <v>6847</v>
      </c>
      <c r="B2344" s="22" t="s">
        <v>6848</v>
      </c>
      <c r="C2344" s="22" t="s">
        <v>6849</v>
      </c>
      <c r="D2344" s="22" t="s">
        <v>9</v>
      </c>
      <c r="E2344" s="22" t="s">
        <v>35</v>
      </c>
      <c r="F2344" s="22">
        <v>22.777</v>
      </c>
    </row>
    <row r="2345" spans="1:6">
      <c r="A2345" s="22" t="s">
        <v>6850</v>
      </c>
      <c r="B2345" s="22" t="s">
        <v>6851</v>
      </c>
      <c r="C2345" s="22" t="s">
        <v>6852</v>
      </c>
      <c r="D2345" s="22" t="s">
        <v>9</v>
      </c>
      <c r="E2345" s="22" t="s">
        <v>27</v>
      </c>
      <c r="F2345" s="22">
        <v>5155.854</v>
      </c>
    </row>
    <row r="2346" spans="1:6">
      <c r="A2346" s="22" t="s">
        <v>6853</v>
      </c>
      <c r="B2346" s="22" t="s">
        <v>6854</v>
      </c>
      <c r="C2346" s="22" t="s">
        <v>6855</v>
      </c>
      <c r="D2346" s="22" t="s">
        <v>9</v>
      </c>
      <c r="E2346" s="22" t="s">
        <v>27</v>
      </c>
      <c r="F2346" s="22">
        <v>1332.904</v>
      </c>
    </row>
    <row r="2347" spans="1:6">
      <c r="A2347" s="22" t="s">
        <v>6856</v>
      </c>
      <c r="B2347" s="22" t="s">
        <v>6857</v>
      </c>
      <c r="C2347" s="22" t="s">
        <v>6858</v>
      </c>
      <c r="D2347" s="22" t="s">
        <v>9</v>
      </c>
      <c r="E2347" s="22" t="s">
        <v>35</v>
      </c>
      <c r="F2347" s="22">
        <v>787.871</v>
      </c>
    </row>
    <row r="2348" spans="1:6">
      <c r="A2348" s="22" t="s">
        <v>6859</v>
      </c>
      <c r="B2348" s="22" t="s">
        <v>6860</v>
      </c>
      <c r="C2348" s="22" t="s">
        <v>6861</v>
      </c>
      <c r="D2348" s="22" t="s">
        <v>9</v>
      </c>
      <c r="E2348" s="22" t="s">
        <v>143</v>
      </c>
      <c r="F2348" s="22">
        <v>2.437</v>
      </c>
    </row>
    <row r="2349" spans="1:6">
      <c r="A2349" s="22" t="s">
        <v>6862</v>
      </c>
      <c r="B2349" s="22" t="s">
        <v>6863</v>
      </c>
      <c r="C2349" s="22" t="s">
        <v>6864</v>
      </c>
      <c r="D2349" s="22" t="s">
        <v>9</v>
      </c>
      <c r="E2349" s="22" t="s">
        <v>27</v>
      </c>
      <c r="F2349" s="22">
        <v>389.775</v>
      </c>
    </row>
    <row r="2350" spans="1:6">
      <c r="A2350" s="22" t="s">
        <v>6865</v>
      </c>
      <c r="B2350" s="22" t="s">
        <v>6866</v>
      </c>
      <c r="C2350" s="22" t="s">
        <v>6867</v>
      </c>
      <c r="D2350" s="22" t="s">
        <v>9</v>
      </c>
      <c r="E2350" s="22" t="s">
        <v>40</v>
      </c>
      <c r="F2350" s="22">
        <v>241.277</v>
      </c>
    </row>
    <row r="2351" spans="1:6">
      <c r="A2351" s="22" t="s">
        <v>6868</v>
      </c>
      <c r="B2351" s="22" t="s">
        <v>6869</v>
      </c>
      <c r="C2351" s="22" t="s">
        <v>6870</v>
      </c>
      <c r="D2351" s="22" t="s">
        <v>9</v>
      </c>
      <c r="E2351" s="22" t="s">
        <v>70</v>
      </c>
      <c r="F2351" s="22">
        <v>227.367</v>
      </c>
    </row>
    <row r="2352" spans="1:6">
      <c r="A2352" s="22" t="s">
        <v>6871</v>
      </c>
      <c r="B2352" s="22" t="s">
        <v>6872</v>
      </c>
      <c r="C2352" s="22" t="s">
        <v>6873</v>
      </c>
      <c r="D2352" s="22" t="s">
        <v>9</v>
      </c>
      <c r="E2352" s="22" t="s">
        <v>27</v>
      </c>
      <c r="F2352" s="22">
        <v>2621.926</v>
      </c>
    </row>
    <row r="2353" spans="1:6">
      <c r="A2353" s="22" t="s">
        <v>6874</v>
      </c>
      <c r="B2353" s="22" t="s">
        <v>6875</v>
      </c>
      <c r="C2353" s="22" t="s">
        <v>6876</v>
      </c>
      <c r="D2353" s="22" t="s">
        <v>9</v>
      </c>
      <c r="E2353" s="22" t="s">
        <v>31</v>
      </c>
      <c r="F2353" s="22">
        <v>3239.901</v>
      </c>
    </row>
    <row r="2354" spans="1:6">
      <c r="A2354" s="22" t="s">
        <v>6877</v>
      </c>
      <c r="B2354" s="22" t="s">
        <v>6878</v>
      </c>
      <c r="C2354" s="22" t="s">
        <v>6879</v>
      </c>
      <c r="D2354" s="22" t="s">
        <v>9</v>
      </c>
      <c r="E2354" s="22" t="s">
        <v>66</v>
      </c>
      <c r="F2354" s="22">
        <v>2.554</v>
      </c>
    </row>
    <row r="2355" spans="1:6">
      <c r="A2355" s="22" t="s">
        <v>6880</v>
      </c>
      <c r="B2355" s="22" t="s">
        <v>6881</v>
      </c>
      <c r="C2355" s="22" t="s">
        <v>6882</v>
      </c>
      <c r="D2355" s="22" t="s">
        <v>9</v>
      </c>
      <c r="E2355" s="22" t="s">
        <v>14</v>
      </c>
      <c r="F2355" s="22">
        <v>221.058</v>
      </c>
    </row>
    <row r="2356" spans="1:6">
      <c r="A2356" s="22" t="s">
        <v>6883</v>
      </c>
      <c r="B2356" s="22" t="s">
        <v>6884</v>
      </c>
      <c r="C2356" s="22" t="s">
        <v>6885</v>
      </c>
      <c r="D2356" s="22" t="s">
        <v>9</v>
      </c>
      <c r="E2356" s="22" t="s">
        <v>66</v>
      </c>
      <c r="F2356" s="22">
        <v>1456.581</v>
      </c>
    </row>
    <row r="2357" spans="1:6">
      <c r="A2357" s="22" t="s">
        <v>6886</v>
      </c>
      <c r="B2357" s="22" t="s">
        <v>6887</v>
      </c>
      <c r="C2357" s="22" t="s">
        <v>6888</v>
      </c>
      <c r="D2357" s="22" t="s">
        <v>9</v>
      </c>
      <c r="E2357" s="22" t="s">
        <v>27</v>
      </c>
      <c r="F2357" s="22">
        <v>5.074</v>
      </c>
    </row>
    <row r="2358" spans="1:6">
      <c r="A2358" s="22" t="s">
        <v>6889</v>
      </c>
      <c r="B2358" s="22" t="s">
        <v>6890</v>
      </c>
      <c r="C2358" s="22" t="s">
        <v>6891</v>
      </c>
      <c r="D2358" s="22" t="s">
        <v>9</v>
      </c>
      <c r="E2358" s="22" t="s">
        <v>23</v>
      </c>
      <c r="F2358" s="22">
        <v>269.899</v>
      </c>
    </row>
    <row r="2359" spans="1:6">
      <c r="A2359" s="22" t="s">
        <v>6892</v>
      </c>
      <c r="B2359" s="22" t="s">
        <v>6893</v>
      </c>
      <c r="C2359" s="22" t="s">
        <v>6894</v>
      </c>
      <c r="D2359" s="22" t="s">
        <v>9</v>
      </c>
      <c r="E2359" s="22" t="s">
        <v>66</v>
      </c>
      <c r="F2359" s="22">
        <v>356.578</v>
      </c>
    </row>
    <row r="2360" spans="1:6">
      <c r="A2360" s="22" t="s">
        <v>6895</v>
      </c>
      <c r="B2360" s="22" t="s">
        <v>6896</v>
      </c>
      <c r="C2360" s="22" t="s">
        <v>6897</v>
      </c>
      <c r="D2360" s="22" t="s">
        <v>9</v>
      </c>
      <c r="E2360" s="22" t="s">
        <v>27</v>
      </c>
      <c r="F2360" s="22">
        <v>175.37</v>
      </c>
    </row>
    <row r="2361" spans="1:6">
      <c r="A2361" s="22" t="s">
        <v>6898</v>
      </c>
      <c r="B2361" s="22" t="s">
        <v>6899</v>
      </c>
      <c r="C2361" s="22" t="s">
        <v>6900</v>
      </c>
      <c r="D2361" s="22" t="s">
        <v>9</v>
      </c>
      <c r="E2361" s="22" t="s">
        <v>35</v>
      </c>
      <c r="F2361" s="22">
        <v>299.86</v>
      </c>
    </row>
    <row r="2362" spans="1:6">
      <c r="A2362" s="22" t="s">
        <v>6901</v>
      </c>
      <c r="B2362" s="22" t="s">
        <v>6902</v>
      </c>
      <c r="C2362" s="22" t="s">
        <v>6903</v>
      </c>
      <c r="D2362" s="22" t="s">
        <v>9</v>
      </c>
      <c r="E2362" s="22" t="s">
        <v>40</v>
      </c>
      <c r="F2362" s="22">
        <v>2720.53</v>
      </c>
    </row>
    <row r="2363" spans="1:6">
      <c r="A2363" s="22" t="s">
        <v>6904</v>
      </c>
      <c r="B2363" s="22" t="s">
        <v>6905</v>
      </c>
      <c r="C2363" s="22" t="s">
        <v>6906</v>
      </c>
      <c r="D2363" s="22" t="s">
        <v>9</v>
      </c>
      <c r="E2363" s="22" t="s">
        <v>31</v>
      </c>
      <c r="F2363" s="22">
        <v>33.514</v>
      </c>
    </row>
    <row r="2364" spans="1:6">
      <c r="A2364" s="22" t="s">
        <v>6907</v>
      </c>
      <c r="B2364" s="22" t="s">
        <v>6908</v>
      </c>
      <c r="C2364" s="22" t="s">
        <v>6909</v>
      </c>
      <c r="D2364" s="22" t="s">
        <v>9</v>
      </c>
      <c r="E2364" s="22" t="s">
        <v>14</v>
      </c>
      <c r="F2364" s="22">
        <v>78.061</v>
      </c>
    </row>
    <row r="2365" spans="1:6">
      <c r="A2365" s="22" t="s">
        <v>6910</v>
      </c>
      <c r="B2365" s="22" t="s">
        <v>6911</v>
      </c>
      <c r="C2365" s="22" t="s">
        <v>6912</v>
      </c>
      <c r="D2365" s="22" t="s">
        <v>9</v>
      </c>
      <c r="E2365" s="22" t="s">
        <v>23</v>
      </c>
      <c r="F2365" s="22">
        <v>158.298</v>
      </c>
    </row>
    <row r="2366" spans="1:6">
      <c r="A2366" s="22" t="s">
        <v>6913</v>
      </c>
      <c r="B2366" s="22" t="s">
        <v>6914</v>
      </c>
      <c r="C2366" s="22" t="s">
        <v>6915</v>
      </c>
      <c r="D2366" s="22" t="s">
        <v>9</v>
      </c>
      <c r="E2366" s="22" t="s">
        <v>14</v>
      </c>
      <c r="F2366" s="22">
        <v>14.274</v>
      </c>
    </row>
    <row r="2367" spans="1:6">
      <c r="A2367" s="22" t="s">
        <v>6916</v>
      </c>
      <c r="B2367" s="22" t="s">
        <v>6917</v>
      </c>
      <c r="C2367" s="22" t="s">
        <v>6918</v>
      </c>
      <c r="D2367" s="22" t="s">
        <v>9</v>
      </c>
      <c r="E2367" s="22" t="s">
        <v>62</v>
      </c>
      <c r="F2367" s="22">
        <v>298.391</v>
      </c>
    </row>
    <row r="2368" spans="1:6">
      <c r="A2368" s="22" t="s">
        <v>6919</v>
      </c>
      <c r="B2368" s="22" t="s">
        <v>6920</v>
      </c>
      <c r="C2368" s="22" t="s">
        <v>6921</v>
      </c>
      <c r="D2368" s="22" t="s">
        <v>9</v>
      </c>
      <c r="E2368" s="22" t="s">
        <v>31</v>
      </c>
      <c r="F2368" s="22">
        <v>578.235</v>
      </c>
    </row>
    <row r="2369" spans="1:6">
      <c r="A2369" s="22" t="s">
        <v>6922</v>
      </c>
      <c r="B2369" s="22" t="s">
        <v>6923</v>
      </c>
      <c r="C2369" s="22" t="s">
        <v>6924</v>
      </c>
      <c r="D2369" s="22" t="s">
        <v>9</v>
      </c>
      <c r="E2369" s="22" t="s">
        <v>66</v>
      </c>
      <c r="F2369" s="22">
        <v>688.834</v>
      </c>
    </row>
    <row r="2370" spans="1:6">
      <c r="A2370" s="22" t="s">
        <v>6925</v>
      </c>
      <c r="B2370" s="22" t="s">
        <v>6926</v>
      </c>
      <c r="C2370" s="22" t="s">
        <v>6927</v>
      </c>
      <c r="D2370" s="22" t="s">
        <v>9</v>
      </c>
      <c r="E2370" s="22" t="s">
        <v>40</v>
      </c>
      <c r="F2370" s="22">
        <v>1146.512</v>
      </c>
    </row>
    <row r="2371" spans="1:6">
      <c r="A2371" s="22" t="s">
        <v>6928</v>
      </c>
      <c r="B2371" s="22" t="s">
        <v>6929</v>
      </c>
      <c r="C2371" s="22" t="s">
        <v>6930</v>
      </c>
      <c r="D2371" s="22" t="s">
        <v>9</v>
      </c>
      <c r="E2371" s="22" t="s">
        <v>14</v>
      </c>
      <c r="F2371" s="22">
        <v>10.513</v>
      </c>
    </row>
    <row r="2372" spans="1:6">
      <c r="A2372" s="22" t="s">
        <v>6931</v>
      </c>
      <c r="B2372" s="22" t="s">
        <v>6932</v>
      </c>
      <c r="C2372" s="22" t="s">
        <v>6933</v>
      </c>
      <c r="D2372" s="22" t="s">
        <v>9</v>
      </c>
      <c r="E2372" s="22" t="s">
        <v>27</v>
      </c>
      <c r="F2372" s="22">
        <v>14.87</v>
      </c>
    </row>
    <row r="2373" spans="1:6">
      <c r="A2373" s="22" t="s">
        <v>6934</v>
      </c>
      <c r="B2373" s="22" t="s">
        <v>6935</v>
      </c>
      <c r="C2373" s="22" t="s">
        <v>6936</v>
      </c>
      <c r="D2373" s="22" t="s">
        <v>9</v>
      </c>
      <c r="E2373" s="22" t="s">
        <v>117</v>
      </c>
      <c r="F2373" s="22">
        <v>71.547</v>
      </c>
    </row>
    <row r="2374" spans="1:6">
      <c r="A2374" s="22" t="s">
        <v>6937</v>
      </c>
      <c r="B2374" s="22" t="s">
        <v>6938</v>
      </c>
      <c r="C2374" s="22" t="s">
        <v>6939</v>
      </c>
      <c r="D2374" s="22" t="s">
        <v>9</v>
      </c>
      <c r="E2374" s="22" t="s">
        <v>40</v>
      </c>
      <c r="F2374" s="22">
        <v>3025.754</v>
      </c>
    </row>
    <row r="2375" spans="1:6">
      <c r="A2375" s="22" t="s">
        <v>6940</v>
      </c>
      <c r="B2375" s="22" t="s">
        <v>6941</v>
      </c>
      <c r="C2375" s="22" t="s">
        <v>6942</v>
      </c>
      <c r="D2375" s="22" t="s">
        <v>9</v>
      </c>
      <c r="E2375" s="22" t="s">
        <v>40</v>
      </c>
      <c r="F2375" s="22">
        <v>21.052</v>
      </c>
    </row>
    <row r="2376" spans="1:6">
      <c r="A2376" s="22" t="s">
        <v>6943</v>
      </c>
      <c r="B2376" s="22" t="s">
        <v>6944</v>
      </c>
      <c r="C2376" s="22" t="s">
        <v>6944</v>
      </c>
      <c r="D2376" s="22" t="s">
        <v>9</v>
      </c>
      <c r="E2376" s="22" t="s">
        <v>14</v>
      </c>
      <c r="F2376" s="22">
        <v>287.068</v>
      </c>
    </row>
    <row r="2377" spans="1:6">
      <c r="A2377" s="22" t="s">
        <v>6945</v>
      </c>
      <c r="B2377" s="22" t="s">
        <v>6768</v>
      </c>
      <c r="C2377" s="22" t="s">
        <v>6946</v>
      </c>
      <c r="D2377" s="22" t="s">
        <v>9</v>
      </c>
      <c r="E2377" s="22" t="s">
        <v>31</v>
      </c>
      <c r="F2377" s="22">
        <v>397.304</v>
      </c>
    </row>
    <row r="2378" spans="1:6">
      <c r="A2378" s="22" t="s">
        <v>6947</v>
      </c>
      <c r="B2378" s="22" t="s">
        <v>6948</v>
      </c>
      <c r="C2378" s="22" t="s">
        <v>6949</v>
      </c>
      <c r="D2378" s="22" t="s">
        <v>9</v>
      </c>
      <c r="E2378" s="22" t="s">
        <v>40</v>
      </c>
      <c r="F2378" s="22">
        <v>7.737</v>
      </c>
    </row>
    <row r="2379" spans="1:6">
      <c r="A2379" s="22" t="s">
        <v>6950</v>
      </c>
      <c r="B2379" s="22" t="s">
        <v>6951</v>
      </c>
      <c r="C2379" s="22" t="s">
        <v>6952</v>
      </c>
      <c r="D2379" s="22" t="s">
        <v>9</v>
      </c>
      <c r="E2379" s="22" t="s">
        <v>27</v>
      </c>
      <c r="F2379" s="22">
        <v>442.763</v>
      </c>
    </row>
    <row r="2380" spans="1:6">
      <c r="A2380" s="22" t="s">
        <v>6953</v>
      </c>
      <c r="B2380" s="22" t="s">
        <v>6954</v>
      </c>
      <c r="C2380" s="22" t="s">
        <v>6955</v>
      </c>
      <c r="D2380" s="22" t="s">
        <v>9</v>
      </c>
      <c r="E2380" s="22" t="s">
        <v>23</v>
      </c>
      <c r="F2380" s="22">
        <v>7656.367</v>
      </c>
    </row>
    <row r="2381" spans="1:6">
      <c r="A2381" s="22" t="s">
        <v>6956</v>
      </c>
      <c r="B2381" s="22" t="s">
        <v>6957</v>
      </c>
      <c r="C2381" s="22" t="s">
        <v>6958</v>
      </c>
      <c r="D2381" s="22" t="s">
        <v>9</v>
      </c>
      <c r="E2381" s="22" t="s">
        <v>23</v>
      </c>
      <c r="F2381" s="22">
        <v>160.373</v>
      </c>
    </row>
    <row r="2382" spans="1:6">
      <c r="A2382" s="22" t="s">
        <v>6959</v>
      </c>
      <c r="B2382" s="22" t="s">
        <v>6960</v>
      </c>
      <c r="C2382" s="22" t="s">
        <v>6961</v>
      </c>
      <c r="D2382" s="22" t="s">
        <v>9</v>
      </c>
      <c r="E2382" s="22" t="s">
        <v>40</v>
      </c>
      <c r="F2382" s="22">
        <v>1156.151</v>
      </c>
    </row>
    <row r="2383" spans="1:6">
      <c r="A2383" s="22" t="s">
        <v>6962</v>
      </c>
      <c r="B2383" s="22" t="s">
        <v>6963</v>
      </c>
      <c r="C2383" s="22" t="s">
        <v>6964</v>
      </c>
      <c r="D2383" s="22" t="s">
        <v>9</v>
      </c>
      <c r="E2383" s="22" t="s">
        <v>23</v>
      </c>
      <c r="F2383" s="22">
        <v>639.805</v>
      </c>
    </row>
    <row r="2384" spans="1:6">
      <c r="A2384" s="22" t="s">
        <v>6965</v>
      </c>
      <c r="B2384" s="22" t="s">
        <v>6966</v>
      </c>
      <c r="C2384" s="22" t="s">
        <v>6967</v>
      </c>
      <c r="D2384" s="22" t="s">
        <v>9</v>
      </c>
      <c r="E2384" s="22" t="s">
        <v>14</v>
      </c>
      <c r="F2384" s="22">
        <v>41.261</v>
      </c>
    </row>
    <row r="2385" spans="1:6">
      <c r="A2385" s="22" t="s">
        <v>6968</v>
      </c>
      <c r="B2385" s="22" t="s">
        <v>6969</v>
      </c>
      <c r="C2385" s="22" t="s">
        <v>6970</v>
      </c>
      <c r="D2385" s="22" t="s">
        <v>9</v>
      </c>
      <c r="E2385" s="22" t="s">
        <v>40</v>
      </c>
      <c r="F2385" s="22">
        <v>803.922</v>
      </c>
    </row>
    <row r="2386" spans="1:6">
      <c r="A2386" s="22" t="s">
        <v>6971</v>
      </c>
      <c r="B2386" s="22" t="s">
        <v>6972</v>
      </c>
      <c r="C2386" s="22" t="s">
        <v>6973</v>
      </c>
      <c r="D2386" s="22" t="s">
        <v>9</v>
      </c>
      <c r="E2386" s="22" t="s">
        <v>35</v>
      </c>
      <c r="F2386" s="22">
        <v>14.086</v>
      </c>
    </row>
    <row r="2387" spans="1:6">
      <c r="A2387" s="22" t="s">
        <v>6974</v>
      </c>
      <c r="B2387" s="22" t="s">
        <v>6975</v>
      </c>
      <c r="C2387" s="22" t="s">
        <v>6976</v>
      </c>
      <c r="D2387" s="22" t="s">
        <v>9</v>
      </c>
      <c r="E2387" s="22" t="s">
        <v>40</v>
      </c>
      <c r="F2387" s="22">
        <v>7.799</v>
      </c>
    </row>
    <row r="2388" spans="1:6">
      <c r="A2388" s="22" t="s">
        <v>6977</v>
      </c>
      <c r="B2388" s="22" t="s">
        <v>6978</v>
      </c>
      <c r="C2388" s="22" t="s">
        <v>6979</v>
      </c>
      <c r="D2388" s="22" t="s">
        <v>9</v>
      </c>
      <c r="E2388" s="22" t="s">
        <v>14</v>
      </c>
      <c r="F2388" s="22">
        <v>2606.961</v>
      </c>
    </row>
    <row r="2389" spans="1:6">
      <c r="A2389" s="22" t="s">
        <v>6980</v>
      </c>
      <c r="B2389" s="22" t="s">
        <v>6981</v>
      </c>
      <c r="C2389" s="22" t="s">
        <v>6982</v>
      </c>
      <c r="D2389" s="22" t="s">
        <v>9</v>
      </c>
      <c r="E2389" s="22" t="s">
        <v>14</v>
      </c>
      <c r="F2389" s="22">
        <v>867.379</v>
      </c>
    </row>
    <row r="2390" spans="1:6">
      <c r="A2390" s="22" t="s">
        <v>6983</v>
      </c>
      <c r="B2390" s="22" t="s">
        <v>6984</v>
      </c>
      <c r="C2390" s="22" t="s">
        <v>6985</v>
      </c>
      <c r="D2390" s="22" t="s">
        <v>9</v>
      </c>
      <c r="E2390" s="22" t="s">
        <v>40</v>
      </c>
      <c r="F2390" s="22">
        <v>149.348</v>
      </c>
    </row>
    <row r="2391" spans="1:6">
      <c r="A2391" s="22" t="s">
        <v>6986</v>
      </c>
      <c r="B2391" s="22" t="s">
        <v>6987</v>
      </c>
      <c r="C2391" s="22" t="s">
        <v>6988</v>
      </c>
      <c r="D2391" s="22" t="s">
        <v>9</v>
      </c>
      <c r="E2391" s="22" t="s">
        <v>31</v>
      </c>
      <c r="F2391" s="22">
        <v>12.846</v>
      </c>
    </row>
    <row r="2392" spans="1:6">
      <c r="A2392" s="22" t="s">
        <v>6989</v>
      </c>
      <c r="B2392" s="22" t="s">
        <v>6990</v>
      </c>
      <c r="C2392" s="22" t="s">
        <v>6991</v>
      </c>
      <c r="D2392" s="22" t="s">
        <v>9</v>
      </c>
      <c r="E2392" s="22" t="s">
        <v>27</v>
      </c>
      <c r="F2392" s="22">
        <v>5349.698</v>
      </c>
    </row>
    <row r="2393" spans="1:6">
      <c r="A2393" s="22" t="s">
        <v>6992</v>
      </c>
      <c r="B2393" s="22" t="s">
        <v>6993</v>
      </c>
      <c r="C2393" s="22" t="s">
        <v>6994</v>
      </c>
      <c r="D2393" s="22" t="s">
        <v>9</v>
      </c>
      <c r="E2393" s="22" t="s">
        <v>14</v>
      </c>
      <c r="F2393" s="22">
        <v>27.569</v>
      </c>
    </row>
    <row r="2394" spans="1:6">
      <c r="A2394" s="22" t="s">
        <v>6995</v>
      </c>
      <c r="B2394" s="22" t="s">
        <v>6996</v>
      </c>
      <c r="C2394" s="22" t="s">
        <v>6997</v>
      </c>
      <c r="D2394" s="22" t="s">
        <v>9</v>
      </c>
      <c r="E2394" s="22" t="s">
        <v>31</v>
      </c>
      <c r="F2394" s="22">
        <v>4.627</v>
      </c>
    </row>
    <row r="2395" spans="1:6">
      <c r="A2395" s="22" t="s">
        <v>6998</v>
      </c>
      <c r="B2395" s="22" t="s">
        <v>6999</v>
      </c>
      <c r="C2395" s="22" t="s">
        <v>7000</v>
      </c>
      <c r="D2395" s="22" t="s">
        <v>9</v>
      </c>
      <c r="E2395" s="22" t="s">
        <v>40</v>
      </c>
      <c r="F2395" s="22">
        <v>321.258</v>
      </c>
    </row>
    <row r="2396" spans="1:6">
      <c r="A2396" s="22" t="s">
        <v>7001</v>
      </c>
      <c r="B2396" s="22" t="s">
        <v>7002</v>
      </c>
      <c r="C2396" s="22" t="s">
        <v>7003</v>
      </c>
      <c r="D2396" s="22" t="s">
        <v>9</v>
      </c>
      <c r="E2396" s="22" t="s">
        <v>14</v>
      </c>
      <c r="F2396" s="22">
        <v>30.27</v>
      </c>
    </row>
    <row r="2397" spans="1:6">
      <c r="A2397" s="22" t="s">
        <v>7004</v>
      </c>
      <c r="B2397" s="22" t="s">
        <v>7005</v>
      </c>
      <c r="C2397" s="22" t="s">
        <v>7006</v>
      </c>
      <c r="D2397" s="22" t="s">
        <v>9</v>
      </c>
      <c r="E2397" s="22" t="s">
        <v>23</v>
      </c>
      <c r="F2397" s="22">
        <v>62.522</v>
      </c>
    </row>
    <row r="2398" spans="1:6">
      <c r="A2398" s="22" t="s">
        <v>7007</v>
      </c>
      <c r="B2398" s="22" t="s">
        <v>7008</v>
      </c>
      <c r="C2398" s="22" t="s">
        <v>7009</v>
      </c>
      <c r="D2398" s="22" t="s">
        <v>9</v>
      </c>
      <c r="E2398" s="22" t="s">
        <v>14</v>
      </c>
      <c r="F2398" s="22">
        <v>751.074</v>
      </c>
    </row>
    <row r="2399" spans="1:6">
      <c r="A2399" s="22" t="s">
        <v>7010</v>
      </c>
      <c r="B2399" s="22" t="s">
        <v>2471</v>
      </c>
      <c r="C2399" s="22" t="s">
        <v>7011</v>
      </c>
      <c r="D2399" s="22" t="s">
        <v>9</v>
      </c>
      <c r="E2399" s="22" t="s">
        <v>35</v>
      </c>
      <c r="F2399" s="22">
        <v>56.488</v>
      </c>
    </row>
    <row r="2400" spans="1:6">
      <c r="A2400" s="22" t="s">
        <v>7012</v>
      </c>
      <c r="B2400" s="22" t="s">
        <v>7013</v>
      </c>
      <c r="C2400" s="22" t="s">
        <v>7014</v>
      </c>
      <c r="D2400" s="22" t="s">
        <v>9</v>
      </c>
      <c r="E2400" s="22" t="s">
        <v>14</v>
      </c>
      <c r="F2400" s="22">
        <v>20.006</v>
      </c>
    </row>
    <row r="2401" spans="1:6">
      <c r="A2401" s="22" t="s">
        <v>7015</v>
      </c>
      <c r="B2401" s="22" t="s">
        <v>7016</v>
      </c>
      <c r="C2401" s="22" t="s">
        <v>7017</v>
      </c>
      <c r="D2401" s="22" t="s">
        <v>9</v>
      </c>
      <c r="E2401" s="22" t="s">
        <v>62</v>
      </c>
      <c r="F2401" s="22">
        <v>82.126</v>
      </c>
    </row>
    <row r="2402" spans="1:6">
      <c r="A2402" s="22" t="s">
        <v>7018</v>
      </c>
      <c r="B2402" s="22" t="s">
        <v>7019</v>
      </c>
      <c r="C2402" s="22" t="s">
        <v>7020</v>
      </c>
      <c r="D2402" s="22" t="s">
        <v>9</v>
      </c>
      <c r="E2402" s="22" t="s">
        <v>40</v>
      </c>
      <c r="F2402" s="22">
        <v>33.941</v>
      </c>
    </row>
    <row r="2403" spans="1:6">
      <c r="A2403" s="22" t="s">
        <v>7021</v>
      </c>
      <c r="B2403" s="22" t="s">
        <v>7022</v>
      </c>
      <c r="C2403" s="22" t="s">
        <v>7023</v>
      </c>
      <c r="D2403" s="22" t="s">
        <v>9</v>
      </c>
      <c r="E2403" s="22" t="s">
        <v>62</v>
      </c>
      <c r="F2403" s="22">
        <v>205.788</v>
      </c>
    </row>
    <row r="2404" spans="1:6">
      <c r="A2404" s="22" t="s">
        <v>7024</v>
      </c>
      <c r="B2404" s="22" t="s">
        <v>7025</v>
      </c>
      <c r="C2404" s="22" t="s">
        <v>7026</v>
      </c>
      <c r="D2404" s="22" t="s">
        <v>9</v>
      </c>
      <c r="E2404" s="22" t="s">
        <v>14</v>
      </c>
      <c r="F2404" s="22">
        <v>353.56</v>
      </c>
    </row>
    <row r="2405" spans="1:6">
      <c r="A2405" s="22" t="s">
        <v>7027</v>
      </c>
      <c r="B2405" s="22" t="s">
        <v>7028</v>
      </c>
      <c r="C2405" s="22" t="s">
        <v>7029</v>
      </c>
      <c r="D2405" s="22" t="s">
        <v>9</v>
      </c>
      <c r="E2405" s="22" t="s">
        <v>66</v>
      </c>
      <c r="F2405" s="22">
        <v>1169.099</v>
      </c>
    </row>
    <row r="2406" spans="1:6">
      <c r="A2406" s="22" t="s">
        <v>7030</v>
      </c>
      <c r="B2406" s="22" t="s">
        <v>7031</v>
      </c>
      <c r="C2406" s="22" t="s">
        <v>7032</v>
      </c>
      <c r="D2406" s="22" t="s">
        <v>9</v>
      </c>
      <c r="E2406" s="22" t="s">
        <v>40</v>
      </c>
      <c r="F2406" s="22">
        <v>1449.288</v>
      </c>
    </row>
    <row r="2407" spans="1:6">
      <c r="A2407" s="22" t="s">
        <v>7033</v>
      </c>
      <c r="B2407" s="22" t="s">
        <v>7034</v>
      </c>
      <c r="C2407" s="22" t="s">
        <v>7035</v>
      </c>
      <c r="D2407" s="22" t="s">
        <v>9</v>
      </c>
      <c r="E2407" s="22" t="s">
        <v>27</v>
      </c>
      <c r="F2407" s="22">
        <v>1005.502</v>
      </c>
    </row>
    <row r="2408" spans="1:6">
      <c r="A2408" s="22" t="s">
        <v>7036</v>
      </c>
      <c r="B2408" s="22" t="s">
        <v>7037</v>
      </c>
      <c r="C2408" s="22" t="s">
        <v>7038</v>
      </c>
      <c r="D2408" s="22" t="s">
        <v>9</v>
      </c>
      <c r="E2408" s="22" t="s">
        <v>14</v>
      </c>
      <c r="F2408" s="22">
        <v>12.078</v>
      </c>
    </row>
    <row r="2409" spans="1:6">
      <c r="A2409" s="22" t="s">
        <v>7039</v>
      </c>
      <c r="B2409" s="22" t="s">
        <v>7040</v>
      </c>
      <c r="C2409" s="22" t="s">
        <v>7041</v>
      </c>
      <c r="D2409" s="22" t="s">
        <v>9</v>
      </c>
      <c r="E2409" s="22" t="s">
        <v>40</v>
      </c>
      <c r="F2409" s="22">
        <v>11.557</v>
      </c>
    </row>
    <row r="2410" spans="1:6">
      <c r="A2410" s="22" t="s">
        <v>7042</v>
      </c>
      <c r="B2410" s="22" t="s">
        <v>7043</v>
      </c>
      <c r="C2410" s="22" t="s">
        <v>7044</v>
      </c>
      <c r="D2410" s="22" t="s">
        <v>9</v>
      </c>
      <c r="E2410" s="22" t="s">
        <v>40</v>
      </c>
      <c r="F2410" s="22">
        <v>1124.271</v>
      </c>
    </row>
    <row r="2411" spans="1:6">
      <c r="A2411" s="22" t="s">
        <v>7045</v>
      </c>
      <c r="B2411" s="22" t="s">
        <v>7046</v>
      </c>
      <c r="C2411" s="22" t="s">
        <v>7047</v>
      </c>
      <c r="D2411" s="22" t="s">
        <v>9</v>
      </c>
      <c r="E2411" s="22" t="s">
        <v>89</v>
      </c>
      <c r="F2411" s="22">
        <v>25.741</v>
      </c>
    </row>
    <row r="2412" spans="1:6">
      <c r="A2412" s="22" t="s">
        <v>7048</v>
      </c>
      <c r="B2412" s="22" t="s">
        <v>7049</v>
      </c>
      <c r="C2412" s="22" t="s">
        <v>7050</v>
      </c>
      <c r="D2412" s="22" t="s">
        <v>9</v>
      </c>
      <c r="E2412" s="22" t="s">
        <v>31</v>
      </c>
      <c r="F2412" s="22">
        <v>845.335</v>
      </c>
    </row>
    <row r="2413" spans="1:6">
      <c r="A2413" s="22" t="s">
        <v>7051</v>
      </c>
      <c r="B2413" s="22" t="s">
        <v>7052</v>
      </c>
      <c r="C2413" s="22" t="s">
        <v>7053</v>
      </c>
      <c r="D2413" s="22" t="s">
        <v>9</v>
      </c>
      <c r="E2413" s="22" t="s">
        <v>40</v>
      </c>
      <c r="F2413" s="22">
        <v>578.675</v>
      </c>
    </row>
    <row r="2414" spans="1:6">
      <c r="A2414" s="22" t="s">
        <v>7054</v>
      </c>
      <c r="B2414" s="22" t="s">
        <v>7055</v>
      </c>
      <c r="C2414" s="22" t="s">
        <v>7056</v>
      </c>
      <c r="D2414" s="22" t="s">
        <v>9</v>
      </c>
      <c r="E2414" s="22" t="s">
        <v>31</v>
      </c>
      <c r="F2414" s="22">
        <v>24.974</v>
      </c>
    </row>
    <row r="2415" spans="1:6">
      <c r="A2415" s="22" t="s">
        <v>7057</v>
      </c>
      <c r="B2415" s="22" t="s">
        <v>7058</v>
      </c>
      <c r="C2415" s="22" t="s">
        <v>7059</v>
      </c>
      <c r="D2415" s="22" t="s">
        <v>9</v>
      </c>
      <c r="E2415" s="22" t="s">
        <v>23</v>
      </c>
      <c r="F2415" s="22">
        <v>19.465</v>
      </c>
    </row>
    <row r="2416" spans="1:6">
      <c r="A2416" s="22" t="s">
        <v>7060</v>
      </c>
      <c r="B2416" s="22" t="s">
        <v>7061</v>
      </c>
      <c r="C2416" s="22" t="s">
        <v>7062</v>
      </c>
      <c r="D2416" s="22" t="s">
        <v>9</v>
      </c>
      <c r="E2416" s="22" t="s">
        <v>27</v>
      </c>
      <c r="F2416" s="22">
        <v>103.474</v>
      </c>
    </row>
    <row r="2417" spans="1:6">
      <c r="A2417" s="22" t="s">
        <v>7063</v>
      </c>
      <c r="B2417" s="22" t="s">
        <v>7064</v>
      </c>
      <c r="C2417" s="22" t="s">
        <v>7065</v>
      </c>
      <c r="D2417" s="22" t="s">
        <v>9</v>
      </c>
      <c r="E2417" s="22" t="s">
        <v>35</v>
      </c>
      <c r="F2417" s="22">
        <v>1260.129</v>
      </c>
    </row>
    <row r="2418" spans="1:6">
      <c r="A2418" s="22" t="s">
        <v>7066</v>
      </c>
      <c r="B2418" s="22" t="s">
        <v>7067</v>
      </c>
      <c r="C2418" s="22" t="s">
        <v>7068</v>
      </c>
      <c r="D2418" s="22" t="s">
        <v>9</v>
      </c>
      <c r="E2418" s="22" t="s">
        <v>62</v>
      </c>
      <c r="F2418" s="22">
        <v>1325.579</v>
      </c>
    </row>
    <row r="2419" spans="1:6">
      <c r="A2419" s="22" t="s">
        <v>7069</v>
      </c>
      <c r="B2419" s="22" t="s">
        <v>7070</v>
      </c>
      <c r="C2419" s="22" t="s">
        <v>7071</v>
      </c>
      <c r="D2419" s="22" t="s">
        <v>9</v>
      </c>
      <c r="E2419" s="22" t="s">
        <v>14</v>
      </c>
      <c r="F2419" s="22">
        <v>7.887</v>
      </c>
    </row>
    <row r="2420" spans="1:6">
      <c r="A2420" s="22" t="s">
        <v>7072</v>
      </c>
      <c r="B2420" s="22" t="s">
        <v>7073</v>
      </c>
      <c r="C2420" s="22" t="s">
        <v>7074</v>
      </c>
      <c r="D2420" s="22" t="s">
        <v>9</v>
      </c>
      <c r="E2420" s="22" t="s">
        <v>35</v>
      </c>
      <c r="F2420" s="22">
        <v>159.542</v>
      </c>
    </row>
    <row r="2421" spans="1:6">
      <c r="A2421" s="22" t="s">
        <v>7075</v>
      </c>
      <c r="B2421" s="22" t="s">
        <v>7076</v>
      </c>
      <c r="C2421" s="22" t="s">
        <v>7077</v>
      </c>
      <c r="D2421" s="22" t="s">
        <v>9</v>
      </c>
      <c r="E2421" s="22" t="s">
        <v>14</v>
      </c>
      <c r="F2421" s="22">
        <v>46.831</v>
      </c>
    </row>
    <row r="2422" spans="1:6">
      <c r="A2422" s="22" t="s">
        <v>7078</v>
      </c>
      <c r="B2422" s="22" t="s">
        <v>7079</v>
      </c>
      <c r="C2422" s="22" t="s">
        <v>7080</v>
      </c>
      <c r="D2422" s="22" t="s">
        <v>9</v>
      </c>
      <c r="E2422" s="22" t="s">
        <v>14</v>
      </c>
      <c r="F2422" s="22">
        <v>131.921</v>
      </c>
    </row>
    <row r="2423" spans="1:6">
      <c r="A2423" s="22" t="s">
        <v>7081</v>
      </c>
      <c r="B2423" s="22" t="s">
        <v>7082</v>
      </c>
      <c r="C2423" s="22" t="s">
        <v>7083</v>
      </c>
      <c r="D2423" s="22" t="s">
        <v>9</v>
      </c>
      <c r="E2423" s="22" t="s">
        <v>66</v>
      </c>
      <c r="F2423" s="22">
        <v>548.466</v>
      </c>
    </row>
    <row r="2424" spans="1:6">
      <c r="A2424" s="22" t="s">
        <v>7084</v>
      </c>
      <c r="B2424" s="22" t="s">
        <v>7085</v>
      </c>
      <c r="C2424" s="22" t="s">
        <v>7086</v>
      </c>
      <c r="D2424" s="22" t="s">
        <v>9</v>
      </c>
      <c r="E2424" s="22" t="s">
        <v>40</v>
      </c>
      <c r="F2424" s="22">
        <v>520.637</v>
      </c>
    </row>
    <row r="2425" spans="1:6">
      <c r="A2425" s="22" t="s">
        <v>7087</v>
      </c>
      <c r="B2425" s="22" t="s">
        <v>7088</v>
      </c>
      <c r="C2425" s="22" t="s">
        <v>7089</v>
      </c>
      <c r="D2425" s="22" t="s">
        <v>9</v>
      </c>
      <c r="E2425" s="22" t="s">
        <v>35</v>
      </c>
      <c r="F2425" s="22">
        <v>17.654</v>
      </c>
    </row>
    <row r="2426" spans="1:6">
      <c r="A2426" s="22" t="s">
        <v>7090</v>
      </c>
      <c r="B2426" s="22" t="s">
        <v>7091</v>
      </c>
      <c r="C2426" s="22" t="s">
        <v>7092</v>
      </c>
      <c r="D2426" s="22" t="s">
        <v>9</v>
      </c>
      <c r="E2426" s="22" t="s">
        <v>40</v>
      </c>
      <c r="F2426" s="22">
        <v>1056.798</v>
      </c>
    </row>
    <row r="2427" spans="1:6">
      <c r="A2427" s="22" t="s">
        <v>7093</v>
      </c>
      <c r="B2427" s="22" t="s">
        <v>7094</v>
      </c>
      <c r="C2427" s="22" t="s">
        <v>7095</v>
      </c>
      <c r="D2427" s="22" t="s">
        <v>9</v>
      </c>
      <c r="E2427" s="22" t="s">
        <v>40</v>
      </c>
      <c r="F2427" s="22">
        <v>65.306</v>
      </c>
    </row>
    <row r="2428" spans="1:6">
      <c r="A2428" s="22" t="s">
        <v>7096</v>
      </c>
      <c r="B2428" s="22" t="s">
        <v>7097</v>
      </c>
      <c r="C2428" s="22" t="s">
        <v>7098</v>
      </c>
      <c r="D2428" s="22" t="s">
        <v>9</v>
      </c>
      <c r="E2428" s="22" t="s">
        <v>40</v>
      </c>
      <c r="F2428" s="22">
        <v>1806.322</v>
      </c>
    </row>
    <row r="2429" spans="1:6">
      <c r="A2429" s="22" t="s">
        <v>7099</v>
      </c>
      <c r="B2429" s="22" t="s">
        <v>7100</v>
      </c>
      <c r="C2429" s="22" t="s">
        <v>7101</v>
      </c>
      <c r="D2429" s="22" t="s">
        <v>9</v>
      </c>
      <c r="E2429" s="22" t="s">
        <v>14</v>
      </c>
      <c r="F2429" s="22">
        <v>704.437</v>
      </c>
    </row>
    <row r="2430" spans="1:6">
      <c r="A2430" s="22" t="s">
        <v>7102</v>
      </c>
      <c r="B2430" s="22" t="s">
        <v>7103</v>
      </c>
      <c r="C2430" s="22" t="s">
        <v>7104</v>
      </c>
      <c r="D2430" s="22" t="s">
        <v>9</v>
      </c>
      <c r="E2430" s="22" t="s">
        <v>40</v>
      </c>
      <c r="F2430" s="22">
        <v>1248.27</v>
      </c>
    </row>
    <row r="2431" spans="1:6">
      <c r="A2431" s="22" t="s">
        <v>7105</v>
      </c>
      <c r="B2431" s="22" t="s">
        <v>6941</v>
      </c>
      <c r="C2431" s="22" t="s">
        <v>7106</v>
      </c>
      <c r="D2431" s="22" t="s">
        <v>9</v>
      </c>
      <c r="E2431" s="22" t="s">
        <v>40</v>
      </c>
      <c r="F2431" s="22">
        <v>5792.236</v>
      </c>
    </row>
    <row r="2432" spans="1:6">
      <c r="A2432" s="22" t="s">
        <v>7107</v>
      </c>
      <c r="B2432" s="22" t="s">
        <v>7108</v>
      </c>
      <c r="C2432" s="22" t="s">
        <v>7109</v>
      </c>
      <c r="D2432" s="22" t="s">
        <v>9</v>
      </c>
      <c r="E2432" s="22" t="s">
        <v>40</v>
      </c>
      <c r="F2432" s="22">
        <v>1178.691</v>
      </c>
    </row>
    <row r="2433" spans="1:6">
      <c r="A2433" s="22" t="s">
        <v>7110</v>
      </c>
      <c r="B2433" s="22" t="s">
        <v>7111</v>
      </c>
      <c r="C2433" s="22" t="s">
        <v>7112</v>
      </c>
      <c r="D2433" s="22" t="s">
        <v>9</v>
      </c>
      <c r="E2433" s="22" t="s">
        <v>40</v>
      </c>
      <c r="F2433" s="22">
        <v>7231.247</v>
      </c>
    </row>
    <row r="2434" spans="1:6">
      <c r="A2434" s="22" t="s">
        <v>7113</v>
      </c>
      <c r="B2434" s="22" t="s">
        <v>1662</v>
      </c>
      <c r="C2434" s="22" t="s">
        <v>7114</v>
      </c>
      <c r="D2434" s="22" t="s">
        <v>9</v>
      </c>
      <c r="E2434" s="22" t="s">
        <v>14</v>
      </c>
      <c r="F2434" s="22">
        <v>4.706</v>
      </c>
    </row>
    <row r="2435" spans="1:6">
      <c r="A2435" s="22" t="s">
        <v>7115</v>
      </c>
      <c r="B2435" s="22" t="s">
        <v>6789</v>
      </c>
      <c r="C2435" s="22" t="s">
        <v>7116</v>
      </c>
      <c r="D2435" s="22" t="s">
        <v>9</v>
      </c>
      <c r="E2435" s="22" t="s">
        <v>14</v>
      </c>
      <c r="F2435" s="22">
        <v>1442.781</v>
      </c>
    </row>
    <row r="2436" spans="1:6">
      <c r="A2436" s="22" t="s">
        <v>7117</v>
      </c>
      <c r="B2436" s="22" t="s">
        <v>7118</v>
      </c>
      <c r="C2436" s="22" t="s">
        <v>7119</v>
      </c>
      <c r="D2436" s="22" t="s">
        <v>9</v>
      </c>
      <c r="E2436" s="22" t="s">
        <v>27</v>
      </c>
      <c r="F2436" s="22">
        <v>84.39</v>
      </c>
    </row>
    <row r="2437" spans="1:6">
      <c r="A2437" s="22" t="s">
        <v>7120</v>
      </c>
      <c r="B2437" s="22" t="s">
        <v>7121</v>
      </c>
      <c r="C2437" s="22" t="s">
        <v>7122</v>
      </c>
      <c r="D2437" s="22" t="s">
        <v>9</v>
      </c>
      <c r="E2437" s="22" t="s">
        <v>62</v>
      </c>
      <c r="F2437" s="22">
        <v>18.241</v>
      </c>
    </row>
    <row r="2438" spans="1:6">
      <c r="A2438" s="22" t="s">
        <v>7123</v>
      </c>
      <c r="B2438" s="22" t="s">
        <v>6637</v>
      </c>
      <c r="C2438" s="22" t="s">
        <v>7124</v>
      </c>
      <c r="D2438" s="22" t="s">
        <v>9</v>
      </c>
      <c r="E2438" s="22" t="s">
        <v>40</v>
      </c>
      <c r="F2438" s="22">
        <v>724.615</v>
      </c>
    </row>
    <row r="2439" spans="1:6">
      <c r="A2439" s="22" t="s">
        <v>7125</v>
      </c>
      <c r="B2439" s="22" t="s">
        <v>7126</v>
      </c>
      <c r="C2439" s="22" t="s">
        <v>7127</v>
      </c>
      <c r="D2439" s="22" t="s">
        <v>9</v>
      </c>
      <c r="E2439" s="22" t="s">
        <v>40</v>
      </c>
      <c r="F2439" s="22">
        <v>1022.704</v>
      </c>
    </row>
    <row r="2440" spans="1:6">
      <c r="A2440" s="22" t="s">
        <v>7128</v>
      </c>
      <c r="B2440" s="22" t="s">
        <v>7129</v>
      </c>
      <c r="C2440" s="22" t="s">
        <v>7130</v>
      </c>
      <c r="D2440" s="22" t="s">
        <v>9</v>
      </c>
      <c r="E2440" s="22" t="s">
        <v>14</v>
      </c>
      <c r="F2440" s="22">
        <v>30.191</v>
      </c>
    </row>
    <row r="2441" spans="1:6">
      <c r="A2441" s="22" t="s">
        <v>7131</v>
      </c>
      <c r="B2441" s="22" t="s">
        <v>7132</v>
      </c>
      <c r="C2441" s="22" t="s">
        <v>7133</v>
      </c>
      <c r="D2441" s="22" t="s">
        <v>9</v>
      </c>
      <c r="E2441" s="22" t="s">
        <v>40</v>
      </c>
      <c r="F2441" s="22">
        <v>13.818</v>
      </c>
    </row>
    <row r="2442" spans="1:6">
      <c r="A2442" s="22" t="s">
        <v>7134</v>
      </c>
      <c r="B2442" s="22" t="s">
        <v>7135</v>
      </c>
      <c r="C2442" s="22" t="s">
        <v>7136</v>
      </c>
      <c r="D2442" s="22" t="s">
        <v>9</v>
      </c>
      <c r="E2442" s="22" t="s">
        <v>14</v>
      </c>
      <c r="F2442" s="22">
        <v>49.461</v>
      </c>
    </row>
    <row r="2443" spans="1:6">
      <c r="A2443" s="22" t="s">
        <v>7137</v>
      </c>
      <c r="B2443" s="22" t="s">
        <v>7138</v>
      </c>
      <c r="C2443" s="22" t="s">
        <v>7139</v>
      </c>
      <c r="D2443" s="22" t="s">
        <v>9</v>
      </c>
      <c r="E2443" s="22" t="s">
        <v>62</v>
      </c>
      <c r="F2443" s="22">
        <v>52.034</v>
      </c>
    </row>
    <row r="2444" spans="1:6">
      <c r="A2444" s="22" t="s">
        <v>7140</v>
      </c>
      <c r="B2444" s="22" t="s">
        <v>7141</v>
      </c>
      <c r="C2444" s="22" t="s">
        <v>7142</v>
      </c>
      <c r="D2444" s="22" t="s">
        <v>9</v>
      </c>
      <c r="E2444" s="22" t="s">
        <v>14</v>
      </c>
      <c r="F2444" s="22">
        <v>474.555</v>
      </c>
    </row>
    <row r="2445" spans="1:6">
      <c r="A2445" s="22" t="s">
        <v>7143</v>
      </c>
      <c r="B2445" s="22" t="s">
        <v>6370</v>
      </c>
      <c r="C2445" s="22" t="s">
        <v>7144</v>
      </c>
      <c r="D2445" s="22" t="s">
        <v>9</v>
      </c>
      <c r="E2445" s="22" t="s">
        <v>62</v>
      </c>
      <c r="F2445" s="22">
        <v>370.484</v>
      </c>
    </row>
    <row r="2446" spans="1:6">
      <c r="A2446" s="22" t="s">
        <v>7145</v>
      </c>
      <c r="B2446" s="22" t="s">
        <v>7146</v>
      </c>
      <c r="C2446" s="22" t="s">
        <v>7147</v>
      </c>
      <c r="D2446" s="22" t="s">
        <v>9</v>
      </c>
      <c r="E2446" s="22" t="s">
        <v>40</v>
      </c>
      <c r="F2446" s="22">
        <v>464.229</v>
      </c>
    </row>
    <row r="2447" spans="1:6">
      <c r="A2447" s="22" t="s">
        <v>7148</v>
      </c>
      <c r="B2447" s="22" t="s">
        <v>7149</v>
      </c>
      <c r="C2447" s="22" t="s">
        <v>7150</v>
      </c>
      <c r="D2447" s="22" t="s">
        <v>9</v>
      </c>
      <c r="E2447" s="22" t="s">
        <v>14</v>
      </c>
      <c r="F2447" s="22">
        <v>347.883</v>
      </c>
    </row>
    <row r="2448" spans="1:6">
      <c r="A2448" s="22" t="s">
        <v>7151</v>
      </c>
      <c r="B2448" s="22" t="s">
        <v>7152</v>
      </c>
      <c r="C2448" s="22" t="s">
        <v>7153</v>
      </c>
      <c r="D2448" s="22" t="s">
        <v>9</v>
      </c>
      <c r="E2448" s="22" t="s">
        <v>14</v>
      </c>
      <c r="F2448" s="22">
        <v>373.996</v>
      </c>
    </row>
    <row r="2449" spans="1:6">
      <c r="A2449" s="22" t="s">
        <v>7154</v>
      </c>
      <c r="B2449" s="22" t="s">
        <v>7155</v>
      </c>
      <c r="C2449" s="22" t="s">
        <v>7156</v>
      </c>
      <c r="D2449" s="22" t="s">
        <v>9</v>
      </c>
      <c r="E2449" s="22" t="s">
        <v>40</v>
      </c>
      <c r="F2449" s="22">
        <v>77.691</v>
      </c>
    </row>
    <row r="2450" spans="1:6">
      <c r="A2450" s="22" t="s">
        <v>7157</v>
      </c>
      <c r="B2450" s="22" t="s">
        <v>7158</v>
      </c>
      <c r="C2450" s="22" t="s">
        <v>7159</v>
      </c>
      <c r="D2450" s="22" t="s">
        <v>9</v>
      </c>
      <c r="E2450" s="22" t="s">
        <v>35</v>
      </c>
      <c r="F2450" s="22">
        <v>28.396</v>
      </c>
    </row>
    <row r="2451" spans="1:6">
      <c r="A2451" s="22" t="s">
        <v>7160</v>
      </c>
      <c r="B2451" s="22" t="s">
        <v>6637</v>
      </c>
      <c r="C2451" s="22" t="s">
        <v>7161</v>
      </c>
      <c r="D2451" s="22" t="s">
        <v>9</v>
      </c>
      <c r="E2451" s="22" t="s">
        <v>40</v>
      </c>
      <c r="F2451" s="22">
        <v>43.349</v>
      </c>
    </row>
    <row r="2452" spans="1:6">
      <c r="A2452" s="22" t="s">
        <v>7162</v>
      </c>
      <c r="B2452" s="22" t="s">
        <v>7163</v>
      </c>
      <c r="C2452" s="22" t="s">
        <v>7164</v>
      </c>
      <c r="D2452" s="22" t="s">
        <v>9</v>
      </c>
      <c r="E2452" s="22" t="s">
        <v>40</v>
      </c>
      <c r="F2452" s="22">
        <v>72.225</v>
      </c>
    </row>
    <row r="2453" spans="1:6">
      <c r="A2453" s="22" t="s">
        <v>7165</v>
      </c>
      <c r="B2453" s="22" t="s">
        <v>7166</v>
      </c>
      <c r="C2453" s="22" t="s">
        <v>7167</v>
      </c>
      <c r="D2453" s="22" t="s">
        <v>9</v>
      </c>
      <c r="E2453" s="22" t="s">
        <v>35</v>
      </c>
      <c r="F2453" s="22">
        <v>97.214</v>
      </c>
    </row>
    <row r="2454" spans="1:6">
      <c r="A2454" s="22" t="s">
        <v>7168</v>
      </c>
      <c r="B2454" s="22" t="s">
        <v>7169</v>
      </c>
      <c r="C2454" s="22" t="s">
        <v>7170</v>
      </c>
      <c r="D2454" s="22" t="s">
        <v>9</v>
      </c>
      <c r="E2454" s="22" t="s">
        <v>62</v>
      </c>
      <c r="F2454" s="22">
        <v>309.915</v>
      </c>
    </row>
    <row r="2455" spans="1:6">
      <c r="A2455" s="22" t="s">
        <v>7171</v>
      </c>
      <c r="B2455" s="22" t="s">
        <v>7172</v>
      </c>
      <c r="C2455" s="22" t="s">
        <v>7173</v>
      </c>
      <c r="D2455" s="22" t="s">
        <v>9</v>
      </c>
      <c r="E2455" s="22" t="s">
        <v>62</v>
      </c>
      <c r="F2455" s="22">
        <v>23.937</v>
      </c>
    </row>
    <row r="2456" spans="1:6">
      <c r="A2456" s="22" t="s">
        <v>7174</v>
      </c>
      <c r="B2456" s="22" t="s">
        <v>7175</v>
      </c>
      <c r="C2456" s="22" t="s">
        <v>7176</v>
      </c>
      <c r="D2456" s="22" t="s">
        <v>9</v>
      </c>
      <c r="E2456" s="22" t="s">
        <v>35</v>
      </c>
      <c r="F2456" s="22">
        <v>35.586</v>
      </c>
    </row>
    <row r="2457" spans="1:6">
      <c r="A2457" s="22" t="s">
        <v>7177</v>
      </c>
      <c r="B2457" s="22" t="s">
        <v>7178</v>
      </c>
      <c r="C2457" s="22" t="s">
        <v>7179</v>
      </c>
      <c r="D2457" s="22" t="s">
        <v>9</v>
      </c>
      <c r="E2457" s="22" t="s">
        <v>62</v>
      </c>
      <c r="F2457" s="22">
        <v>88.522</v>
      </c>
    </row>
    <row r="2458" spans="1:6">
      <c r="A2458" s="22" t="s">
        <v>7180</v>
      </c>
      <c r="B2458" s="22" t="s">
        <v>7181</v>
      </c>
      <c r="C2458" s="22" t="s">
        <v>7182</v>
      </c>
      <c r="D2458" s="22" t="s">
        <v>9</v>
      </c>
      <c r="E2458" s="22" t="s">
        <v>14</v>
      </c>
      <c r="F2458" s="22">
        <v>7.94</v>
      </c>
    </row>
    <row r="2459" spans="1:6">
      <c r="A2459" s="22" t="s">
        <v>7183</v>
      </c>
      <c r="B2459" s="22" t="s">
        <v>2531</v>
      </c>
      <c r="C2459" s="22" t="s">
        <v>7184</v>
      </c>
      <c r="D2459" s="22" t="s">
        <v>9</v>
      </c>
      <c r="E2459" s="22" t="s">
        <v>27</v>
      </c>
      <c r="F2459" s="22">
        <v>891.448</v>
      </c>
    </row>
    <row r="2460" spans="1:6">
      <c r="A2460" s="22" t="s">
        <v>7185</v>
      </c>
      <c r="B2460" s="22" t="s">
        <v>7186</v>
      </c>
      <c r="C2460" s="22" t="s">
        <v>7187</v>
      </c>
      <c r="D2460" s="22" t="s">
        <v>9</v>
      </c>
      <c r="E2460" s="22" t="s">
        <v>14</v>
      </c>
      <c r="F2460" s="22">
        <v>58.518</v>
      </c>
    </row>
    <row r="2461" spans="1:6">
      <c r="A2461" s="22" t="s">
        <v>7188</v>
      </c>
      <c r="B2461" s="22" t="s">
        <v>7189</v>
      </c>
      <c r="C2461" s="22" t="s">
        <v>7190</v>
      </c>
      <c r="D2461" s="22" t="s">
        <v>9</v>
      </c>
      <c r="E2461" s="22" t="s">
        <v>14</v>
      </c>
      <c r="F2461" s="22">
        <v>103.965</v>
      </c>
    </row>
    <row r="2462" spans="1:6">
      <c r="A2462" s="22" t="s">
        <v>7191</v>
      </c>
      <c r="B2462" s="22" t="s">
        <v>7192</v>
      </c>
      <c r="C2462" s="22" t="s">
        <v>7192</v>
      </c>
      <c r="D2462" s="22" t="s">
        <v>9</v>
      </c>
      <c r="E2462" s="22" t="s">
        <v>35</v>
      </c>
      <c r="F2462" s="22">
        <v>58.566</v>
      </c>
    </row>
    <row r="2463" spans="1:6">
      <c r="A2463" s="22" t="s">
        <v>7193</v>
      </c>
      <c r="B2463" s="22" t="s">
        <v>7194</v>
      </c>
      <c r="C2463" s="22" t="s">
        <v>7195</v>
      </c>
      <c r="D2463" s="22" t="s">
        <v>9</v>
      </c>
      <c r="E2463" s="22" t="s">
        <v>62</v>
      </c>
      <c r="F2463" s="22">
        <v>403.002</v>
      </c>
    </row>
    <row r="2464" spans="1:6">
      <c r="A2464" s="22" t="s">
        <v>7196</v>
      </c>
      <c r="B2464" s="22" t="s">
        <v>3229</v>
      </c>
      <c r="C2464" s="22" t="s">
        <v>7197</v>
      </c>
      <c r="D2464" s="22" t="s">
        <v>9</v>
      </c>
      <c r="E2464" s="22" t="s">
        <v>35</v>
      </c>
      <c r="F2464" s="22">
        <v>93.983</v>
      </c>
    </row>
    <row r="2465" spans="1:6">
      <c r="A2465" s="22" t="s">
        <v>7198</v>
      </c>
      <c r="B2465" s="22" t="s">
        <v>7199</v>
      </c>
      <c r="C2465" s="22" t="s">
        <v>7200</v>
      </c>
      <c r="D2465" s="22" t="s">
        <v>9</v>
      </c>
      <c r="E2465" s="22" t="s">
        <v>31</v>
      </c>
      <c r="F2465" s="22">
        <v>12.124</v>
      </c>
    </row>
    <row r="2466" spans="1:6">
      <c r="A2466" s="22" t="s">
        <v>7201</v>
      </c>
      <c r="B2466" s="22" t="s">
        <v>465</v>
      </c>
      <c r="C2466" s="22" t="s">
        <v>7202</v>
      </c>
      <c r="D2466" s="22" t="s">
        <v>9</v>
      </c>
      <c r="E2466" s="22" t="s">
        <v>14</v>
      </c>
      <c r="F2466" s="22">
        <v>155.737</v>
      </c>
    </row>
    <row r="2467" spans="1:6">
      <c r="A2467" s="22" t="s">
        <v>7203</v>
      </c>
      <c r="B2467" s="22" t="s">
        <v>7204</v>
      </c>
      <c r="C2467" s="22" t="s">
        <v>7205</v>
      </c>
      <c r="D2467" s="22" t="s">
        <v>9</v>
      </c>
      <c r="E2467" s="22" t="s">
        <v>62</v>
      </c>
      <c r="F2467" s="22">
        <v>132.413</v>
      </c>
    </row>
    <row r="2468" spans="1:6">
      <c r="A2468" s="22" t="s">
        <v>7206</v>
      </c>
      <c r="B2468" s="22" t="s">
        <v>7207</v>
      </c>
      <c r="C2468" s="22" t="s">
        <v>7208</v>
      </c>
      <c r="D2468" s="22" t="s">
        <v>9</v>
      </c>
      <c r="E2468" s="22" t="s">
        <v>14</v>
      </c>
      <c r="F2468" s="22">
        <v>79.03</v>
      </c>
    </row>
    <row r="2469" spans="1:6">
      <c r="A2469" s="22" t="s">
        <v>7209</v>
      </c>
      <c r="B2469" s="22" t="s">
        <v>7210</v>
      </c>
      <c r="C2469" s="22" t="s">
        <v>7211</v>
      </c>
      <c r="D2469" s="22" t="s">
        <v>9</v>
      </c>
      <c r="E2469" s="22" t="s">
        <v>14</v>
      </c>
      <c r="F2469" s="22">
        <v>55.424</v>
      </c>
    </row>
    <row r="2470" spans="1:6">
      <c r="A2470" s="22" t="s">
        <v>7212</v>
      </c>
      <c r="B2470" s="22" t="s">
        <v>7213</v>
      </c>
      <c r="C2470" s="22" t="s">
        <v>7214</v>
      </c>
      <c r="D2470" s="22" t="s">
        <v>9</v>
      </c>
      <c r="E2470" s="22" t="s">
        <v>82</v>
      </c>
      <c r="F2470" s="22">
        <v>205.504</v>
      </c>
    </row>
    <row r="2471" spans="1:6">
      <c r="A2471" s="22" t="s">
        <v>7215</v>
      </c>
      <c r="B2471" s="22" t="s">
        <v>7216</v>
      </c>
      <c r="C2471" s="22" t="s">
        <v>7217</v>
      </c>
      <c r="D2471" s="22" t="s">
        <v>9</v>
      </c>
      <c r="E2471" s="22" t="s">
        <v>62</v>
      </c>
      <c r="F2471" s="22">
        <v>24.258</v>
      </c>
    </row>
    <row r="2472" spans="1:6">
      <c r="A2472" s="22" t="s">
        <v>7218</v>
      </c>
      <c r="B2472" s="22" t="s">
        <v>7219</v>
      </c>
      <c r="C2472" s="22" t="s">
        <v>7220</v>
      </c>
      <c r="D2472" s="22" t="s">
        <v>9</v>
      </c>
      <c r="E2472" s="22" t="s">
        <v>35</v>
      </c>
      <c r="F2472" s="22">
        <v>2672.683</v>
      </c>
    </row>
    <row r="2473" spans="1:6">
      <c r="A2473" s="22" t="s">
        <v>7221</v>
      </c>
      <c r="B2473" s="22" t="s">
        <v>7222</v>
      </c>
      <c r="C2473" s="22" t="s">
        <v>7223</v>
      </c>
      <c r="D2473" s="22" t="s">
        <v>9</v>
      </c>
      <c r="E2473" s="22" t="s">
        <v>62</v>
      </c>
      <c r="F2473" s="22">
        <v>964.133</v>
      </c>
    </row>
    <row r="2474" spans="1:6">
      <c r="A2474" s="22" t="s">
        <v>7224</v>
      </c>
      <c r="B2474" s="22" t="s">
        <v>4998</v>
      </c>
      <c r="C2474" s="22" t="s">
        <v>7225</v>
      </c>
      <c r="D2474" s="22" t="s">
        <v>9</v>
      </c>
      <c r="E2474" s="22" t="s">
        <v>35</v>
      </c>
      <c r="F2474" s="22">
        <v>33.361</v>
      </c>
    </row>
    <row r="2475" spans="1:6">
      <c r="A2475" s="22" t="s">
        <v>7226</v>
      </c>
      <c r="B2475" s="22" t="s">
        <v>4288</v>
      </c>
      <c r="C2475" s="22" t="s">
        <v>7227</v>
      </c>
      <c r="D2475" s="22" t="s">
        <v>9</v>
      </c>
      <c r="E2475" s="22" t="s">
        <v>35</v>
      </c>
      <c r="F2475" s="22">
        <v>88.74</v>
      </c>
    </row>
    <row r="2476" spans="1:6">
      <c r="A2476" s="22" t="s">
        <v>7228</v>
      </c>
      <c r="B2476" s="22" t="s">
        <v>7229</v>
      </c>
      <c r="C2476" s="22" t="s">
        <v>7230</v>
      </c>
      <c r="D2476" s="22" t="s">
        <v>9</v>
      </c>
      <c r="E2476" s="22" t="s">
        <v>23</v>
      </c>
      <c r="F2476" s="22">
        <v>43.832</v>
      </c>
    </row>
    <row r="2477" spans="1:6">
      <c r="A2477" s="22" t="s">
        <v>7231</v>
      </c>
      <c r="B2477" s="22" t="s">
        <v>7232</v>
      </c>
      <c r="C2477" s="22" t="s">
        <v>7233</v>
      </c>
      <c r="D2477" s="22" t="s">
        <v>9</v>
      </c>
      <c r="E2477" s="22" t="s">
        <v>35</v>
      </c>
      <c r="F2477" s="22">
        <v>49.444</v>
      </c>
    </row>
    <row r="2478" spans="1:6">
      <c r="A2478" s="22" t="s">
        <v>7234</v>
      </c>
      <c r="B2478" s="22" t="s">
        <v>7235</v>
      </c>
      <c r="C2478" s="22" t="s">
        <v>7236</v>
      </c>
      <c r="D2478" s="22" t="s">
        <v>9</v>
      </c>
      <c r="E2478" s="22" t="s">
        <v>35</v>
      </c>
      <c r="F2478" s="22">
        <v>31.987</v>
      </c>
    </row>
    <row r="2479" spans="1:6">
      <c r="A2479" s="22" t="s">
        <v>7237</v>
      </c>
      <c r="B2479" s="22" t="s">
        <v>7238</v>
      </c>
      <c r="C2479" s="22" t="s">
        <v>7239</v>
      </c>
      <c r="D2479" s="22" t="s">
        <v>9</v>
      </c>
      <c r="E2479" s="22" t="s">
        <v>62</v>
      </c>
      <c r="F2479" s="22">
        <v>935.213</v>
      </c>
    </row>
    <row r="2480" spans="1:6">
      <c r="A2480" s="22" t="s">
        <v>7240</v>
      </c>
      <c r="B2480" s="22" t="s">
        <v>7241</v>
      </c>
      <c r="C2480" s="22" t="s">
        <v>7242</v>
      </c>
      <c r="D2480" s="22" t="s">
        <v>9</v>
      </c>
      <c r="E2480" s="22" t="s">
        <v>14</v>
      </c>
      <c r="F2480" s="22">
        <v>400.624</v>
      </c>
    </row>
    <row r="2481" spans="1:6">
      <c r="A2481" s="22" t="s">
        <v>7243</v>
      </c>
      <c r="B2481" s="22" t="s">
        <v>7244</v>
      </c>
      <c r="C2481" s="22" t="s">
        <v>7244</v>
      </c>
      <c r="D2481" s="22" t="s">
        <v>9</v>
      </c>
      <c r="E2481" s="22" t="s">
        <v>35</v>
      </c>
      <c r="F2481" s="22">
        <v>39.563</v>
      </c>
    </row>
    <row r="2482" spans="1:6">
      <c r="A2482" s="22" t="s">
        <v>7245</v>
      </c>
      <c r="B2482" s="22" t="s">
        <v>2531</v>
      </c>
      <c r="C2482" s="22" t="s">
        <v>2532</v>
      </c>
      <c r="D2482" s="22" t="s">
        <v>9</v>
      </c>
      <c r="E2482" s="22" t="s">
        <v>27</v>
      </c>
      <c r="F2482" s="22">
        <v>324.802</v>
      </c>
    </row>
    <row r="2483" spans="1:6">
      <c r="A2483" s="22" t="s">
        <v>7246</v>
      </c>
      <c r="B2483" s="22" t="s">
        <v>7247</v>
      </c>
      <c r="C2483" s="22" t="s">
        <v>7248</v>
      </c>
      <c r="D2483" s="22" t="s">
        <v>9</v>
      </c>
      <c r="E2483" s="22" t="s">
        <v>35</v>
      </c>
      <c r="F2483" s="22">
        <v>466.531</v>
      </c>
    </row>
    <row r="2484" spans="1:6">
      <c r="A2484" s="22" t="s">
        <v>7249</v>
      </c>
      <c r="B2484" s="22" t="s">
        <v>7250</v>
      </c>
      <c r="C2484" s="22" t="s">
        <v>7251</v>
      </c>
      <c r="D2484" s="22" t="s">
        <v>9</v>
      </c>
      <c r="E2484" s="22" t="s">
        <v>14</v>
      </c>
      <c r="F2484" s="22">
        <v>16.034</v>
      </c>
    </row>
    <row r="2485" spans="1:6">
      <c r="A2485" s="22" t="s">
        <v>7252</v>
      </c>
      <c r="B2485" s="22" t="s">
        <v>7253</v>
      </c>
      <c r="C2485" s="22" t="s">
        <v>7254</v>
      </c>
      <c r="D2485" s="22" t="s">
        <v>9</v>
      </c>
      <c r="E2485" s="22" t="s">
        <v>35</v>
      </c>
      <c r="F2485" s="22">
        <v>36.141</v>
      </c>
    </row>
    <row r="2486" spans="1:6">
      <c r="A2486" s="22" t="s">
        <v>7255</v>
      </c>
      <c r="B2486" s="22" t="s">
        <v>7169</v>
      </c>
      <c r="C2486" s="22" t="s">
        <v>7256</v>
      </c>
      <c r="D2486" s="22" t="s">
        <v>9</v>
      </c>
      <c r="E2486" s="22" t="s">
        <v>62</v>
      </c>
      <c r="F2486" s="22">
        <v>2.969</v>
      </c>
    </row>
    <row r="2487" spans="1:6">
      <c r="A2487" s="22" t="s">
        <v>7257</v>
      </c>
      <c r="B2487" s="22" t="s">
        <v>7258</v>
      </c>
      <c r="C2487" s="22" t="s">
        <v>7259</v>
      </c>
      <c r="D2487" s="22" t="s">
        <v>9</v>
      </c>
      <c r="E2487" s="22" t="s">
        <v>62</v>
      </c>
      <c r="F2487" s="22">
        <v>33.303</v>
      </c>
    </row>
    <row r="2488" spans="1:6">
      <c r="A2488" s="22" t="s">
        <v>7260</v>
      </c>
      <c r="B2488" s="22" t="s">
        <v>7261</v>
      </c>
      <c r="C2488" s="22" t="s">
        <v>7262</v>
      </c>
      <c r="D2488" s="22" t="s">
        <v>9</v>
      </c>
      <c r="E2488" s="22" t="s">
        <v>27</v>
      </c>
      <c r="F2488" s="22">
        <v>97.787</v>
      </c>
    </row>
    <row r="2489" spans="1:6">
      <c r="A2489" s="22" t="s">
        <v>7263</v>
      </c>
      <c r="B2489" s="22" t="s">
        <v>7264</v>
      </c>
      <c r="C2489" s="22" t="s">
        <v>7265</v>
      </c>
      <c r="D2489" s="22" t="s">
        <v>9</v>
      </c>
      <c r="E2489" s="22" t="s">
        <v>35</v>
      </c>
      <c r="F2489" s="22">
        <v>120.206</v>
      </c>
    </row>
    <row r="2490" spans="1:6">
      <c r="A2490" s="22" t="s">
        <v>7266</v>
      </c>
      <c r="B2490" s="22" t="s">
        <v>7267</v>
      </c>
      <c r="C2490" s="22" t="s">
        <v>7268</v>
      </c>
      <c r="D2490" s="22" t="s">
        <v>9</v>
      </c>
      <c r="E2490" s="22" t="s">
        <v>23</v>
      </c>
      <c r="F2490" s="22">
        <v>478.816</v>
      </c>
    </row>
    <row r="2491" spans="1:6">
      <c r="A2491" s="22" t="s">
        <v>7269</v>
      </c>
      <c r="B2491" s="22" t="s">
        <v>7270</v>
      </c>
      <c r="C2491" s="22" t="s">
        <v>7271</v>
      </c>
      <c r="D2491" s="22" t="s">
        <v>9</v>
      </c>
      <c r="E2491" s="22" t="s">
        <v>27</v>
      </c>
      <c r="F2491" s="22">
        <v>353.219</v>
      </c>
    </row>
    <row r="2492" spans="1:6">
      <c r="A2492" s="22" t="s">
        <v>7272</v>
      </c>
      <c r="B2492" s="22" t="s">
        <v>7273</v>
      </c>
      <c r="C2492" s="22" t="s">
        <v>7274</v>
      </c>
      <c r="D2492" s="22" t="s">
        <v>9</v>
      </c>
      <c r="E2492" s="22" t="s">
        <v>35</v>
      </c>
      <c r="F2492" s="22">
        <v>115.086</v>
      </c>
    </row>
    <row r="2493" spans="1:6">
      <c r="A2493" s="22" t="s">
        <v>7275</v>
      </c>
      <c r="B2493" s="22" t="s">
        <v>7276</v>
      </c>
      <c r="C2493" s="22" t="s">
        <v>7277</v>
      </c>
      <c r="D2493" s="22" t="s">
        <v>9</v>
      </c>
      <c r="E2493" s="22" t="s">
        <v>27</v>
      </c>
      <c r="F2493" s="22">
        <v>130.297</v>
      </c>
    </row>
    <row r="2494" spans="1:6">
      <c r="A2494" s="22" t="s">
        <v>7278</v>
      </c>
      <c r="B2494" s="22" t="s">
        <v>7279</v>
      </c>
      <c r="C2494" s="22" t="s">
        <v>7280</v>
      </c>
      <c r="D2494" s="22" t="s">
        <v>9</v>
      </c>
      <c r="E2494" s="22" t="s">
        <v>31</v>
      </c>
      <c r="F2494" s="22">
        <v>1366.941</v>
      </c>
    </row>
    <row r="2495" spans="1:6">
      <c r="A2495" s="22" t="s">
        <v>7281</v>
      </c>
      <c r="B2495" s="22" t="s">
        <v>7282</v>
      </c>
      <c r="C2495" s="22" t="s">
        <v>7283</v>
      </c>
      <c r="D2495" s="22" t="s">
        <v>9</v>
      </c>
      <c r="E2495" s="22" t="s">
        <v>57</v>
      </c>
      <c r="F2495" s="22">
        <v>0.258</v>
      </c>
    </row>
    <row r="2496" spans="1:6">
      <c r="A2496" s="22" t="s">
        <v>7284</v>
      </c>
      <c r="B2496" s="22" t="s">
        <v>796</v>
      </c>
      <c r="C2496" s="22" t="s">
        <v>7285</v>
      </c>
      <c r="D2496" s="22" t="s">
        <v>9</v>
      </c>
      <c r="E2496" s="22" t="s">
        <v>31</v>
      </c>
      <c r="F2496" s="22">
        <v>440.276</v>
      </c>
    </row>
    <row r="2497" spans="1:6">
      <c r="A2497" s="22" t="s">
        <v>7286</v>
      </c>
      <c r="B2497" s="22" t="s">
        <v>7287</v>
      </c>
      <c r="C2497" s="22" t="s">
        <v>7288</v>
      </c>
      <c r="D2497" s="22" t="s">
        <v>9</v>
      </c>
      <c r="E2497" s="22" t="s">
        <v>31</v>
      </c>
      <c r="F2497" s="22">
        <v>241.191</v>
      </c>
    </row>
    <row r="2498" spans="1:6">
      <c r="A2498" s="22" t="s">
        <v>7289</v>
      </c>
      <c r="B2498" s="22" t="s">
        <v>7290</v>
      </c>
      <c r="C2498" s="22" t="s">
        <v>7291</v>
      </c>
      <c r="D2498" s="22" t="s">
        <v>9</v>
      </c>
      <c r="E2498" s="22" t="s">
        <v>35</v>
      </c>
      <c r="F2498" s="22">
        <v>57.422</v>
      </c>
    </row>
    <row r="2499" spans="1:6">
      <c r="A2499" s="22" t="s">
        <v>7292</v>
      </c>
      <c r="B2499" s="22" t="s">
        <v>7293</v>
      </c>
      <c r="C2499" s="22" t="s">
        <v>7294</v>
      </c>
      <c r="D2499" s="22" t="s">
        <v>9</v>
      </c>
      <c r="E2499" s="22" t="s">
        <v>14</v>
      </c>
      <c r="F2499" s="22">
        <v>327.085</v>
      </c>
    </row>
    <row r="2500" spans="1:6">
      <c r="A2500" s="22" t="s">
        <v>7295</v>
      </c>
      <c r="B2500" s="22" t="s">
        <v>6197</v>
      </c>
      <c r="C2500" s="22" t="s">
        <v>7296</v>
      </c>
      <c r="D2500" s="22" t="s">
        <v>9</v>
      </c>
      <c r="E2500" s="22" t="s">
        <v>14</v>
      </c>
      <c r="F2500" s="22">
        <v>96.293</v>
      </c>
    </row>
    <row r="2501" spans="1:6">
      <c r="A2501" s="22" t="s">
        <v>7297</v>
      </c>
      <c r="B2501" s="22" t="s">
        <v>7298</v>
      </c>
      <c r="C2501" s="22" t="s">
        <v>7299</v>
      </c>
      <c r="D2501" s="22" t="s">
        <v>9</v>
      </c>
      <c r="E2501" s="22" t="s">
        <v>31</v>
      </c>
      <c r="F2501" s="22">
        <v>12.907</v>
      </c>
    </row>
    <row r="2502" spans="1:6">
      <c r="A2502" s="22" t="s">
        <v>7300</v>
      </c>
      <c r="B2502" s="22" t="s">
        <v>7301</v>
      </c>
      <c r="C2502" s="22" t="s">
        <v>7301</v>
      </c>
      <c r="D2502" s="22" t="s">
        <v>9</v>
      </c>
      <c r="E2502" s="22" t="s">
        <v>31</v>
      </c>
      <c r="F2502" s="22">
        <v>1440.892</v>
      </c>
    </row>
    <row r="2503" spans="1:6">
      <c r="A2503" s="22" t="s">
        <v>7302</v>
      </c>
      <c r="B2503" s="22" t="s">
        <v>7303</v>
      </c>
      <c r="C2503" s="22" t="s">
        <v>7304</v>
      </c>
      <c r="D2503" s="22" t="s">
        <v>9</v>
      </c>
      <c r="E2503" s="22" t="s">
        <v>27</v>
      </c>
      <c r="F2503" s="22">
        <v>97.291</v>
      </c>
    </row>
    <row r="2504" spans="1:6">
      <c r="A2504" s="22" t="s">
        <v>7305</v>
      </c>
      <c r="B2504" s="22" t="s">
        <v>5153</v>
      </c>
      <c r="C2504" s="22" t="s">
        <v>7306</v>
      </c>
      <c r="D2504" s="22" t="s">
        <v>9</v>
      </c>
      <c r="E2504" s="22" t="s">
        <v>35</v>
      </c>
      <c r="F2504" s="22">
        <v>53.53</v>
      </c>
    </row>
    <row r="2505" spans="1:6">
      <c r="A2505" s="22" t="s">
        <v>7307</v>
      </c>
      <c r="B2505" s="22" t="s">
        <v>7308</v>
      </c>
      <c r="C2505" s="22" t="s">
        <v>7309</v>
      </c>
      <c r="D2505" s="22" t="s">
        <v>9</v>
      </c>
      <c r="E2505" s="22" t="s">
        <v>14</v>
      </c>
      <c r="F2505" s="22">
        <v>24.394</v>
      </c>
    </row>
    <row r="2506" spans="1:6">
      <c r="A2506" s="22" t="s">
        <v>7310</v>
      </c>
      <c r="B2506" s="22" t="s">
        <v>7311</v>
      </c>
      <c r="C2506" s="22" t="s">
        <v>7312</v>
      </c>
      <c r="D2506" s="22" t="s">
        <v>9</v>
      </c>
      <c r="E2506" s="22" t="s">
        <v>27</v>
      </c>
      <c r="F2506" s="22">
        <v>4331.367</v>
      </c>
    </row>
    <row r="2507" spans="1:6">
      <c r="A2507" s="22" t="s">
        <v>7313</v>
      </c>
      <c r="B2507" s="22" t="s">
        <v>7314</v>
      </c>
      <c r="C2507" s="22" t="s">
        <v>7315</v>
      </c>
      <c r="D2507" s="22" t="s">
        <v>9</v>
      </c>
      <c r="E2507" s="22" t="s">
        <v>35</v>
      </c>
      <c r="F2507" s="22">
        <v>234.668</v>
      </c>
    </row>
    <row r="2508" spans="1:6">
      <c r="A2508" s="22" t="s">
        <v>7316</v>
      </c>
      <c r="B2508" s="22" t="s">
        <v>7317</v>
      </c>
      <c r="C2508" s="22" t="s">
        <v>7318</v>
      </c>
      <c r="D2508" s="22" t="s">
        <v>9</v>
      </c>
      <c r="E2508" s="22" t="s">
        <v>27</v>
      </c>
      <c r="F2508" s="22">
        <v>113.364</v>
      </c>
    </row>
    <row r="2509" spans="1:6">
      <c r="A2509" s="22" t="s">
        <v>7319</v>
      </c>
      <c r="B2509" s="22" t="s">
        <v>7320</v>
      </c>
      <c r="C2509" s="22" t="s">
        <v>7321</v>
      </c>
      <c r="D2509" s="22" t="s">
        <v>9</v>
      </c>
      <c r="E2509" s="22" t="s">
        <v>31</v>
      </c>
      <c r="F2509" s="22">
        <v>560.188</v>
      </c>
    </row>
    <row r="2510" spans="1:6">
      <c r="A2510" s="22" t="s">
        <v>7322</v>
      </c>
      <c r="B2510" s="22" t="s">
        <v>7323</v>
      </c>
      <c r="C2510" s="22" t="s">
        <v>7324</v>
      </c>
      <c r="D2510" s="22" t="s">
        <v>9</v>
      </c>
      <c r="E2510" s="22" t="s">
        <v>14</v>
      </c>
      <c r="F2510" s="22">
        <v>15.261</v>
      </c>
    </row>
    <row r="2511" spans="1:6">
      <c r="A2511" s="22" t="s">
        <v>7325</v>
      </c>
      <c r="B2511" s="22" t="s">
        <v>7326</v>
      </c>
      <c r="C2511" s="22" t="s">
        <v>7327</v>
      </c>
      <c r="D2511" s="22" t="s">
        <v>9</v>
      </c>
      <c r="E2511" s="22" t="s">
        <v>27</v>
      </c>
      <c r="F2511" s="22">
        <v>47.687</v>
      </c>
    </row>
    <row r="2512" spans="1:6">
      <c r="A2512" s="22" t="s">
        <v>7328</v>
      </c>
      <c r="B2512" s="22" t="s">
        <v>7329</v>
      </c>
      <c r="C2512" s="22" t="s">
        <v>7330</v>
      </c>
      <c r="D2512" s="22" t="s">
        <v>9</v>
      </c>
      <c r="E2512" s="22" t="s">
        <v>31</v>
      </c>
      <c r="F2512" s="22">
        <v>609.371</v>
      </c>
    </row>
    <row r="2513" spans="1:6">
      <c r="A2513" s="22" t="s">
        <v>7331</v>
      </c>
      <c r="B2513" s="22" t="s">
        <v>7332</v>
      </c>
      <c r="C2513" s="22" t="s">
        <v>7333</v>
      </c>
      <c r="D2513" s="22" t="s">
        <v>9</v>
      </c>
      <c r="E2513" s="22" t="s">
        <v>35</v>
      </c>
      <c r="F2513" s="22">
        <v>100.036</v>
      </c>
    </row>
    <row r="2514" spans="1:6">
      <c r="A2514" s="22" t="s">
        <v>7334</v>
      </c>
      <c r="B2514" s="22" t="s">
        <v>7335</v>
      </c>
      <c r="C2514" s="22" t="s">
        <v>7336</v>
      </c>
      <c r="D2514" s="22" t="s">
        <v>9</v>
      </c>
      <c r="E2514" s="22" t="s">
        <v>27</v>
      </c>
      <c r="F2514" s="22">
        <v>45.333</v>
      </c>
    </row>
    <row r="2515" spans="1:6">
      <c r="A2515" s="22" t="s">
        <v>7337</v>
      </c>
      <c r="B2515" s="22" t="s">
        <v>7338</v>
      </c>
      <c r="C2515" s="22" t="s">
        <v>7338</v>
      </c>
      <c r="D2515" s="22" t="s">
        <v>9</v>
      </c>
      <c r="E2515" s="22" t="s">
        <v>35</v>
      </c>
      <c r="F2515" s="22">
        <v>212.244</v>
      </c>
    </row>
    <row r="2516" spans="1:6">
      <c r="A2516" s="22" t="s">
        <v>7339</v>
      </c>
      <c r="B2516" s="22" t="s">
        <v>7340</v>
      </c>
      <c r="C2516" s="22" t="s">
        <v>7341</v>
      </c>
      <c r="D2516" s="22" t="s">
        <v>9</v>
      </c>
      <c r="E2516" s="22" t="s">
        <v>27</v>
      </c>
      <c r="F2516" s="22">
        <v>4.549</v>
      </c>
    </row>
    <row r="2517" spans="1:6">
      <c r="A2517" s="22" t="s">
        <v>7342</v>
      </c>
      <c r="B2517" s="22" t="s">
        <v>7343</v>
      </c>
      <c r="C2517" s="22" t="s">
        <v>7344</v>
      </c>
      <c r="D2517" s="22" t="s">
        <v>9</v>
      </c>
      <c r="E2517" s="22" t="s">
        <v>31</v>
      </c>
      <c r="F2517" s="22">
        <v>183.428</v>
      </c>
    </row>
    <row r="2518" spans="1:6">
      <c r="A2518" s="22" t="s">
        <v>7345</v>
      </c>
      <c r="B2518" s="22" t="s">
        <v>7346</v>
      </c>
      <c r="C2518" s="22" t="s">
        <v>7347</v>
      </c>
      <c r="D2518" s="22" t="s">
        <v>9</v>
      </c>
      <c r="E2518" s="22" t="s">
        <v>35</v>
      </c>
      <c r="F2518" s="22">
        <v>104.28</v>
      </c>
    </row>
    <row r="2519" spans="1:6">
      <c r="A2519" s="22" t="s">
        <v>7348</v>
      </c>
      <c r="B2519" s="22" t="s">
        <v>7349</v>
      </c>
      <c r="C2519" s="22" t="s">
        <v>7350</v>
      </c>
      <c r="D2519" s="22" t="s">
        <v>9</v>
      </c>
      <c r="E2519" s="22" t="s">
        <v>31</v>
      </c>
      <c r="F2519" s="22">
        <v>155.276</v>
      </c>
    </row>
    <row r="2520" spans="1:6">
      <c r="A2520" s="22" t="s">
        <v>7351</v>
      </c>
      <c r="B2520" s="22" t="s">
        <v>7352</v>
      </c>
      <c r="C2520" s="22" t="s">
        <v>7353</v>
      </c>
      <c r="D2520" s="22" t="s">
        <v>9</v>
      </c>
      <c r="E2520" s="22" t="s">
        <v>35</v>
      </c>
      <c r="F2520" s="22">
        <v>43.394</v>
      </c>
    </row>
    <row r="2521" spans="1:6">
      <c r="A2521" s="22" t="s">
        <v>7354</v>
      </c>
      <c r="B2521" s="22" t="s">
        <v>7355</v>
      </c>
      <c r="C2521" s="22" t="s">
        <v>7356</v>
      </c>
      <c r="D2521" s="22" t="s">
        <v>9</v>
      </c>
      <c r="E2521" s="22" t="s">
        <v>35</v>
      </c>
      <c r="F2521" s="22">
        <v>6.9</v>
      </c>
    </row>
    <row r="2522" spans="1:6">
      <c r="A2522" s="22" t="s">
        <v>7357</v>
      </c>
      <c r="B2522" s="22" t="s">
        <v>7358</v>
      </c>
      <c r="C2522" s="22" t="s">
        <v>7359</v>
      </c>
      <c r="D2522" s="22" t="s">
        <v>9</v>
      </c>
      <c r="E2522" s="22" t="s">
        <v>62</v>
      </c>
      <c r="F2522" s="22">
        <v>287.515</v>
      </c>
    </row>
    <row r="2523" spans="1:6">
      <c r="A2523" s="22" t="s">
        <v>7360</v>
      </c>
      <c r="B2523" s="22" t="s">
        <v>7361</v>
      </c>
      <c r="C2523" s="22" t="s">
        <v>7362</v>
      </c>
      <c r="D2523" s="22" t="s">
        <v>9</v>
      </c>
      <c r="E2523" s="22" t="s">
        <v>14</v>
      </c>
      <c r="F2523" s="22">
        <v>55.18</v>
      </c>
    </row>
    <row r="2524" spans="1:6">
      <c r="A2524" s="22" t="s">
        <v>7363</v>
      </c>
      <c r="B2524" s="22" t="s">
        <v>7364</v>
      </c>
      <c r="C2524" s="22" t="s">
        <v>7365</v>
      </c>
      <c r="D2524" s="22" t="s">
        <v>9</v>
      </c>
      <c r="E2524" s="22" t="s">
        <v>27</v>
      </c>
      <c r="F2524" s="22">
        <v>335.353</v>
      </c>
    </row>
    <row r="2525" spans="1:6">
      <c r="A2525" s="22" t="s">
        <v>7366</v>
      </c>
      <c r="B2525" s="22" t="s">
        <v>7367</v>
      </c>
      <c r="C2525" s="22" t="s">
        <v>7368</v>
      </c>
      <c r="D2525" s="22" t="s">
        <v>9</v>
      </c>
      <c r="E2525" s="22" t="s">
        <v>27</v>
      </c>
      <c r="F2525" s="22">
        <v>51.144</v>
      </c>
    </row>
    <row r="2526" spans="1:6">
      <c r="A2526" s="22" t="s">
        <v>7369</v>
      </c>
      <c r="B2526" s="22" t="s">
        <v>7370</v>
      </c>
      <c r="C2526" s="22" t="s">
        <v>7371</v>
      </c>
      <c r="D2526" s="22" t="s">
        <v>9</v>
      </c>
      <c r="E2526" s="22" t="s">
        <v>27</v>
      </c>
      <c r="F2526" s="22">
        <v>601.707</v>
      </c>
    </row>
    <row r="2527" spans="1:6">
      <c r="A2527" s="22" t="s">
        <v>7372</v>
      </c>
      <c r="B2527" s="22" t="s">
        <v>7373</v>
      </c>
      <c r="C2527" s="22" t="s">
        <v>7374</v>
      </c>
      <c r="D2527" s="22" t="s">
        <v>9</v>
      </c>
      <c r="E2527" s="22" t="s">
        <v>113</v>
      </c>
      <c r="F2527" s="22">
        <v>358.647</v>
      </c>
    </row>
    <row r="2528" spans="1:6">
      <c r="A2528" s="22" t="s">
        <v>7375</v>
      </c>
      <c r="B2528" s="22" t="s">
        <v>7376</v>
      </c>
      <c r="C2528" s="22" t="s">
        <v>7377</v>
      </c>
      <c r="D2528" s="22" t="s">
        <v>9</v>
      </c>
      <c r="E2528" s="22" t="s">
        <v>89</v>
      </c>
      <c r="F2528" s="22">
        <v>70.08</v>
      </c>
    </row>
    <row r="2529" spans="1:6">
      <c r="A2529" s="22" t="s">
        <v>7378</v>
      </c>
      <c r="B2529" s="22" t="s">
        <v>7379</v>
      </c>
      <c r="C2529" s="22" t="s">
        <v>7380</v>
      </c>
      <c r="D2529" s="22" t="s">
        <v>9</v>
      </c>
      <c r="E2529" s="22" t="s">
        <v>27</v>
      </c>
      <c r="F2529" s="22">
        <v>121.145</v>
      </c>
    </row>
    <row r="2530" spans="1:6">
      <c r="A2530" s="22" t="s">
        <v>7381</v>
      </c>
      <c r="B2530" s="22" t="s">
        <v>7382</v>
      </c>
      <c r="C2530" s="22" t="s">
        <v>7383</v>
      </c>
      <c r="D2530" s="22" t="s">
        <v>9</v>
      </c>
      <c r="E2530" s="22" t="s">
        <v>31</v>
      </c>
      <c r="F2530" s="22">
        <v>164.917</v>
      </c>
    </row>
    <row r="2531" spans="1:6">
      <c r="A2531" s="22" t="s">
        <v>7384</v>
      </c>
      <c r="B2531" s="22" t="s">
        <v>7385</v>
      </c>
      <c r="C2531" s="22" t="s">
        <v>7386</v>
      </c>
      <c r="D2531" s="22" t="s">
        <v>9</v>
      </c>
      <c r="E2531" s="22" t="s">
        <v>14</v>
      </c>
      <c r="F2531" s="22">
        <v>73.206</v>
      </c>
    </row>
    <row r="2532" spans="1:6">
      <c r="A2532" s="22" t="s">
        <v>7387</v>
      </c>
      <c r="B2532" s="22" t="s">
        <v>7388</v>
      </c>
      <c r="C2532" s="22" t="s">
        <v>7389</v>
      </c>
      <c r="D2532" s="22" t="s">
        <v>9</v>
      </c>
      <c r="E2532" s="22" t="s">
        <v>14</v>
      </c>
      <c r="F2532" s="22">
        <v>38.146</v>
      </c>
    </row>
    <row r="2533" spans="1:6">
      <c r="A2533" s="22" t="s">
        <v>7390</v>
      </c>
      <c r="B2533" s="22" t="s">
        <v>7391</v>
      </c>
      <c r="C2533" s="22" t="s">
        <v>7392</v>
      </c>
      <c r="D2533" s="22" t="s">
        <v>9</v>
      </c>
      <c r="E2533" s="22" t="s">
        <v>27</v>
      </c>
      <c r="F2533" s="22">
        <v>26.675</v>
      </c>
    </row>
    <row r="2534" spans="1:6">
      <c r="A2534" s="22" t="s">
        <v>7393</v>
      </c>
      <c r="B2534" s="22" t="s">
        <v>7394</v>
      </c>
      <c r="C2534" s="22" t="s">
        <v>7395</v>
      </c>
      <c r="D2534" s="22" t="s">
        <v>9</v>
      </c>
      <c r="E2534" s="22" t="s">
        <v>14</v>
      </c>
      <c r="F2534" s="22">
        <v>3.913</v>
      </c>
    </row>
    <row r="2535" spans="1:6">
      <c r="A2535" s="22" t="s">
        <v>7396</v>
      </c>
      <c r="B2535" s="22" t="s">
        <v>4896</v>
      </c>
      <c r="C2535" s="22" t="s">
        <v>7397</v>
      </c>
      <c r="D2535" s="22" t="s">
        <v>9</v>
      </c>
      <c r="E2535" s="22" t="s">
        <v>62</v>
      </c>
      <c r="F2535" s="22">
        <v>11.491</v>
      </c>
    </row>
    <row r="2536" spans="1:6">
      <c r="A2536" s="22" t="s">
        <v>7398</v>
      </c>
      <c r="B2536" s="22" t="s">
        <v>7320</v>
      </c>
      <c r="C2536" s="22" t="s">
        <v>7399</v>
      </c>
      <c r="D2536" s="22" t="s">
        <v>9</v>
      </c>
      <c r="E2536" s="22" t="s">
        <v>31</v>
      </c>
      <c r="F2536" s="22">
        <v>1938.136</v>
      </c>
    </row>
    <row r="2537" spans="1:6">
      <c r="A2537" s="22" t="s">
        <v>7400</v>
      </c>
      <c r="B2537" s="22" t="s">
        <v>7401</v>
      </c>
      <c r="C2537" s="22" t="s">
        <v>7402</v>
      </c>
      <c r="D2537" s="22" t="s">
        <v>9</v>
      </c>
      <c r="E2537" s="22" t="s">
        <v>31</v>
      </c>
      <c r="F2537" s="22">
        <v>631.794</v>
      </c>
    </row>
    <row r="2538" spans="1:6">
      <c r="A2538" s="22" t="s">
        <v>7403</v>
      </c>
      <c r="B2538" s="22" t="s">
        <v>7404</v>
      </c>
      <c r="C2538" s="22" t="s">
        <v>7405</v>
      </c>
      <c r="D2538" s="22" t="s">
        <v>9</v>
      </c>
      <c r="E2538" s="22" t="s">
        <v>62</v>
      </c>
      <c r="F2538" s="22">
        <v>165.01</v>
      </c>
    </row>
    <row r="2539" spans="1:6">
      <c r="A2539" s="22" t="s">
        <v>7406</v>
      </c>
      <c r="B2539" s="22" t="s">
        <v>7407</v>
      </c>
      <c r="C2539" s="22" t="s">
        <v>7408</v>
      </c>
      <c r="D2539" s="22" t="s">
        <v>9</v>
      </c>
      <c r="E2539" s="22" t="s">
        <v>27</v>
      </c>
      <c r="F2539" s="22">
        <v>3189.318</v>
      </c>
    </row>
    <row r="2540" spans="1:6">
      <c r="A2540" s="22" t="s">
        <v>7409</v>
      </c>
      <c r="B2540" s="22" t="s">
        <v>7410</v>
      </c>
      <c r="C2540" s="22" t="s">
        <v>7411</v>
      </c>
      <c r="D2540" s="22" t="s">
        <v>9</v>
      </c>
      <c r="E2540" s="22" t="s">
        <v>40</v>
      </c>
      <c r="F2540" s="22">
        <v>57.926</v>
      </c>
    </row>
    <row r="2541" spans="1:6">
      <c r="A2541" s="22" t="s">
        <v>7412</v>
      </c>
      <c r="B2541" s="22" t="s">
        <v>7413</v>
      </c>
      <c r="C2541" s="22" t="s">
        <v>7414</v>
      </c>
      <c r="D2541" s="22" t="s">
        <v>9</v>
      </c>
      <c r="E2541" s="22" t="s">
        <v>35</v>
      </c>
      <c r="F2541" s="22">
        <v>71.002</v>
      </c>
    </row>
    <row r="2542" spans="1:6">
      <c r="A2542" s="22" t="s">
        <v>7415</v>
      </c>
      <c r="B2542" s="22" t="s">
        <v>7317</v>
      </c>
      <c r="C2542" s="22" t="s">
        <v>7416</v>
      </c>
      <c r="D2542" s="22" t="s">
        <v>9</v>
      </c>
      <c r="E2542" s="22" t="s">
        <v>27</v>
      </c>
      <c r="F2542" s="22">
        <v>295.147</v>
      </c>
    </row>
    <row r="2543" spans="1:6">
      <c r="A2543" s="22" t="s">
        <v>7417</v>
      </c>
      <c r="B2543" s="22" t="s">
        <v>7418</v>
      </c>
      <c r="C2543" s="22" t="s">
        <v>7419</v>
      </c>
      <c r="D2543" s="22" t="s">
        <v>9</v>
      </c>
      <c r="E2543" s="22" t="s">
        <v>62</v>
      </c>
      <c r="F2543" s="22">
        <v>16.318</v>
      </c>
    </row>
    <row r="2544" spans="1:6">
      <c r="A2544" s="22" t="s">
        <v>7420</v>
      </c>
      <c r="B2544" s="22" t="s">
        <v>7421</v>
      </c>
      <c r="C2544" s="22" t="s">
        <v>7422</v>
      </c>
      <c r="D2544" s="22" t="s">
        <v>9</v>
      </c>
      <c r="E2544" s="22" t="s">
        <v>62</v>
      </c>
      <c r="F2544" s="22">
        <v>193.126</v>
      </c>
    </row>
    <row r="2545" spans="1:6">
      <c r="A2545" s="22" t="s">
        <v>7423</v>
      </c>
      <c r="B2545" s="22" t="s">
        <v>7320</v>
      </c>
      <c r="C2545" s="22" t="s">
        <v>7424</v>
      </c>
      <c r="D2545" s="22" t="s">
        <v>9</v>
      </c>
      <c r="E2545" s="22" t="s">
        <v>31</v>
      </c>
      <c r="F2545" s="22">
        <v>558.445</v>
      </c>
    </row>
    <row r="2546" spans="1:6">
      <c r="A2546" s="22" t="s">
        <v>7425</v>
      </c>
      <c r="B2546" s="22" t="s">
        <v>7426</v>
      </c>
      <c r="C2546" s="22" t="s">
        <v>7427</v>
      </c>
      <c r="D2546" s="22" t="s">
        <v>9</v>
      </c>
      <c r="E2546" s="22" t="s">
        <v>27</v>
      </c>
      <c r="F2546" s="22">
        <v>62.264</v>
      </c>
    </row>
    <row r="2547" spans="1:6">
      <c r="A2547" s="22" t="s">
        <v>7428</v>
      </c>
      <c r="B2547" s="22" t="s">
        <v>7317</v>
      </c>
      <c r="C2547" s="22" t="s">
        <v>7429</v>
      </c>
      <c r="D2547" s="22" t="s">
        <v>9</v>
      </c>
      <c r="E2547" s="22" t="s">
        <v>27</v>
      </c>
      <c r="F2547" s="22">
        <v>1420.724</v>
      </c>
    </row>
    <row r="2548" spans="1:6">
      <c r="A2548" s="22" t="s">
        <v>7430</v>
      </c>
      <c r="B2548" s="22" t="s">
        <v>7431</v>
      </c>
      <c r="C2548" s="22" t="s">
        <v>7432</v>
      </c>
      <c r="D2548" s="22" t="s">
        <v>9</v>
      </c>
      <c r="E2548" s="22" t="s">
        <v>89</v>
      </c>
      <c r="F2548" s="22">
        <v>40.623</v>
      </c>
    </row>
    <row r="2549" spans="1:6">
      <c r="A2549" s="22" t="s">
        <v>7433</v>
      </c>
      <c r="B2549" s="22" t="s">
        <v>7434</v>
      </c>
      <c r="C2549" s="22" t="s">
        <v>7435</v>
      </c>
      <c r="D2549" s="22" t="s">
        <v>9</v>
      </c>
      <c r="E2549" s="22" t="s">
        <v>35</v>
      </c>
      <c r="F2549" s="22">
        <v>319.026</v>
      </c>
    </row>
    <row r="2550" spans="1:6">
      <c r="A2550" s="22" t="s">
        <v>7436</v>
      </c>
      <c r="B2550" s="22" t="s">
        <v>7437</v>
      </c>
      <c r="C2550" s="22" t="s">
        <v>7438</v>
      </c>
      <c r="D2550" s="22" t="s">
        <v>9</v>
      </c>
      <c r="E2550" s="22" t="s">
        <v>27</v>
      </c>
      <c r="F2550" s="22">
        <v>4.33</v>
      </c>
    </row>
    <row r="2551" spans="1:6">
      <c r="A2551" s="22" t="s">
        <v>7439</v>
      </c>
      <c r="B2551" s="22" t="s">
        <v>7440</v>
      </c>
      <c r="C2551" s="22" t="s">
        <v>7441</v>
      </c>
      <c r="D2551" s="22" t="s">
        <v>9</v>
      </c>
      <c r="E2551" s="22" t="s">
        <v>14</v>
      </c>
      <c r="F2551" s="22">
        <v>263.064</v>
      </c>
    </row>
    <row r="2552" spans="1:6">
      <c r="A2552" s="22" t="s">
        <v>7442</v>
      </c>
      <c r="B2552" s="22" t="s">
        <v>7443</v>
      </c>
      <c r="C2552" s="22" t="s">
        <v>7444</v>
      </c>
      <c r="D2552" s="22" t="s">
        <v>9</v>
      </c>
      <c r="E2552" s="22" t="s">
        <v>31</v>
      </c>
      <c r="F2552" s="22">
        <v>484.627</v>
      </c>
    </row>
    <row r="2553" spans="1:6">
      <c r="A2553" s="22" t="s">
        <v>7445</v>
      </c>
      <c r="B2553" s="22" t="s">
        <v>7446</v>
      </c>
      <c r="C2553" s="22" t="s">
        <v>7447</v>
      </c>
      <c r="D2553" s="22" t="s">
        <v>9</v>
      </c>
      <c r="E2553" s="22" t="s">
        <v>14</v>
      </c>
      <c r="F2553" s="22">
        <v>42.499</v>
      </c>
    </row>
    <row r="2554" spans="1:6">
      <c r="A2554" s="22" t="s">
        <v>7448</v>
      </c>
      <c r="B2554" s="22" t="s">
        <v>7449</v>
      </c>
      <c r="C2554" s="22" t="s">
        <v>7450</v>
      </c>
      <c r="D2554" s="22" t="s">
        <v>9</v>
      </c>
      <c r="E2554" s="22" t="s">
        <v>35</v>
      </c>
      <c r="F2554" s="22">
        <v>41.732</v>
      </c>
    </row>
    <row r="2555" spans="1:6">
      <c r="A2555" s="22" t="s">
        <v>7451</v>
      </c>
      <c r="B2555" s="22" t="s">
        <v>7452</v>
      </c>
      <c r="C2555" s="22" t="s">
        <v>7453</v>
      </c>
      <c r="D2555" s="22" t="s">
        <v>9</v>
      </c>
      <c r="E2555" s="22" t="s">
        <v>27</v>
      </c>
      <c r="F2555" s="22">
        <v>109.627</v>
      </c>
    </row>
    <row r="2556" spans="1:6">
      <c r="A2556" s="22" t="s">
        <v>7454</v>
      </c>
      <c r="B2556" s="22" t="s">
        <v>7455</v>
      </c>
      <c r="C2556" s="22" t="s">
        <v>7456</v>
      </c>
      <c r="D2556" s="22" t="s">
        <v>9</v>
      </c>
      <c r="E2556" s="22" t="s">
        <v>62</v>
      </c>
      <c r="F2556" s="22">
        <v>71.53</v>
      </c>
    </row>
    <row r="2557" spans="1:6">
      <c r="A2557" s="22" t="s">
        <v>7457</v>
      </c>
      <c r="B2557" s="22" t="s">
        <v>7458</v>
      </c>
      <c r="C2557" s="22" t="s">
        <v>7459</v>
      </c>
      <c r="D2557" s="22" t="s">
        <v>9</v>
      </c>
      <c r="E2557" s="22" t="s">
        <v>35</v>
      </c>
      <c r="F2557" s="22">
        <v>117.355</v>
      </c>
    </row>
    <row r="2558" spans="1:6">
      <c r="A2558" s="22" t="s">
        <v>7460</v>
      </c>
      <c r="B2558" s="22" t="s">
        <v>7461</v>
      </c>
      <c r="C2558" s="22" t="s">
        <v>7462</v>
      </c>
      <c r="D2558" s="22" t="s">
        <v>9</v>
      </c>
      <c r="E2558" s="22" t="s">
        <v>14</v>
      </c>
      <c r="F2558" s="22">
        <v>162.753</v>
      </c>
    </row>
    <row r="2559" spans="1:6">
      <c r="A2559" s="22" t="s">
        <v>7463</v>
      </c>
      <c r="B2559" s="22" t="s">
        <v>7464</v>
      </c>
      <c r="C2559" s="22" t="s">
        <v>7465</v>
      </c>
      <c r="D2559" s="22" t="s">
        <v>9</v>
      </c>
      <c r="E2559" s="22" t="s">
        <v>27</v>
      </c>
      <c r="F2559" s="22">
        <v>19.608</v>
      </c>
    </row>
    <row r="2560" spans="1:6">
      <c r="A2560" s="22" t="s">
        <v>7466</v>
      </c>
      <c r="B2560" s="22" t="s">
        <v>7467</v>
      </c>
      <c r="C2560" s="22" t="s">
        <v>7468</v>
      </c>
      <c r="D2560" s="22" t="s">
        <v>9</v>
      </c>
      <c r="E2560" s="22" t="s">
        <v>31</v>
      </c>
      <c r="F2560" s="22">
        <v>30.535</v>
      </c>
    </row>
    <row r="2561" spans="1:6">
      <c r="A2561" s="22" t="s">
        <v>7469</v>
      </c>
      <c r="B2561" s="22" t="s">
        <v>7470</v>
      </c>
      <c r="C2561" s="22" t="s">
        <v>7471</v>
      </c>
      <c r="D2561" s="22" t="s">
        <v>9</v>
      </c>
      <c r="E2561" s="22" t="s">
        <v>14</v>
      </c>
      <c r="F2561" s="22">
        <v>36.196</v>
      </c>
    </row>
    <row r="2562" spans="1:6">
      <c r="A2562" s="22" t="s">
        <v>7472</v>
      </c>
      <c r="B2562" s="22" t="s">
        <v>7473</v>
      </c>
      <c r="C2562" s="22" t="s">
        <v>7474</v>
      </c>
      <c r="D2562" s="22" t="s">
        <v>9</v>
      </c>
      <c r="E2562" s="22" t="s">
        <v>14</v>
      </c>
      <c r="F2562" s="22">
        <v>40.285</v>
      </c>
    </row>
    <row r="2563" spans="1:6">
      <c r="A2563" s="22" t="s">
        <v>7475</v>
      </c>
      <c r="B2563" s="22" t="s">
        <v>6789</v>
      </c>
      <c r="C2563" s="22" t="s">
        <v>7476</v>
      </c>
      <c r="D2563" s="22" t="s">
        <v>9</v>
      </c>
      <c r="E2563" s="22" t="s">
        <v>14</v>
      </c>
      <c r="F2563" s="22">
        <v>251.876</v>
      </c>
    </row>
    <row r="2564" spans="1:6">
      <c r="A2564" s="22" t="s">
        <v>7477</v>
      </c>
      <c r="B2564" s="22" t="s">
        <v>6798</v>
      </c>
      <c r="C2564" s="22" t="s">
        <v>7478</v>
      </c>
      <c r="D2564" s="22" t="s">
        <v>9</v>
      </c>
      <c r="E2564" s="22" t="s">
        <v>62</v>
      </c>
      <c r="F2564" s="22">
        <v>6.102</v>
      </c>
    </row>
    <row r="2565" spans="1:6">
      <c r="A2565" s="22" t="s">
        <v>7479</v>
      </c>
      <c r="B2565" s="22" t="s">
        <v>6558</v>
      </c>
      <c r="C2565" s="22" t="s">
        <v>7480</v>
      </c>
      <c r="D2565" s="22" t="s">
        <v>9</v>
      </c>
      <c r="E2565" s="22" t="s">
        <v>27</v>
      </c>
      <c r="F2565" s="22">
        <v>142.07</v>
      </c>
    </row>
    <row r="2566" spans="1:6">
      <c r="A2566" s="22" t="s">
        <v>7481</v>
      </c>
      <c r="B2566" s="22" t="s">
        <v>7482</v>
      </c>
      <c r="C2566" s="22" t="s">
        <v>7483</v>
      </c>
      <c r="D2566" s="22" t="s">
        <v>9</v>
      </c>
      <c r="E2566" s="22" t="s">
        <v>31</v>
      </c>
      <c r="F2566" s="22">
        <v>550.92</v>
      </c>
    </row>
    <row r="2567" spans="1:6">
      <c r="A2567" s="22" t="s">
        <v>7484</v>
      </c>
      <c r="B2567" s="22" t="s">
        <v>7485</v>
      </c>
      <c r="C2567" s="22" t="s">
        <v>7486</v>
      </c>
      <c r="D2567" s="22" t="s">
        <v>9</v>
      </c>
      <c r="E2567" s="22" t="s">
        <v>31</v>
      </c>
      <c r="F2567" s="22">
        <v>76.143</v>
      </c>
    </row>
    <row r="2568" spans="1:6">
      <c r="A2568" s="22" t="s">
        <v>7487</v>
      </c>
      <c r="B2568" s="22" t="s">
        <v>7488</v>
      </c>
      <c r="C2568" s="22" t="s">
        <v>7489</v>
      </c>
      <c r="D2568" s="22" t="s">
        <v>9</v>
      </c>
      <c r="E2568" s="22" t="s">
        <v>117</v>
      </c>
      <c r="F2568" s="22">
        <v>8.906</v>
      </c>
    </row>
    <row r="2569" spans="1:6">
      <c r="A2569" s="22" t="s">
        <v>7490</v>
      </c>
      <c r="B2569" s="22" t="s">
        <v>7491</v>
      </c>
      <c r="C2569" s="22" t="s">
        <v>7492</v>
      </c>
      <c r="D2569" s="22" t="s">
        <v>9</v>
      </c>
      <c r="E2569" s="22" t="s">
        <v>14</v>
      </c>
      <c r="F2569" s="22">
        <v>509.477</v>
      </c>
    </row>
    <row r="2570" spans="1:6">
      <c r="A2570" s="22" t="s">
        <v>7493</v>
      </c>
      <c r="B2570" s="22" t="s">
        <v>7494</v>
      </c>
      <c r="C2570" s="22" t="s">
        <v>7495</v>
      </c>
      <c r="D2570" s="22" t="s">
        <v>9</v>
      </c>
      <c r="E2570" s="22" t="s">
        <v>31</v>
      </c>
      <c r="F2570" s="22">
        <v>32.469</v>
      </c>
    </row>
    <row r="2571" spans="1:6">
      <c r="A2571" s="22" t="s">
        <v>7496</v>
      </c>
      <c r="B2571" s="22" t="s">
        <v>2415</v>
      </c>
      <c r="C2571" s="22" t="s">
        <v>7497</v>
      </c>
      <c r="D2571" s="22" t="s">
        <v>9</v>
      </c>
      <c r="E2571" s="22" t="s">
        <v>40</v>
      </c>
      <c r="F2571" s="22">
        <v>635.458</v>
      </c>
    </row>
    <row r="2572" spans="1:6">
      <c r="A2572" s="22" t="s">
        <v>7498</v>
      </c>
      <c r="B2572" s="22" t="s">
        <v>7499</v>
      </c>
      <c r="C2572" s="22" t="s">
        <v>7500</v>
      </c>
      <c r="D2572" s="22" t="s">
        <v>9</v>
      </c>
      <c r="E2572" s="22" t="s">
        <v>40</v>
      </c>
      <c r="F2572" s="22">
        <v>273.872</v>
      </c>
    </row>
    <row r="2573" spans="1:6">
      <c r="A2573" s="22" t="s">
        <v>7501</v>
      </c>
      <c r="B2573" s="22" t="s">
        <v>7502</v>
      </c>
      <c r="C2573" s="22" t="s">
        <v>7503</v>
      </c>
      <c r="D2573" s="22" t="s">
        <v>9</v>
      </c>
      <c r="E2573" s="22" t="s">
        <v>14</v>
      </c>
      <c r="F2573" s="22">
        <v>3.155</v>
      </c>
    </row>
    <row r="2574" spans="1:6">
      <c r="A2574" s="22" t="s">
        <v>7504</v>
      </c>
      <c r="B2574" s="22" t="s">
        <v>7505</v>
      </c>
      <c r="C2574" s="22" t="s">
        <v>7506</v>
      </c>
      <c r="D2574" s="22" t="s">
        <v>9</v>
      </c>
      <c r="E2574" s="22" t="s">
        <v>27</v>
      </c>
      <c r="F2574" s="22">
        <v>5573.51</v>
      </c>
    </row>
    <row r="2575" spans="1:6">
      <c r="A2575" s="22" t="s">
        <v>7507</v>
      </c>
      <c r="B2575" s="22" t="s">
        <v>7508</v>
      </c>
      <c r="C2575" s="22" t="s">
        <v>7509</v>
      </c>
      <c r="D2575" s="22" t="s">
        <v>9</v>
      </c>
      <c r="E2575" s="22" t="s">
        <v>31</v>
      </c>
      <c r="F2575" s="22">
        <v>3.357</v>
      </c>
    </row>
    <row r="2576" spans="1:6">
      <c r="A2576" s="22" t="s">
        <v>7510</v>
      </c>
      <c r="B2576" s="22" t="s">
        <v>7511</v>
      </c>
      <c r="C2576" s="22" t="s">
        <v>7512</v>
      </c>
      <c r="D2576" s="22" t="s">
        <v>9</v>
      </c>
      <c r="E2576" s="22" t="s">
        <v>62</v>
      </c>
      <c r="F2576" s="22">
        <v>11.498</v>
      </c>
    </row>
    <row r="2577" spans="1:6">
      <c r="A2577" s="22" t="s">
        <v>7513</v>
      </c>
      <c r="B2577" s="22" t="s">
        <v>7514</v>
      </c>
      <c r="C2577" s="22" t="s">
        <v>7515</v>
      </c>
      <c r="D2577" s="22" t="s">
        <v>9</v>
      </c>
      <c r="E2577" s="22" t="s">
        <v>27</v>
      </c>
      <c r="F2577" s="22">
        <v>52.814</v>
      </c>
    </row>
    <row r="2578" spans="1:6">
      <c r="A2578" s="22" t="s">
        <v>7516</v>
      </c>
      <c r="B2578" s="22" t="s">
        <v>7517</v>
      </c>
      <c r="C2578" s="22" t="s">
        <v>7518</v>
      </c>
      <c r="D2578" s="22" t="s">
        <v>9</v>
      </c>
      <c r="E2578" s="22" t="s">
        <v>27</v>
      </c>
      <c r="F2578" s="22">
        <v>5313.04</v>
      </c>
    </row>
    <row r="2579" spans="1:6">
      <c r="A2579" s="22" t="s">
        <v>7519</v>
      </c>
      <c r="B2579" s="22" t="s">
        <v>7520</v>
      </c>
      <c r="C2579" s="22" t="s">
        <v>7521</v>
      </c>
      <c r="D2579" s="22" t="s">
        <v>9</v>
      </c>
      <c r="E2579" s="22" t="s">
        <v>14</v>
      </c>
      <c r="F2579" s="22">
        <v>20.512</v>
      </c>
    </row>
    <row r="2580" spans="1:6">
      <c r="A2580" s="22" t="s">
        <v>7522</v>
      </c>
      <c r="B2580" s="22" t="s">
        <v>7523</v>
      </c>
      <c r="C2580" s="22" t="s">
        <v>7524</v>
      </c>
      <c r="D2580" s="22" t="s">
        <v>9</v>
      </c>
      <c r="E2580" s="22" t="s">
        <v>31</v>
      </c>
      <c r="F2580" s="22">
        <v>4.17</v>
      </c>
    </row>
    <row r="2581" spans="1:6">
      <c r="A2581" s="22" t="s">
        <v>7525</v>
      </c>
      <c r="B2581" s="22" t="s">
        <v>6634</v>
      </c>
      <c r="C2581" s="22" t="s">
        <v>7526</v>
      </c>
      <c r="D2581" s="22" t="s">
        <v>9</v>
      </c>
      <c r="E2581" s="22" t="s">
        <v>62</v>
      </c>
      <c r="F2581" s="22">
        <v>10.929</v>
      </c>
    </row>
    <row r="2582" spans="1:6">
      <c r="A2582" s="22" t="s">
        <v>7527</v>
      </c>
      <c r="B2582" s="22" t="s">
        <v>6691</v>
      </c>
      <c r="C2582" s="22" t="s">
        <v>7528</v>
      </c>
      <c r="D2582" s="22" t="s">
        <v>9</v>
      </c>
      <c r="E2582" s="22" t="s">
        <v>62</v>
      </c>
      <c r="F2582" s="22">
        <v>171.262</v>
      </c>
    </row>
    <row r="2583" spans="1:6">
      <c r="A2583" s="22" t="s">
        <v>7529</v>
      </c>
      <c r="B2583" s="22" t="s">
        <v>7530</v>
      </c>
      <c r="C2583" s="22" t="s">
        <v>7531</v>
      </c>
      <c r="D2583" s="22" t="s">
        <v>9</v>
      </c>
      <c r="E2583" s="22" t="s">
        <v>62</v>
      </c>
      <c r="F2583" s="22">
        <v>26.416</v>
      </c>
    </row>
    <row r="2584" spans="1:6">
      <c r="A2584" s="22" t="s">
        <v>7532</v>
      </c>
      <c r="B2584" s="22" t="s">
        <v>7533</v>
      </c>
      <c r="C2584" s="22" t="s">
        <v>7534</v>
      </c>
      <c r="D2584" s="22" t="s">
        <v>9</v>
      </c>
      <c r="E2584" s="22" t="s">
        <v>27</v>
      </c>
      <c r="F2584" s="22">
        <v>3.46</v>
      </c>
    </row>
    <row r="2585" spans="1:6">
      <c r="A2585" s="22" t="s">
        <v>7535</v>
      </c>
      <c r="B2585" s="22" t="s">
        <v>7536</v>
      </c>
      <c r="C2585" s="22" t="s">
        <v>7537</v>
      </c>
      <c r="D2585" s="22" t="s">
        <v>9</v>
      </c>
      <c r="E2585" s="22" t="s">
        <v>27</v>
      </c>
      <c r="F2585" s="22">
        <v>12076.278</v>
      </c>
    </row>
    <row r="2586" spans="1:6">
      <c r="A2586" s="22" t="s">
        <v>7538</v>
      </c>
      <c r="B2586" s="22" t="s">
        <v>7539</v>
      </c>
      <c r="C2586" s="22" t="s">
        <v>7540</v>
      </c>
      <c r="D2586" s="22" t="s">
        <v>9</v>
      </c>
      <c r="E2586" s="22" t="s">
        <v>27</v>
      </c>
      <c r="F2586" s="22">
        <v>1454.995</v>
      </c>
    </row>
    <row r="2587" spans="1:6">
      <c r="A2587" s="22" t="s">
        <v>7541</v>
      </c>
      <c r="B2587" s="22" t="s">
        <v>7542</v>
      </c>
      <c r="C2587" s="22" t="s">
        <v>7543</v>
      </c>
      <c r="D2587" s="22" t="s">
        <v>9</v>
      </c>
      <c r="E2587" s="22" t="s">
        <v>27</v>
      </c>
      <c r="F2587" s="22">
        <v>228.959</v>
      </c>
    </row>
    <row r="2588" spans="1:6">
      <c r="A2588" s="22" t="s">
        <v>7544</v>
      </c>
      <c r="B2588" s="22" t="s">
        <v>6786</v>
      </c>
      <c r="C2588" s="22" t="s">
        <v>7545</v>
      </c>
      <c r="D2588" s="22" t="s">
        <v>9</v>
      </c>
      <c r="E2588" s="22" t="s">
        <v>62</v>
      </c>
      <c r="F2588" s="22">
        <v>1.995</v>
      </c>
    </row>
    <row r="2589" spans="1:6">
      <c r="A2589" s="22" t="s">
        <v>7546</v>
      </c>
      <c r="B2589" s="22" t="s">
        <v>7547</v>
      </c>
      <c r="C2589" s="22" t="s">
        <v>7548</v>
      </c>
      <c r="D2589" s="22" t="s">
        <v>9</v>
      </c>
      <c r="E2589" s="22" t="s">
        <v>27</v>
      </c>
      <c r="F2589" s="22">
        <v>5129.662</v>
      </c>
    </row>
    <row r="2590" spans="1:6">
      <c r="A2590" s="22" t="s">
        <v>7549</v>
      </c>
      <c r="B2590" s="22" t="s">
        <v>7550</v>
      </c>
      <c r="C2590" s="22" t="s">
        <v>7551</v>
      </c>
      <c r="D2590" s="22" t="s">
        <v>9</v>
      </c>
      <c r="E2590" s="22" t="s">
        <v>31</v>
      </c>
      <c r="F2590" s="22">
        <v>836.824</v>
      </c>
    </row>
    <row r="2591" spans="1:6">
      <c r="A2591" s="22" t="s">
        <v>7552</v>
      </c>
      <c r="B2591" s="22" t="s">
        <v>7553</v>
      </c>
      <c r="C2591" s="22" t="s">
        <v>7554</v>
      </c>
      <c r="D2591" s="22" t="s">
        <v>9</v>
      </c>
      <c r="E2591" s="22" t="s">
        <v>50</v>
      </c>
      <c r="F2591" s="22">
        <v>2.127</v>
      </c>
    </row>
    <row r="2592" spans="1:6">
      <c r="A2592" s="22" t="s">
        <v>7555</v>
      </c>
      <c r="B2592" s="22" t="s">
        <v>7556</v>
      </c>
      <c r="C2592" s="22" t="s">
        <v>7557</v>
      </c>
      <c r="D2592" s="22" t="s">
        <v>9</v>
      </c>
      <c r="E2592" s="22" t="s">
        <v>27</v>
      </c>
      <c r="F2592" s="22">
        <v>62.906</v>
      </c>
    </row>
    <row r="2593" spans="1:6">
      <c r="A2593" s="22" t="s">
        <v>7558</v>
      </c>
      <c r="B2593" s="22" t="s">
        <v>7559</v>
      </c>
      <c r="C2593" s="22" t="s">
        <v>7560</v>
      </c>
      <c r="D2593" s="22" t="s">
        <v>9</v>
      </c>
      <c r="E2593" s="22" t="s">
        <v>27</v>
      </c>
      <c r="F2593" s="22">
        <v>16.209</v>
      </c>
    </row>
    <row r="2594" spans="1:6">
      <c r="A2594" s="22" t="s">
        <v>7561</v>
      </c>
      <c r="B2594" s="22" t="s">
        <v>7562</v>
      </c>
      <c r="C2594" s="22" t="s">
        <v>7563</v>
      </c>
      <c r="D2594" s="22" t="s">
        <v>9</v>
      </c>
      <c r="E2594" s="22" t="s">
        <v>44</v>
      </c>
      <c r="F2594" s="22">
        <v>248.216</v>
      </c>
    </row>
    <row r="2595" spans="1:6">
      <c r="A2595" s="22" t="s">
        <v>7564</v>
      </c>
      <c r="B2595" s="22" t="s">
        <v>7169</v>
      </c>
      <c r="C2595" s="22" t="s">
        <v>7565</v>
      </c>
      <c r="D2595" s="22" t="s">
        <v>9</v>
      </c>
      <c r="E2595" s="22" t="s">
        <v>62</v>
      </c>
      <c r="F2595" s="22">
        <v>74.12</v>
      </c>
    </row>
    <row r="2596" spans="1:6">
      <c r="A2596" s="22" t="s">
        <v>7566</v>
      </c>
      <c r="B2596" s="22" t="s">
        <v>7567</v>
      </c>
      <c r="C2596" s="22" t="s">
        <v>7568</v>
      </c>
      <c r="D2596" s="22" t="s">
        <v>9</v>
      </c>
      <c r="E2596" s="22" t="s">
        <v>14</v>
      </c>
      <c r="F2596" s="22">
        <v>230.663</v>
      </c>
    </row>
    <row r="2597" spans="1:6">
      <c r="A2597" s="22" t="s">
        <v>7569</v>
      </c>
      <c r="B2597" s="22" t="s">
        <v>7570</v>
      </c>
      <c r="C2597" s="22" t="s">
        <v>7571</v>
      </c>
      <c r="D2597" s="22" t="s">
        <v>9</v>
      </c>
      <c r="E2597" s="22" t="s">
        <v>27</v>
      </c>
      <c r="F2597" s="22">
        <v>2967.706</v>
      </c>
    </row>
    <row r="2598" spans="1:6">
      <c r="A2598" s="22" t="s">
        <v>7572</v>
      </c>
      <c r="B2598" s="22" t="s">
        <v>7573</v>
      </c>
      <c r="C2598" s="22" t="s">
        <v>7574</v>
      </c>
      <c r="D2598" s="22" t="s">
        <v>9</v>
      </c>
      <c r="E2598" s="22" t="s">
        <v>27</v>
      </c>
      <c r="F2598" s="22">
        <v>271.802</v>
      </c>
    </row>
    <row r="2599" spans="1:6">
      <c r="A2599" s="22" t="s">
        <v>7575</v>
      </c>
      <c r="B2599" s="22" t="s">
        <v>7576</v>
      </c>
      <c r="C2599" s="22" t="s">
        <v>7577</v>
      </c>
      <c r="D2599" s="22" t="s">
        <v>9</v>
      </c>
      <c r="E2599" s="22" t="s">
        <v>23</v>
      </c>
      <c r="F2599" s="22">
        <v>162.22</v>
      </c>
    </row>
    <row r="2600" spans="1:6">
      <c r="A2600" s="22" t="s">
        <v>7578</v>
      </c>
      <c r="B2600" s="22" t="s">
        <v>7579</v>
      </c>
      <c r="C2600" s="22" t="s">
        <v>7580</v>
      </c>
      <c r="D2600" s="22" t="s">
        <v>9</v>
      </c>
      <c r="E2600" s="22" t="s">
        <v>62</v>
      </c>
      <c r="F2600" s="22">
        <v>169.882</v>
      </c>
    </row>
    <row r="2601" spans="1:6">
      <c r="A2601" s="22" t="s">
        <v>7581</v>
      </c>
      <c r="B2601" s="22" t="s">
        <v>6367</v>
      </c>
      <c r="C2601" s="22" t="s">
        <v>7582</v>
      </c>
      <c r="D2601" s="22" t="s">
        <v>9</v>
      </c>
      <c r="E2601" s="22" t="s">
        <v>27</v>
      </c>
      <c r="F2601" s="22">
        <v>994.829</v>
      </c>
    </row>
    <row r="2602" spans="1:6">
      <c r="A2602" s="22" t="s">
        <v>7583</v>
      </c>
      <c r="B2602" s="22" t="s">
        <v>7584</v>
      </c>
      <c r="C2602" s="22" t="s">
        <v>7585</v>
      </c>
      <c r="D2602" s="22" t="s">
        <v>9</v>
      </c>
      <c r="E2602" s="22" t="s">
        <v>27</v>
      </c>
      <c r="F2602" s="22">
        <v>751.612</v>
      </c>
    </row>
    <row r="2603" spans="1:6">
      <c r="A2603" s="22" t="s">
        <v>7586</v>
      </c>
      <c r="B2603" s="22" t="s">
        <v>7016</v>
      </c>
      <c r="C2603" s="22" t="s">
        <v>7587</v>
      </c>
      <c r="D2603" s="22" t="s">
        <v>9</v>
      </c>
      <c r="E2603" s="22" t="s">
        <v>62</v>
      </c>
      <c r="F2603" s="22">
        <v>25.84</v>
      </c>
    </row>
    <row r="2604" spans="1:6">
      <c r="A2604" s="22" t="s">
        <v>7588</v>
      </c>
      <c r="B2604" s="22" t="s">
        <v>7589</v>
      </c>
      <c r="C2604" s="22" t="s">
        <v>7590</v>
      </c>
      <c r="D2604" s="22" t="s">
        <v>9</v>
      </c>
      <c r="E2604" s="22" t="s">
        <v>14</v>
      </c>
      <c r="F2604" s="22">
        <v>20.281</v>
      </c>
    </row>
    <row r="2605" spans="1:6">
      <c r="A2605" s="22" t="s">
        <v>7591</v>
      </c>
      <c r="B2605" s="22" t="s">
        <v>7258</v>
      </c>
      <c r="C2605" s="22" t="s">
        <v>7592</v>
      </c>
      <c r="D2605" s="22" t="s">
        <v>9</v>
      </c>
      <c r="E2605" s="22" t="s">
        <v>62</v>
      </c>
      <c r="F2605" s="22">
        <v>2.309</v>
      </c>
    </row>
    <row r="2606" spans="1:6">
      <c r="A2606" s="22" t="s">
        <v>7593</v>
      </c>
      <c r="B2606" s="22" t="s">
        <v>7594</v>
      </c>
      <c r="C2606" s="22" t="s">
        <v>7595</v>
      </c>
      <c r="D2606" s="22" t="s">
        <v>9</v>
      </c>
      <c r="E2606" s="22" t="s">
        <v>62</v>
      </c>
      <c r="F2606" s="22">
        <v>5.311</v>
      </c>
    </row>
    <row r="2607" spans="1:6">
      <c r="A2607" s="22" t="s">
        <v>7596</v>
      </c>
      <c r="B2607" s="22" t="s">
        <v>7238</v>
      </c>
      <c r="C2607" s="22" t="s">
        <v>7597</v>
      </c>
      <c r="D2607" s="22" t="s">
        <v>9</v>
      </c>
      <c r="E2607" s="22" t="s">
        <v>62</v>
      </c>
      <c r="F2607" s="22">
        <v>261.694</v>
      </c>
    </row>
    <row r="2608" spans="1:6">
      <c r="A2608" s="22" t="s">
        <v>7598</v>
      </c>
      <c r="B2608" s="22" t="s">
        <v>7599</v>
      </c>
      <c r="C2608" s="22" t="s">
        <v>7600</v>
      </c>
      <c r="D2608" s="22" t="s">
        <v>9</v>
      </c>
      <c r="E2608" s="22" t="s">
        <v>31</v>
      </c>
      <c r="F2608" s="22">
        <v>3.322</v>
      </c>
    </row>
    <row r="2609" spans="1:6">
      <c r="A2609" s="22" t="s">
        <v>7601</v>
      </c>
      <c r="B2609" s="22" t="s">
        <v>7138</v>
      </c>
      <c r="C2609" s="22" t="s">
        <v>7602</v>
      </c>
      <c r="D2609" s="22" t="s">
        <v>9</v>
      </c>
      <c r="E2609" s="22" t="s">
        <v>62</v>
      </c>
      <c r="F2609" s="22">
        <v>75.265</v>
      </c>
    </row>
    <row r="2610" spans="1:6">
      <c r="A2610" s="22" t="s">
        <v>7603</v>
      </c>
      <c r="B2610" s="22" t="s">
        <v>7604</v>
      </c>
      <c r="C2610" s="22" t="s">
        <v>7605</v>
      </c>
      <c r="D2610" s="22" t="s">
        <v>9</v>
      </c>
      <c r="E2610" s="22" t="s">
        <v>14</v>
      </c>
      <c r="F2610" s="22">
        <v>47.401</v>
      </c>
    </row>
    <row r="2611" spans="1:6">
      <c r="A2611" s="22" t="s">
        <v>7606</v>
      </c>
      <c r="B2611" s="22" t="s">
        <v>7607</v>
      </c>
      <c r="C2611" s="22" t="s">
        <v>7608</v>
      </c>
      <c r="D2611" s="22" t="s">
        <v>9</v>
      </c>
      <c r="E2611" s="22" t="s">
        <v>27</v>
      </c>
      <c r="F2611" s="22">
        <v>23.105</v>
      </c>
    </row>
    <row r="2612" spans="1:6">
      <c r="A2612" s="22" t="s">
        <v>7609</v>
      </c>
      <c r="B2612" s="22" t="s">
        <v>7610</v>
      </c>
      <c r="C2612" s="22" t="s">
        <v>7611</v>
      </c>
      <c r="D2612" s="22" t="s">
        <v>9</v>
      </c>
      <c r="E2612" s="22" t="s">
        <v>27</v>
      </c>
      <c r="F2612" s="22">
        <v>6956.746</v>
      </c>
    </row>
    <row r="2613" spans="1:6">
      <c r="A2613" s="22" t="s">
        <v>7612</v>
      </c>
      <c r="B2613" s="22" t="s">
        <v>6634</v>
      </c>
      <c r="C2613" s="22" t="s">
        <v>7613</v>
      </c>
      <c r="D2613" s="22" t="s">
        <v>9</v>
      </c>
      <c r="E2613" s="22" t="s">
        <v>62</v>
      </c>
      <c r="F2613" s="22">
        <v>42.616</v>
      </c>
    </row>
    <row r="2614" spans="1:6">
      <c r="A2614" s="22" t="s">
        <v>7614</v>
      </c>
      <c r="B2614" s="22" t="s">
        <v>7615</v>
      </c>
      <c r="C2614" s="22" t="s">
        <v>7616</v>
      </c>
      <c r="D2614" s="22" t="s">
        <v>9</v>
      </c>
      <c r="E2614" s="22" t="s">
        <v>14</v>
      </c>
      <c r="F2614" s="22">
        <v>754.955</v>
      </c>
    </row>
    <row r="2615" spans="1:6">
      <c r="A2615" s="22" t="s">
        <v>7617</v>
      </c>
      <c r="B2615" s="22" t="s">
        <v>7618</v>
      </c>
      <c r="C2615" s="22" t="s">
        <v>7619</v>
      </c>
      <c r="D2615" s="22" t="s">
        <v>9</v>
      </c>
      <c r="E2615" s="22" t="s">
        <v>31</v>
      </c>
      <c r="F2615" s="22">
        <v>1394.675</v>
      </c>
    </row>
    <row r="2616" spans="1:6">
      <c r="A2616" s="22" t="s">
        <v>7620</v>
      </c>
      <c r="B2616" s="22" t="s">
        <v>7621</v>
      </c>
      <c r="C2616" s="22" t="s">
        <v>7622</v>
      </c>
      <c r="D2616" s="22" t="s">
        <v>9</v>
      </c>
      <c r="E2616" s="22" t="s">
        <v>31</v>
      </c>
      <c r="F2616" s="22">
        <v>456.574</v>
      </c>
    </row>
    <row r="2617" spans="1:6">
      <c r="A2617" s="22" t="s">
        <v>7623</v>
      </c>
      <c r="B2617" s="22" t="s">
        <v>7624</v>
      </c>
      <c r="C2617" s="22" t="s">
        <v>7625</v>
      </c>
      <c r="D2617" s="22" t="s">
        <v>9</v>
      </c>
      <c r="E2617" s="22" t="s">
        <v>57</v>
      </c>
      <c r="F2617" s="22">
        <v>4.264</v>
      </c>
    </row>
    <row r="2618" spans="1:6">
      <c r="A2618" s="22" t="s">
        <v>7626</v>
      </c>
      <c r="B2618" s="22" t="s">
        <v>7627</v>
      </c>
      <c r="C2618" s="22" t="s">
        <v>7628</v>
      </c>
      <c r="D2618" s="22" t="s">
        <v>9</v>
      </c>
      <c r="E2618" s="22" t="s">
        <v>57</v>
      </c>
      <c r="F2618" s="22">
        <v>12.98</v>
      </c>
    </row>
    <row r="2619" spans="1:6">
      <c r="A2619" s="22" t="s">
        <v>7629</v>
      </c>
      <c r="B2619" s="22" t="s">
        <v>7630</v>
      </c>
      <c r="C2619" s="22" t="s">
        <v>7631</v>
      </c>
      <c r="D2619" s="22" t="s">
        <v>9</v>
      </c>
      <c r="E2619" s="22" t="s">
        <v>57</v>
      </c>
      <c r="F2619" s="22">
        <v>42.787</v>
      </c>
    </row>
    <row r="2620" spans="1:6">
      <c r="A2620" s="22" t="s">
        <v>7632</v>
      </c>
      <c r="B2620" s="22" t="s">
        <v>7627</v>
      </c>
      <c r="C2620" s="22" t="s">
        <v>7633</v>
      </c>
      <c r="D2620" s="22" t="s">
        <v>9</v>
      </c>
      <c r="E2620" s="22" t="s">
        <v>57</v>
      </c>
      <c r="F2620" s="22">
        <v>71.063</v>
      </c>
    </row>
    <row r="2621" spans="1:6">
      <c r="A2621" s="22" t="s">
        <v>7634</v>
      </c>
      <c r="B2621" s="22" t="s">
        <v>7635</v>
      </c>
      <c r="C2621" s="22" t="s">
        <v>7636</v>
      </c>
      <c r="D2621" s="22" t="s">
        <v>9</v>
      </c>
      <c r="E2621" s="22" t="s">
        <v>57</v>
      </c>
      <c r="F2621" s="22">
        <v>4.729</v>
      </c>
    </row>
    <row r="2622" spans="1:6">
      <c r="A2622" s="22" t="s">
        <v>7637</v>
      </c>
      <c r="B2622" s="22" t="s">
        <v>7638</v>
      </c>
      <c r="C2622" s="22" t="s">
        <v>7639</v>
      </c>
      <c r="D2622" s="22" t="s">
        <v>9</v>
      </c>
      <c r="E2622" s="22" t="s">
        <v>50</v>
      </c>
      <c r="F2622" s="22">
        <v>3.748</v>
      </c>
    </row>
    <row r="2623" spans="1:6">
      <c r="A2623" s="22" t="s">
        <v>7640</v>
      </c>
      <c r="B2623" s="22" t="s">
        <v>7641</v>
      </c>
      <c r="C2623" s="22" t="s">
        <v>7642</v>
      </c>
      <c r="D2623" s="22" t="s">
        <v>9</v>
      </c>
      <c r="E2623" s="22" t="s">
        <v>57</v>
      </c>
      <c r="F2623" s="22">
        <v>1.296</v>
      </c>
    </row>
    <row r="2624" spans="1:6">
      <c r="A2624" s="22" t="s">
        <v>7643</v>
      </c>
      <c r="B2624" s="22" t="s">
        <v>7644</v>
      </c>
      <c r="C2624" s="22" t="s">
        <v>7645</v>
      </c>
      <c r="D2624" s="22" t="s">
        <v>9</v>
      </c>
      <c r="E2624" s="22" t="s">
        <v>14</v>
      </c>
      <c r="F2624" s="22">
        <v>1198.751</v>
      </c>
    </row>
    <row r="2625" spans="1:6">
      <c r="A2625" s="22" t="s">
        <v>7646</v>
      </c>
      <c r="B2625" s="22" t="s">
        <v>7647</v>
      </c>
      <c r="C2625" s="22" t="s">
        <v>7648</v>
      </c>
      <c r="D2625" s="22" t="s">
        <v>9</v>
      </c>
      <c r="E2625" s="22" t="s">
        <v>57</v>
      </c>
      <c r="F2625" s="22">
        <v>37.7</v>
      </c>
    </row>
    <row r="2626" spans="1:6">
      <c r="A2626" s="22" t="s">
        <v>7649</v>
      </c>
      <c r="B2626" s="22" t="s">
        <v>7650</v>
      </c>
      <c r="C2626" s="22" t="s">
        <v>7651</v>
      </c>
      <c r="D2626" s="22" t="s">
        <v>9</v>
      </c>
      <c r="E2626" s="22" t="s">
        <v>14</v>
      </c>
      <c r="F2626" s="22">
        <v>10.077</v>
      </c>
    </row>
    <row r="2627" spans="1:6">
      <c r="A2627" s="22" t="s">
        <v>7652</v>
      </c>
      <c r="B2627" s="22" t="s">
        <v>7653</v>
      </c>
      <c r="C2627" s="22" t="s">
        <v>7654</v>
      </c>
      <c r="D2627" s="22" t="s">
        <v>9</v>
      </c>
      <c r="E2627" s="22" t="s">
        <v>23</v>
      </c>
    </row>
    <row r="2628" spans="1:6">
      <c r="A2628" s="22" t="s">
        <v>7655</v>
      </c>
      <c r="B2628" s="22" t="s">
        <v>7530</v>
      </c>
      <c r="C2628" s="22" t="s">
        <v>7531</v>
      </c>
      <c r="D2628" s="22" t="s">
        <v>9</v>
      </c>
      <c r="E2628" s="22" t="s">
        <v>62</v>
      </c>
      <c r="F2628" s="22">
        <v>21.956</v>
      </c>
    </row>
    <row r="2629" spans="1:6">
      <c r="A2629" s="22" t="s">
        <v>7656</v>
      </c>
      <c r="B2629" s="22" t="s">
        <v>7657</v>
      </c>
      <c r="C2629" s="22" t="s">
        <v>7658</v>
      </c>
      <c r="D2629" s="22" t="s">
        <v>9</v>
      </c>
      <c r="E2629" s="22" t="s">
        <v>27</v>
      </c>
      <c r="F2629" s="22">
        <v>5.055</v>
      </c>
    </row>
    <row r="2630" spans="1:6">
      <c r="A2630" s="22" t="s">
        <v>7659</v>
      </c>
      <c r="B2630" s="22" t="s">
        <v>7627</v>
      </c>
      <c r="C2630" s="22" t="s">
        <v>7660</v>
      </c>
      <c r="D2630" s="22" t="s">
        <v>9</v>
      </c>
      <c r="E2630" s="22" t="s">
        <v>57</v>
      </c>
      <c r="F2630" s="22">
        <v>24.707</v>
      </c>
    </row>
    <row r="2631" spans="1:6">
      <c r="A2631" s="22" t="s">
        <v>7661</v>
      </c>
      <c r="B2631" s="22" t="s">
        <v>7662</v>
      </c>
      <c r="C2631" s="22" t="s">
        <v>7663</v>
      </c>
      <c r="D2631" s="22" t="s">
        <v>9</v>
      </c>
      <c r="E2631" s="22" t="s">
        <v>14</v>
      </c>
      <c r="F2631" s="22">
        <v>23.276</v>
      </c>
    </row>
    <row r="2632" spans="1:6">
      <c r="A2632" s="22" t="s">
        <v>7664</v>
      </c>
      <c r="B2632" s="22" t="s">
        <v>7665</v>
      </c>
      <c r="C2632" s="22" t="s">
        <v>7666</v>
      </c>
      <c r="D2632" s="22" t="s">
        <v>9</v>
      </c>
      <c r="E2632" s="22" t="s">
        <v>14</v>
      </c>
      <c r="F2632" s="22">
        <v>403.607</v>
      </c>
    </row>
    <row r="2633" spans="1:6">
      <c r="A2633" s="22" t="s">
        <v>7667</v>
      </c>
      <c r="B2633" s="22" t="s">
        <v>7668</v>
      </c>
      <c r="C2633" s="22" t="s">
        <v>7669</v>
      </c>
      <c r="D2633" s="22" t="s">
        <v>9</v>
      </c>
      <c r="E2633" s="22" t="s">
        <v>35</v>
      </c>
      <c r="F2633" s="22">
        <v>54.551</v>
      </c>
    </row>
    <row r="2634" spans="1:6">
      <c r="A2634" s="22" t="s">
        <v>7670</v>
      </c>
      <c r="B2634" s="22" t="s">
        <v>7671</v>
      </c>
      <c r="C2634" s="22" t="s">
        <v>7672</v>
      </c>
      <c r="D2634" s="22" t="s">
        <v>9</v>
      </c>
      <c r="E2634" s="22" t="s">
        <v>14</v>
      </c>
      <c r="F2634" s="22">
        <v>9.676</v>
      </c>
    </row>
    <row r="2635" spans="1:6">
      <c r="A2635" s="22" t="s">
        <v>7673</v>
      </c>
      <c r="B2635" s="22" t="s">
        <v>7674</v>
      </c>
      <c r="C2635" s="22" t="s">
        <v>7675</v>
      </c>
      <c r="D2635" s="22" t="s">
        <v>9</v>
      </c>
      <c r="E2635" s="22" t="s">
        <v>14</v>
      </c>
      <c r="F2635" s="22">
        <v>231.021</v>
      </c>
    </row>
    <row r="2636" spans="1:6">
      <c r="A2636" s="22" t="s">
        <v>7676</v>
      </c>
      <c r="B2636" s="22" t="s">
        <v>7677</v>
      </c>
      <c r="C2636" s="22" t="s">
        <v>7678</v>
      </c>
      <c r="D2636" s="22" t="s">
        <v>9</v>
      </c>
      <c r="E2636" s="22" t="s">
        <v>57</v>
      </c>
      <c r="F2636" s="22">
        <v>10.668</v>
      </c>
    </row>
    <row r="2637" spans="1:6">
      <c r="A2637" s="22" t="s">
        <v>7679</v>
      </c>
      <c r="B2637" s="22" t="s">
        <v>7680</v>
      </c>
      <c r="C2637" s="22" t="s">
        <v>7681</v>
      </c>
      <c r="D2637" s="22" t="s">
        <v>9</v>
      </c>
      <c r="E2637" s="22" t="s">
        <v>93</v>
      </c>
      <c r="F2637" s="22">
        <v>27.105</v>
      </c>
    </row>
    <row r="2638" spans="1:6">
      <c r="A2638" s="22" t="s">
        <v>7682</v>
      </c>
      <c r="B2638" s="22" t="s">
        <v>6197</v>
      </c>
      <c r="C2638" s="22" t="s">
        <v>7683</v>
      </c>
      <c r="D2638" s="22" t="s">
        <v>9</v>
      </c>
      <c r="E2638" s="22" t="s">
        <v>14</v>
      </c>
      <c r="F2638" s="22">
        <v>4.58</v>
      </c>
    </row>
    <row r="2639" spans="1:6">
      <c r="A2639" s="22" t="s">
        <v>7684</v>
      </c>
      <c r="B2639" s="22" t="s">
        <v>7685</v>
      </c>
      <c r="C2639" s="22" t="s">
        <v>7686</v>
      </c>
      <c r="D2639" s="22" t="s">
        <v>9</v>
      </c>
      <c r="E2639" s="22" t="s">
        <v>93</v>
      </c>
      <c r="F2639" s="22">
        <v>82.966</v>
      </c>
    </row>
    <row r="2640" spans="1:6">
      <c r="A2640" s="22" t="s">
        <v>7687</v>
      </c>
      <c r="B2640" s="22" t="s">
        <v>7688</v>
      </c>
      <c r="C2640" s="22" t="s">
        <v>7689</v>
      </c>
      <c r="D2640" s="22" t="s">
        <v>9</v>
      </c>
      <c r="E2640" s="22" t="s">
        <v>82</v>
      </c>
      <c r="F2640" s="22">
        <v>10.393</v>
      </c>
    </row>
    <row r="2641" spans="1:6">
      <c r="A2641" s="22" t="s">
        <v>7690</v>
      </c>
      <c r="B2641" s="22" t="s">
        <v>7691</v>
      </c>
      <c r="C2641" s="22" t="s">
        <v>7692</v>
      </c>
      <c r="D2641" s="22" t="s">
        <v>9</v>
      </c>
      <c r="E2641" s="22" t="s">
        <v>35</v>
      </c>
      <c r="F2641" s="22">
        <v>1.189</v>
      </c>
    </row>
    <row r="2642" spans="1:6">
      <c r="A2642" s="22" t="s">
        <v>7693</v>
      </c>
      <c r="B2642" s="22" t="s">
        <v>7694</v>
      </c>
      <c r="C2642" s="22" t="s">
        <v>7695</v>
      </c>
      <c r="D2642" s="22" t="s">
        <v>9</v>
      </c>
      <c r="E2642" s="22" t="s">
        <v>93</v>
      </c>
      <c r="F2642" s="22">
        <v>10.041</v>
      </c>
    </row>
    <row r="2643" spans="1:6">
      <c r="A2643" s="22" t="s">
        <v>7696</v>
      </c>
      <c r="B2643" s="22" t="s">
        <v>7697</v>
      </c>
      <c r="C2643" s="22" t="s">
        <v>7698</v>
      </c>
      <c r="D2643" s="22" t="s">
        <v>9</v>
      </c>
      <c r="E2643" s="22" t="s">
        <v>93</v>
      </c>
      <c r="F2643" s="22">
        <v>0.044</v>
      </c>
    </row>
    <row r="2644" spans="1:6">
      <c r="A2644" s="22" t="s">
        <v>7699</v>
      </c>
      <c r="B2644" s="22" t="s">
        <v>7700</v>
      </c>
      <c r="C2644" s="22" t="s">
        <v>7701</v>
      </c>
      <c r="D2644" s="22" t="s">
        <v>9</v>
      </c>
      <c r="E2644" s="22" t="s">
        <v>93</v>
      </c>
      <c r="F2644" s="22">
        <v>0.65</v>
      </c>
    </row>
    <row r="2645" spans="1:6">
      <c r="A2645" s="22" t="s">
        <v>7702</v>
      </c>
      <c r="B2645" s="22" t="s">
        <v>7703</v>
      </c>
      <c r="C2645" s="22" t="s">
        <v>7704</v>
      </c>
      <c r="D2645" s="22" t="s">
        <v>9</v>
      </c>
      <c r="E2645" s="22" t="s">
        <v>82</v>
      </c>
      <c r="F2645" s="22">
        <v>24.411</v>
      </c>
    </row>
    <row r="2646" spans="1:6">
      <c r="A2646" s="22" t="s">
        <v>7705</v>
      </c>
      <c r="B2646" s="22" t="s">
        <v>7706</v>
      </c>
      <c r="C2646" s="22" t="s">
        <v>7707</v>
      </c>
      <c r="D2646" s="22" t="s">
        <v>9</v>
      </c>
      <c r="E2646" s="22" t="s">
        <v>101</v>
      </c>
      <c r="F2646" s="22">
        <v>38.557</v>
      </c>
    </row>
    <row r="2647" spans="1:6">
      <c r="A2647" s="22" t="s">
        <v>7708</v>
      </c>
      <c r="B2647" s="22" t="s">
        <v>7709</v>
      </c>
      <c r="C2647" s="22" t="s">
        <v>7710</v>
      </c>
      <c r="D2647" s="22" t="s">
        <v>9</v>
      </c>
      <c r="E2647" s="22" t="s">
        <v>50</v>
      </c>
      <c r="F2647" s="22">
        <v>79.512</v>
      </c>
    </row>
    <row r="2648" spans="1:6">
      <c r="A2648" s="22" t="s">
        <v>7711</v>
      </c>
      <c r="B2648" s="22" t="s">
        <v>7712</v>
      </c>
      <c r="C2648" s="22" t="s">
        <v>7713</v>
      </c>
      <c r="D2648" s="22" t="s">
        <v>9</v>
      </c>
      <c r="E2648" s="22" t="s">
        <v>14</v>
      </c>
      <c r="F2648" s="22">
        <v>375.416</v>
      </c>
    </row>
    <row r="2649" spans="1:6">
      <c r="A2649" s="22" t="s">
        <v>7714</v>
      </c>
      <c r="B2649" s="22" t="s">
        <v>7715</v>
      </c>
      <c r="C2649" s="22" t="s">
        <v>7716</v>
      </c>
      <c r="D2649" s="22" t="s">
        <v>9</v>
      </c>
      <c r="E2649" s="22" t="s">
        <v>27</v>
      </c>
      <c r="F2649" s="22">
        <v>55.457</v>
      </c>
    </row>
    <row r="2650" spans="1:6">
      <c r="A2650" s="22" t="s">
        <v>7717</v>
      </c>
      <c r="B2650" s="22" t="s">
        <v>7718</v>
      </c>
      <c r="C2650" s="22" t="s">
        <v>7719</v>
      </c>
      <c r="D2650" s="22" t="s">
        <v>9</v>
      </c>
      <c r="E2650" s="22" t="s">
        <v>14</v>
      </c>
      <c r="F2650" s="22">
        <v>145.572</v>
      </c>
    </row>
    <row r="2651" spans="1:6">
      <c r="A2651" s="22" t="s">
        <v>7720</v>
      </c>
      <c r="B2651" s="22" t="s">
        <v>7721</v>
      </c>
      <c r="C2651" s="22" t="s">
        <v>7722</v>
      </c>
      <c r="D2651" s="22" t="s">
        <v>9</v>
      </c>
      <c r="E2651" s="22" t="s">
        <v>82</v>
      </c>
    </row>
    <row r="2652" spans="1:6">
      <c r="A2652" s="22" t="s">
        <v>7723</v>
      </c>
      <c r="B2652" s="22" t="s">
        <v>7724</v>
      </c>
      <c r="C2652" s="22" t="s">
        <v>7725</v>
      </c>
      <c r="D2652" s="22" t="s">
        <v>9</v>
      </c>
      <c r="E2652" s="22" t="s">
        <v>14</v>
      </c>
      <c r="F2652" s="22">
        <v>81.257</v>
      </c>
    </row>
    <row r="2653" spans="1:6">
      <c r="A2653" s="22" t="s">
        <v>7726</v>
      </c>
      <c r="B2653" s="22" t="s">
        <v>7727</v>
      </c>
      <c r="C2653" s="22" t="s">
        <v>7728</v>
      </c>
      <c r="D2653" s="22" t="s">
        <v>9</v>
      </c>
      <c r="E2653" s="22" t="s">
        <v>31</v>
      </c>
      <c r="F2653" s="22">
        <v>3.272</v>
      </c>
    </row>
    <row r="2654" spans="1:6">
      <c r="A2654" s="22" t="s">
        <v>7729</v>
      </c>
      <c r="B2654" s="22" t="s">
        <v>7730</v>
      </c>
      <c r="C2654" s="22" t="s">
        <v>7731</v>
      </c>
      <c r="D2654" s="22" t="s">
        <v>9</v>
      </c>
      <c r="E2654" s="22" t="s">
        <v>14</v>
      </c>
      <c r="F2654" s="22">
        <v>6.527</v>
      </c>
    </row>
    <row r="2655" spans="1:6">
      <c r="A2655" s="22" t="s">
        <v>7732</v>
      </c>
      <c r="B2655" s="22" t="s">
        <v>7733</v>
      </c>
      <c r="C2655" s="22" t="s">
        <v>7734</v>
      </c>
      <c r="D2655" s="22" t="s">
        <v>9</v>
      </c>
      <c r="E2655" s="22" t="s">
        <v>35</v>
      </c>
      <c r="F2655" s="22">
        <v>3.73</v>
      </c>
    </row>
    <row r="2656" spans="1:6">
      <c r="A2656" s="22" t="s">
        <v>7735</v>
      </c>
      <c r="B2656" s="22" t="s">
        <v>7736</v>
      </c>
      <c r="C2656" s="22" t="s">
        <v>7737</v>
      </c>
      <c r="D2656" s="22" t="s">
        <v>9</v>
      </c>
      <c r="E2656" s="22" t="s">
        <v>35</v>
      </c>
      <c r="F2656" s="22">
        <v>3.75</v>
      </c>
    </row>
    <row r="2657" spans="1:6">
      <c r="A2657" s="22" t="s">
        <v>7738</v>
      </c>
      <c r="B2657" s="22" t="s">
        <v>7739</v>
      </c>
      <c r="C2657" s="22" t="s">
        <v>7740</v>
      </c>
      <c r="D2657" s="22" t="s">
        <v>9</v>
      </c>
      <c r="E2657" s="22" t="s">
        <v>35</v>
      </c>
      <c r="F2657" s="22">
        <v>53.579</v>
      </c>
    </row>
    <row r="2658" spans="1:6">
      <c r="A2658" s="22" t="s">
        <v>7741</v>
      </c>
      <c r="B2658" s="22" t="s">
        <v>7742</v>
      </c>
      <c r="C2658" s="22" t="s">
        <v>7743</v>
      </c>
      <c r="D2658" s="22" t="s">
        <v>9</v>
      </c>
      <c r="E2658" s="22" t="s">
        <v>31</v>
      </c>
      <c r="F2658" s="22">
        <v>243.469</v>
      </c>
    </row>
    <row r="2659" spans="1:6">
      <c r="A2659" s="22" t="s">
        <v>7744</v>
      </c>
      <c r="B2659" s="22" t="s">
        <v>7745</v>
      </c>
      <c r="C2659" s="22" t="s">
        <v>7746</v>
      </c>
      <c r="D2659" s="22" t="s">
        <v>9</v>
      </c>
      <c r="E2659" s="22" t="s">
        <v>27</v>
      </c>
      <c r="F2659" s="22">
        <v>29.166</v>
      </c>
    </row>
    <row r="2660" spans="1:6">
      <c r="A2660" s="22" t="s">
        <v>7747</v>
      </c>
      <c r="B2660" s="22" t="s">
        <v>7748</v>
      </c>
      <c r="C2660" s="22" t="s">
        <v>7749</v>
      </c>
      <c r="D2660" s="22" t="s">
        <v>9</v>
      </c>
      <c r="E2660" s="22" t="s">
        <v>23</v>
      </c>
      <c r="F2660" s="22">
        <v>380.751</v>
      </c>
    </row>
    <row r="2661" spans="1:6">
      <c r="A2661" s="22" t="s">
        <v>7750</v>
      </c>
      <c r="B2661" s="22" t="s">
        <v>7751</v>
      </c>
      <c r="C2661" s="22" t="s">
        <v>7752</v>
      </c>
      <c r="D2661" s="22" t="s">
        <v>9</v>
      </c>
      <c r="E2661" s="22" t="s">
        <v>23</v>
      </c>
      <c r="F2661" s="22">
        <v>1777.15</v>
      </c>
    </row>
    <row r="2662" spans="1:6">
      <c r="A2662" s="22" t="s">
        <v>7753</v>
      </c>
      <c r="B2662" s="22" t="s">
        <v>7754</v>
      </c>
      <c r="C2662" s="22" t="s">
        <v>7755</v>
      </c>
      <c r="D2662" s="22" t="s">
        <v>9</v>
      </c>
      <c r="E2662" s="22" t="s">
        <v>23</v>
      </c>
      <c r="F2662" s="22">
        <v>1854.816</v>
      </c>
    </row>
    <row r="2663" spans="1:6">
      <c r="A2663" s="22" t="s">
        <v>7756</v>
      </c>
      <c r="B2663" s="22" t="s">
        <v>7757</v>
      </c>
      <c r="C2663" s="22" t="s">
        <v>7758</v>
      </c>
      <c r="D2663" s="22" t="s">
        <v>9</v>
      </c>
      <c r="E2663" s="22" t="s">
        <v>23</v>
      </c>
      <c r="F2663" s="22">
        <v>373.461</v>
      </c>
    </row>
    <row r="2664" spans="1:6">
      <c r="A2664" s="22" t="s">
        <v>7759</v>
      </c>
      <c r="B2664" s="22" t="s">
        <v>7760</v>
      </c>
      <c r="C2664" s="22" t="s">
        <v>7761</v>
      </c>
      <c r="D2664" s="22" t="s">
        <v>9</v>
      </c>
      <c r="E2664" s="22" t="s">
        <v>23</v>
      </c>
      <c r="F2664" s="22">
        <v>459.099</v>
      </c>
    </row>
    <row r="2665" spans="1:6">
      <c r="A2665" s="22" t="s">
        <v>7762</v>
      </c>
      <c r="B2665" s="22" t="s">
        <v>7763</v>
      </c>
      <c r="C2665" s="22" t="s">
        <v>7764</v>
      </c>
      <c r="D2665" s="22" t="s">
        <v>9</v>
      </c>
      <c r="E2665" s="22" t="s">
        <v>62</v>
      </c>
      <c r="F2665" s="22">
        <v>0.85</v>
      </c>
    </row>
    <row r="2666" spans="1:6">
      <c r="A2666" s="22" t="s">
        <v>7765</v>
      </c>
      <c r="B2666" s="22" t="s">
        <v>7763</v>
      </c>
      <c r="C2666" s="22" t="s">
        <v>7766</v>
      </c>
      <c r="D2666" s="22" t="s">
        <v>9</v>
      </c>
      <c r="E2666" s="22" t="s">
        <v>62</v>
      </c>
      <c r="F2666" s="22">
        <v>1.766</v>
      </c>
    </row>
    <row r="2667" spans="1:6">
      <c r="A2667" s="22" t="s">
        <v>7767</v>
      </c>
      <c r="B2667" s="22" t="s">
        <v>7763</v>
      </c>
      <c r="C2667" s="22" t="s">
        <v>7768</v>
      </c>
      <c r="D2667" s="22" t="s">
        <v>9</v>
      </c>
      <c r="E2667" s="22" t="s">
        <v>62</v>
      </c>
      <c r="F2667" s="22">
        <v>0.85</v>
      </c>
    </row>
    <row r="2668" spans="1:6">
      <c r="A2668" s="22" t="s">
        <v>7769</v>
      </c>
      <c r="B2668" s="22" t="s">
        <v>7763</v>
      </c>
      <c r="C2668" s="22" t="s">
        <v>7770</v>
      </c>
      <c r="D2668" s="22" t="s">
        <v>9</v>
      </c>
      <c r="E2668" s="22" t="s">
        <v>62</v>
      </c>
      <c r="F2668" s="22">
        <v>1.962</v>
      </c>
    </row>
    <row r="2669" spans="1:6">
      <c r="A2669" s="22" t="s">
        <v>7771</v>
      </c>
      <c r="B2669" s="22" t="s">
        <v>7763</v>
      </c>
      <c r="C2669" s="22" t="s">
        <v>7772</v>
      </c>
      <c r="D2669" s="22" t="s">
        <v>9</v>
      </c>
      <c r="E2669" s="22" t="s">
        <v>62</v>
      </c>
      <c r="F2669" s="22">
        <v>0.85</v>
      </c>
    </row>
    <row r="2670" spans="1:6">
      <c r="A2670" s="22" t="s">
        <v>7773</v>
      </c>
      <c r="B2670" s="22" t="s">
        <v>7774</v>
      </c>
      <c r="C2670" s="22" t="s">
        <v>7775</v>
      </c>
      <c r="D2670" s="22" t="s">
        <v>9</v>
      </c>
      <c r="E2670" s="22" t="s">
        <v>35</v>
      </c>
      <c r="F2670" s="22">
        <v>0.672</v>
      </c>
    </row>
    <row r="2671" spans="1:6">
      <c r="A2671" s="22" t="s">
        <v>7776</v>
      </c>
      <c r="B2671" s="22" t="s">
        <v>7777</v>
      </c>
      <c r="C2671" s="22" t="s">
        <v>7778</v>
      </c>
      <c r="D2671" s="22" t="s">
        <v>9</v>
      </c>
      <c r="E2671" s="22" t="s">
        <v>23</v>
      </c>
      <c r="F2671" s="22">
        <v>1</v>
      </c>
    </row>
    <row r="2672" spans="1:6">
      <c r="A2672" s="22" t="s">
        <v>7779</v>
      </c>
      <c r="B2672" s="22" t="s">
        <v>7777</v>
      </c>
      <c r="C2672" s="22" t="s">
        <v>7780</v>
      </c>
      <c r="D2672" s="22" t="s">
        <v>9</v>
      </c>
      <c r="E2672" s="22" t="s">
        <v>23</v>
      </c>
      <c r="F2672" s="22">
        <v>0.5</v>
      </c>
    </row>
    <row r="2673" spans="1:6">
      <c r="A2673" s="22" t="s">
        <v>7781</v>
      </c>
      <c r="B2673" s="22" t="s">
        <v>7777</v>
      </c>
      <c r="C2673" s="22" t="s">
        <v>7782</v>
      </c>
      <c r="D2673" s="22" t="s">
        <v>9</v>
      </c>
      <c r="E2673" s="22" t="s">
        <v>23</v>
      </c>
      <c r="F2673" s="22">
        <v>0.998</v>
      </c>
    </row>
    <row r="2674" spans="1:6">
      <c r="A2674" s="22" t="s">
        <v>7783</v>
      </c>
      <c r="B2674" s="22" t="s">
        <v>7777</v>
      </c>
      <c r="C2674" s="22" t="s">
        <v>7784</v>
      </c>
      <c r="D2674" s="22" t="s">
        <v>9</v>
      </c>
      <c r="E2674" s="22" t="s">
        <v>23</v>
      </c>
      <c r="F2674" s="22">
        <v>0.998</v>
      </c>
    </row>
    <row r="2675" spans="1:6">
      <c r="A2675" s="22" t="s">
        <v>7785</v>
      </c>
      <c r="B2675" s="22" t="s">
        <v>7777</v>
      </c>
      <c r="C2675" s="22" t="s">
        <v>7786</v>
      </c>
      <c r="D2675" s="22" t="s">
        <v>9</v>
      </c>
      <c r="E2675" s="22" t="s">
        <v>23</v>
      </c>
      <c r="F2675" s="22">
        <v>0.999</v>
      </c>
    </row>
    <row r="2676" spans="1:6">
      <c r="A2676" s="22" t="s">
        <v>7787</v>
      </c>
      <c r="B2676" s="22" t="s">
        <v>7777</v>
      </c>
      <c r="C2676" s="22" t="s">
        <v>7788</v>
      </c>
      <c r="D2676" s="22" t="s">
        <v>9</v>
      </c>
      <c r="E2676" s="22" t="s">
        <v>23</v>
      </c>
      <c r="F2676" s="22">
        <v>1</v>
      </c>
    </row>
    <row r="2677" spans="1:6">
      <c r="A2677" s="22" t="s">
        <v>7789</v>
      </c>
      <c r="B2677" s="22" t="s">
        <v>7790</v>
      </c>
      <c r="C2677" s="22" t="s">
        <v>7791</v>
      </c>
      <c r="D2677" s="22" t="s">
        <v>9</v>
      </c>
      <c r="E2677" s="22" t="s">
        <v>23</v>
      </c>
      <c r="F2677" s="22">
        <v>4.995</v>
      </c>
    </row>
    <row r="2678" spans="1:6">
      <c r="A2678" s="22" t="s">
        <v>7792</v>
      </c>
      <c r="B2678" s="22" t="s">
        <v>7793</v>
      </c>
      <c r="C2678" s="22" t="s">
        <v>7794</v>
      </c>
      <c r="D2678" s="22" t="s">
        <v>9</v>
      </c>
      <c r="E2678" s="22" t="s">
        <v>27</v>
      </c>
      <c r="F2678" s="22">
        <v>62.852</v>
      </c>
    </row>
    <row r="2679" spans="1:6">
      <c r="A2679" s="22" t="s">
        <v>7795</v>
      </c>
      <c r="B2679" s="22" t="s">
        <v>7796</v>
      </c>
      <c r="C2679" s="22" t="s">
        <v>7797</v>
      </c>
      <c r="D2679" s="22" t="s">
        <v>9</v>
      </c>
      <c r="E2679" s="22" t="s">
        <v>62</v>
      </c>
      <c r="F2679" s="22">
        <v>13.303</v>
      </c>
    </row>
    <row r="2680" spans="1:6">
      <c r="A2680" s="22" t="s">
        <v>7798</v>
      </c>
      <c r="B2680" s="22" t="s">
        <v>7799</v>
      </c>
      <c r="C2680" s="22" t="s">
        <v>7800</v>
      </c>
      <c r="D2680" s="22" t="s">
        <v>9</v>
      </c>
      <c r="E2680" s="22" t="s">
        <v>27</v>
      </c>
      <c r="F2680" s="22">
        <v>60.107</v>
      </c>
    </row>
    <row r="2681" spans="1:6">
      <c r="A2681" s="22" t="s">
        <v>7801</v>
      </c>
      <c r="B2681" s="22" t="s">
        <v>7802</v>
      </c>
      <c r="C2681" s="22" t="s">
        <v>7803</v>
      </c>
      <c r="D2681" s="22" t="s">
        <v>9</v>
      </c>
      <c r="E2681" s="22" t="s">
        <v>35</v>
      </c>
    </row>
    <row r="2682" spans="1:6">
      <c r="A2682" s="22" t="s">
        <v>7804</v>
      </c>
      <c r="B2682" s="22" t="s">
        <v>7805</v>
      </c>
      <c r="C2682" s="22" t="s">
        <v>7806</v>
      </c>
      <c r="D2682" s="22" t="s">
        <v>9</v>
      </c>
      <c r="E2682" s="22" t="s">
        <v>27</v>
      </c>
      <c r="F2682" s="22">
        <v>13.225</v>
      </c>
    </row>
    <row r="2683" spans="1:6">
      <c r="A2683" s="22" t="s">
        <v>7807</v>
      </c>
      <c r="B2683" s="22" t="s">
        <v>7808</v>
      </c>
      <c r="C2683" s="22" t="s">
        <v>7809</v>
      </c>
      <c r="D2683" s="22" t="s">
        <v>9</v>
      </c>
      <c r="E2683" s="22" t="s">
        <v>27</v>
      </c>
      <c r="F2683" s="22">
        <v>24.101</v>
      </c>
    </row>
    <row r="2684" spans="1:6">
      <c r="A2684" s="22" t="s">
        <v>7810</v>
      </c>
      <c r="B2684" s="22" t="s">
        <v>7811</v>
      </c>
      <c r="C2684" s="22" t="s">
        <v>7812</v>
      </c>
      <c r="D2684" s="22" t="s">
        <v>9</v>
      </c>
      <c r="E2684" s="22" t="s">
        <v>23</v>
      </c>
      <c r="F2684" s="22">
        <v>0.751</v>
      </c>
    </row>
    <row r="2685" spans="1:6">
      <c r="A2685" s="22" t="s">
        <v>7813</v>
      </c>
      <c r="B2685" s="22" t="s">
        <v>7814</v>
      </c>
      <c r="C2685" s="22" t="s">
        <v>7815</v>
      </c>
      <c r="D2685" s="22" t="s">
        <v>9</v>
      </c>
      <c r="E2685" s="22" t="s">
        <v>23</v>
      </c>
      <c r="F2685" s="22">
        <v>458.939</v>
      </c>
    </row>
    <row r="2686" spans="1:6">
      <c r="A2686" s="22" t="s">
        <v>7816</v>
      </c>
      <c r="B2686" s="22" t="s">
        <v>7817</v>
      </c>
      <c r="C2686" s="22" t="s">
        <v>7818</v>
      </c>
      <c r="D2686" s="22" t="s">
        <v>9</v>
      </c>
      <c r="E2686" s="22" t="s">
        <v>23</v>
      </c>
      <c r="F2686" s="22">
        <v>50.481</v>
      </c>
    </row>
    <row r="2687" spans="1:6">
      <c r="A2687" s="22" t="s">
        <v>7819</v>
      </c>
      <c r="B2687" s="22" t="s">
        <v>7820</v>
      </c>
      <c r="C2687" s="22" t="s">
        <v>7821</v>
      </c>
      <c r="D2687" s="22" t="s">
        <v>9</v>
      </c>
      <c r="E2687" s="22" t="s">
        <v>23</v>
      </c>
      <c r="F2687" s="22">
        <v>129.496</v>
      </c>
    </row>
    <row r="2688" spans="1:6">
      <c r="A2688" s="22" t="s">
        <v>7822</v>
      </c>
      <c r="B2688" s="22" t="s">
        <v>5737</v>
      </c>
      <c r="C2688" s="22" t="s">
        <v>7823</v>
      </c>
      <c r="D2688" s="22" t="s">
        <v>9</v>
      </c>
      <c r="E2688" s="22" t="s">
        <v>27</v>
      </c>
      <c r="F2688" s="22">
        <v>19.984</v>
      </c>
    </row>
    <row r="2689" spans="1:6">
      <c r="A2689" s="22" t="s">
        <v>7824</v>
      </c>
      <c r="B2689" s="22" t="s">
        <v>199</v>
      </c>
      <c r="C2689" s="22" t="s">
        <v>7825</v>
      </c>
      <c r="D2689" s="22" t="s">
        <v>9</v>
      </c>
      <c r="E2689" s="22" t="s">
        <v>27</v>
      </c>
      <c r="F2689" s="22">
        <v>23.919</v>
      </c>
    </row>
  </sheetData>
  <pageMargins left="0.7" right="0.7" top="0.75" bottom="0.75" header="0.3" footer="0.3"/>
  <pageSetup paperSize="9" orientation="portrait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zoomScale="115" zoomScaleNormal="115" topLeftCell="B1" workbookViewId="0">
      <selection activeCell="H1" sqref="H1:I27"/>
    </sheetView>
  </sheetViews>
  <sheetFormatPr defaultColWidth="8.72727272727273" defaultRowHeight="14"/>
  <cols>
    <col min="1" max="1" width="11.8181818181818"/>
    <col min="2" max="3" width="19.6363636363636" customWidth="1"/>
    <col min="4" max="8" width="16.2727272727273" customWidth="1"/>
  </cols>
  <sheetData>
    <row r="1" spans="1:9">
      <c r="A1" t="s">
        <v>7826</v>
      </c>
      <c r="B1" s="17" t="s">
        <v>7827</v>
      </c>
      <c r="C1" s="18" t="s">
        <v>7828</v>
      </c>
      <c r="D1" s="17" t="s">
        <v>7829</v>
      </c>
      <c r="E1" s="18" t="s">
        <v>7828</v>
      </c>
      <c r="F1" s="19" t="s">
        <v>7830</v>
      </c>
      <c r="G1" s="18" t="s">
        <v>7828</v>
      </c>
      <c r="H1" s="17" t="s">
        <v>7831</v>
      </c>
      <c r="I1" s="18" t="s">
        <v>7828</v>
      </c>
    </row>
    <row r="2" spans="1:9">
      <c r="A2" s="20">
        <v>36891</v>
      </c>
      <c r="B2" s="21">
        <v>21230000</v>
      </c>
      <c r="C2" s="8"/>
      <c r="D2" s="21">
        <v>0</v>
      </c>
      <c r="E2" s="8"/>
      <c r="F2" s="21">
        <v>0</v>
      </c>
      <c r="G2" s="8"/>
      <c r="H2" s="21">
        <v>0</v>
      </c>
      <c r="I2" s="8"/>
    </row>
    <row r="3" spans="1:9">
      <c r="A3" s="20">
        <v>37256</v>
      </c>
      <c r="B3" s="21">
        <v>60160000</v>
      </c>
      <c r="C3" s="8">
        <f>(B3-B2)/B2</f>
        <v>1.8337258596326</v>
      </c>
      <c r="D3" s="21">
        <v>0</v>
      </c>
      <c r="E3" s="8"/>
      <c r="F3" s="21">
        <v>0</v>
      </c>
      <c r="G3" s="8"/>
      <c r="H3" s="21">
        <v>0</v>
      </c>
      <c r="I3" s="8"/>
    </row>
    <row r="4" spans="1:9">
      <c r="A4" s="20">
        <v>37621</v>
      </c>
      <c r="B4" s="21">
        <v>4084326016</v>
      </c>
      <c r="C4" s="8">
        <f t="shared" ref="C4:C27" si="0">(B4-B3)/B3</f>
        <v>66.8910574468085</v>
      </c>
      <c r="D4" s="21">
        <v>0</v>
      </c>
      <c r="E4" s="8"/>
      <c r="F4" s="21">
        <v>0</v>
      </c>
      <c r="G4" s="8"/>
      <c r="H4" s="21">
        <v>0</v>
      </c>
      <c r="I4" s="8"/>
    </row>
    <row r="5" spans="1:9">
      <c r="A5" s="20">
        <v>37986</v>
      </c>
      <c r="B5" s="21">
        <v>5311532624</v>
      </c>
      <c r="C5" s="8">
        <f t="shared" si="0"/>
        <v>0.300467348392984</v>
      </c>
      <c r="D5" s="21">
        <v>0</v>
      </c>
      <c r="E5" s="8"/>
      <c r="F5" s="21">
        <v>0</v>
      </c>
      <c r="G5" s="8"/>
      <c r="H5" s="21">
        <v>0</v>
      </c>
      <c r="I5" s="8"/>
    </row>
    <row r="6" spans="1:9">
      <c r="A6" s="20">
        <v>38352</v>
      </c>
      <c r="B6" s="21">
        <v>12136187008</v>
      </c>
      <c r="C6" s="8">
        <f t="shared" si="0"/>
        <v>1.28487479360722</v>
      </c>
      <c r="D6" s="21">
        <v>0</v>
      </c>
      <c r="E6" s="8"/>
      <c r="F6" s="21">
        <v>0</v>
      </c>
      <c r="G6" s="8"/>
      <c r="H6" s="21">
        <v>0</v>
      </c>
      <c r="I6" s="8"/>
    </row>
    <row r="7" spans="1:9">
      <c r="A7" s="20">
        <v>38717</v>
      </c>
      <c r="B7" s="21">
        <v>19458767216</v>
      </c>
      <c r="C7" s="8">
        <f t="shared" si="0"/>
        <v>0.603367450021416</v>
      </c>
      <c r="D7" s="21">
        <v>0</v>
      </c>
      <c r="E7" s="8"/>
      <c r="F7" s="21">
        <v>1370419744.12941</v>
      </c>
      <c r="G7" s="8"/>
      <c r="H7" s="21">
        <v>275211435.217377</v>
      </c>
      <c r="I7" s="8"/>
    </row>
    <row r="8" spans="1:9">
      <c r="A8" s="20">
        <v>39082</v>
      </c>
      <c r="B8" s="21">
        <v>24910784880</v>
      </c>
      <c r="C8" s="8">
        <f t="shared" si="0"/>
        <v>0.280183097083204</v>
      </c>
      <c r="D8" s="21">
        <v>0</v>
      </c>
      <c r="E8" s="8"/>
      <c r="F8" s="21">
        <v>1720445977.09939</v>
      </c>
      <c r="G8" s="8">
        <f>(F8-F7)/F7</f>
        <v>0.255415345896335</v>
      </c>
      <c r="H8" s="21">
        <v>286759524.814941</v>
      </c>
      <c r="I8" s="8">
        <f>(H8-H7)/H7</f>
        <v>0.0419607913037577</v>
      </c>
    </row>
    <row r="9" spans="1:9">
      <c r="A9" s="20">
        <v>39447</v>
      </c>
      <c r="B9" s="21">
        <v>39258962220</v>
      </c>
      <c r="C9" s="8">
        <f t="shared" si="0"/>
        <v>0.575982547684383</v>
      </c>
      <c r="D9" s="21">
        <v>0</v>
      </c>
      <c r="E9" s="8"/>
      <c r="F9" s="21">
        <v>1632252032</v>
      </c>
      <c r="G9" s="8">
        <f t="shared" ref="G9:G27" si="1">(F9-F8)/F8</f>
        <v>-0.0512622577362655</v>
      </c>
      <c r="H9" s="21">
        <v>313096482.192398</v>
      </c>
      <c r="I9" s="8">
        <f t="shared" ref="I9:I27" si="2">(H9-H8)/H8</f>
        <v>0.0918433568839726</v>
      </c>
    </row>
    <row r="10" spans="1:9">
      <c r="A10" s="20">
        <v>39813</v>
      </c>
      <c r="B10" s="21">
        <v>60172553572</v>
      </c>
      <c r="C10" s="8">
        <f t="shared" si="0"/>
        <v>0.532708715905532</v>
      </c>
      <c r="D10" s="21">
        <v>0</v>
      </c>
      <c r="E10" s="8"/>
      <c r="F10" s="21">
        <v>1914641164.44022</v>
      </c>
      <c r="G10" s="8">
        <f t="shared" si="1"/>
        <v>0.173005839113098</v>
      </c>
      <c r="H10" s="21">
        <v>299775253.312561</v>
      </c>
      <c r="I10" s="8">
        <f t="shared" si="2"/>
        <v>-0.0425467216576746</v>
      </c>
    </row>
    <row r="11" spans="1:9">
      <c r="A11" s="20">
        <v>40178</v>
      </c>
      <c r="B11" s="21">
        <v>113387364156.5</v>
      </c>
      <c r="C11" s="8">
        <f t="shared" si="0"/>
        <v>0.884370155918767</v>
      </c>
      <c r="D11" s="21">
        <v>10889802.6756942</v>
      </c>
      <c r="E11" s="8"/>
      <c r="F11" s="21">
        <v>2089138904.15885</v>
      </c>
      <c r="G11" s="8">
        <f t="shared" si="1"/>
        <v>0.0911386127904794</v>
      </c>
      <c r="H11" s="21">
        <v>305726646.315868</v>
      </c>
      <c r="I11" s="8">
        <f t="shared" si="2"/>
        <v>0.0198528495516</v>
      </c>
    </row>
    <row r="12" spans="1:9">
      <c r="A12" s="20">
        <v>40543</v>
      </c>
      <c r="B12" s="21">
        <v>147577852347.5</v>
      </c>
      <c r="C12" s="8">
        <f t="shared" si="0"/>
        <v>0.30153702262458</v>
      </c>
      <c r="D12" s="21">
        <v>36126741.3928099</v>
      </c>
      <c r="E12" s="8">
        <f>(D12-D11)/D11</f>
        <v>2.31748356409102</v>
      </c>
      <c r="F12" s="21">
        <v>2628364163.889</v>
      </c>
      <c r="G12" s="8">
        <f t="shared" si="1"/>
        <v>0.258108859423715</v>
      </c>
      <c r="H12" s="21">
        <v>329436865.359558</v>
      </c>
      <c r="I12" s="8">
        <f t="shared" si="2"/>
        <v>0.077553655624748</v>
      </c>
    </row>
    <row r="13" spans="1:9">
      <c r="A13" s="20">
        <v>40908</v>
      </c>
      <c r="B13" s="21">
        <v>194473851439</v>
      </c>
      <c r="C13" s="8">
        <f t="shared" si="0"/>
        <v>0.317771253243844</v>
      </c>
      <c r="D13" s="21">
        <v>61722300.4996777</v>
      </c>
      <c r="E13" s="8">
        <f t="shared" ref="E13:E27" si="3">(D13-D12)/D12</f>
        <v>0.708493435058661</v>
      </c>
      <c r="F13" s="21">
        <v>2951898649.7225</v>
      </c>
      <c r="G13" s="8">
        <f t="shared" si="1"/>
        <v>0.123093477790684</v>
      </c>
      <c r="H13" s="21">
        <v>336497292.041779</v>
      </c>
      <c r="I13" s="8">
        <f t="shared" si="2"/>
        <v>0.0214318050729235</v>
      </c>
    </row>
    <row r="14" spans="1:9">
      <c r="A14" s="20">
        <v>41274</v>
      </c>
      <c r="B14" s="21">
        <v>257802819587</v>
      </c>
      <c r="C14" s="8">
        <f t="shared" si="0"/>
        <v>0.325642587316497</v>
      </c>
      <c r="D14" s="21">
        <v>73629182.6246648</v>
      </c>
      <c r="E14" s="8">
        <f t="shared" si="3"/>
        <v>0.192910536849631</v>
      </c>
      <c r="F14" s="21">
        <v>3779319637.98651</v>
      </c>
      <c r="G14" s="8">
        <f t="shared" si="1"/>
        <v>0.280301286204997</v>
      </c>
      <c r="H14" s="21">
        <v>441797405.11565</v>
      </c>
      <c r="I14" s="8">
        <f t="shared" si="2"/>
        <v>0.312930045989188</v>
      </c>
    </row>
    <row r="15" spans="1:9">
      <c r="A15" s="20">
        <v>41639</v>
      </c>
      <c r="B15" s="21">
        <v>253045620403</v>
      </c>
      <c r="C15" s="8">
        <f t="shared" si="0"/>
        <v>-0.0184528594048003</v>
      </c>
      <c r="D15" s="21">
        <v>67995813.0949352</v>
      </c>
      <c r="E15" s="8">
        <f t="shared" si="3"/>
        <v>-0.0765100104186475</v>
      </c>
      <c r="F15" s="21">
        <v>3608052643.77214</v>
      </c>
      <c r="G15" s="8">
        <f t="shared" si="1"/>
        <v>-0.0453168852120735</v>
      </c>
      <c r="H15" s="21">
        <v>382558671.087112</v>
      </c>
      <c r="I15" s="8">
        <f t="shared" si="2"/>
        <v>-0.134085744602848</v>
      </c>
    </row>
    <row r="16" spans="1:9">
      <c r="A16" s="20">
        <v>42004</v>
      </c>
      <c r="B16" s="21">
        <v>306570761066</v>
      </c>
      <c r="C16" s="8">
        <f t="shared" si="0"/>
        <v>0.211523679318203</v>
      </c>
      <c r="D16" s="21">
        <v>90766783.6195297</v>
      </c>
      <c r="E16" s="8">
        <f t="shared" si="3"/>
        <v>0.334887833355296</v>
      </c>
      <c r="F16" s="21">
        <v>3595730713.499</v>
      </c>
      <c r="G16" s="8">
        <f t="shared" si="1"/>
        <v>-0.00341511931496034</v>
      </c>
      <c r="H16" s="21">
        <v>1217208415.08769</v>
      </c>
      <c r="I16" s="8">
        <f t="shared" si="2"/>
        <v>2.18175617776161</v>
      </c>
    </row>
    <row r="17" spans="1:9">
      <c r="A17" s="20">
        <v>42369</v>
      </c>
      <c r="B17" s="21">
        <v>355358738937</v>
      </c>
      <c r="C17" s="8">
        <f t="shared" si="0"/>
        <v>0.159141001253204</v>
      </c>
      <c r="D17" s="21">
        <v>106027698.471271</v>
      </c>
      <c r="E17" s="8">
        <f t="shared" si="3"/>
        <v>0.168133255836309</v>
      </c>
      <c r="F17" s="21">
        <v>3510264267.05125</v>
      </c>
      <c r="G17" s="8">
        <f t="shared" si="1"/>
        <v>-0.0237688673756614</v>
      </c>
      <c r="H17" s="21">
        <v>726518889.849249</v>
      </c>
      <c r="I17" s="8">
        <f t="shared" si="2"/>
        <v>-0.403126957681352</v>
      </c>
    </row>
    <row r="18" spans="1:9">
      <c r="A18" s="20">
        <v>42735</v>
      </c>
      <c r="B18" s="21">
        <v>445737760840</v>
      </c>
      <c r="C18" s="8">
        <f t="shared" si="0"/>
        <v>0.254331783631816</v>
      </c>
      <c r="D18" s="21">
        <v>296182327.267742</v>
      </c>
      <c r="E18" s="8">
        <f t="shared" si="3"/>
        <v>1.79344295441813</v>
      </c>
      <c r="F18" s="21">
        <v>4411238557.18653</v>
      </c>
      <c r="G18" s="8">
        <f t="shared" si="1"/>
        <v>0.256668507437513</v>
      </c>
      <c r="H18" s="21">
        <v>560531996.405885</v>
      </c>
      <c r="I18" s="8">
        <f t="shared" si="2"/>
        <v>-0.228468792432645</v>
      </c>
    </row>
    <row r="19" spans="1:9">
      <c r="A19" s="20">
        <v>43100</v>
      </c>
      <c r="B19" s="21">
        <v>574284683548.75</v>
      </c>
      <c r="C19" s="8">
        <f t="shared" si="0"/>
        <v>0.288391368203809</v>
      </c>
      <c r="D19" s="21">
        <v>529524142.448378</v>
      </c>
      <c r="E19" s="8">
        <f t="shared" si="3"/>
        <v>0.787831662115682</v>
      </c>
      <c r="F19" s="21">
        <v>4546517846.19682</v>
      </c>
      <c r="G19" s="8">
        <f t="shared" si="1"/>
        <v>0.0306669628623691</v>
      </c>
      <c r="H19" s="21">
        <v>585009967.5959</v>
      </c>
      <c r="I19" s="8">
        <f t="shared" si="2"/>
        <v>0.0436691774010532</v>
      </c>
    </row>
    <row r="20" spans="1:9">
      <c r="A20" s="20">
        <v>43465</v>
      </c>
      <c r="B20" s="21">
        <v>645136756241.25</v>
      </c>
      <c r="C20" s="8">
        <f t="shared" si="0"/>
        <v>0.123374477366652</v>
      </c>
      <c r="D20" s="21">
        <v>639213384.605263</v>
      </c>
      <c r="E20" s="8">
        <f t="shared" si="3"/>
        <v>0.207146819878148</v>
      </c>
      <c r="F20" s="21">
        <v>4621379234.39742</v>
      </c>
      <c r="G20" s="8">
        <f t="shared" si="1"/>
        <v>0.0164656536569457</v>
      </c>
      <c r="H20" s="21">
        <v>466487394.834219</v>
      </c>
      <c r="I20" s="8">
        <f t="shared" si="2"/>
        <v>-0.202599236468995</v>
      </c>
    </row>
    <row r="21" spans="1:9">
      <c r="A21" s="20">
        <v>43830</v>
      </c>
      <c r="B21" s="21">
        <v>831688597511.5</v>
      </c>
      <c r="C21" s="8">
        <f t="shared" si="0"/>
        <v>0.289166350336561</v>
      </c>
      <c r="D21" s="21">
        <v>1151421098.42193</v>
      </c>
      <c r="E21" s="8">
        <f t="shared" si="3"/>
        <v>0.801309431486598</v>
      </c>
      <c r="F21" s="21">
        <v>4923968369.25919</v>
      </c>
      <c r="G21" s="8">
        <f t="shared" si="1"/>
        <v>0.0654759368392809</v>
      </c>
      <c r="H21" s="21">
        <v>606430669.38913</v>
      </c>
      <c r="I21" s="8">
        <f t="shared" si="2"/>
        <v>0.299993689228504</v>
      </c>
    </row>
    <row r="22" spans="1:9">
      <c r="A22" s="20">
        <v>44196</v>
      </c>
      <c r="B22" s="21">
        <v>1079083329405.75</v>
      </c>
      <c r="C22" s="8">
        <f t="shared" si="0"/>
        <v>0.297460771536944</v>
      </c>
      <c r="D22" s="21">
        <v>2012839916.55028</v>
      </c>
      <c r="E22" s="8">
        <f t="shared" si="3"/>
        <v>0.748135342759447</v>
      </c>
      <c r="F22" s="21">
        <v>5256909518.7056</v>
      </c>
      <c r="G22" s="8">
        <f t="shared" si="1"/>
        <v>0.0676164273363318</v>
      </c>
      <c r="H22" s="21">
        <v>607357724.146545</v>
      </c>
      <c r="I22" s="8">
        <f t="shared" si="2"/>
        <v>0.00152870691442584</v>
      </c>
    </row>
    <row r="23" spans="1:9">
      <c r="A23" s="20">
        <v>44561</v>
      </c>
      <c r="B23" s="21">
        <v>1260279545537.62</v>
      </c>
      <c r="C23" s="8">
        <f t="shared" si="0"/>
        <v>0.167916796779406</v>
      </c>
      <c r="D23" s="21">
        <v>3846821405.95885</v>
      </c>
      <c r="E23" s="8">
        <f t="shared" si="3"/>
        <v>0.911141255858912</v>
      </c>
      <c r="F23" s="21">
        <v>7398413914.53539</v>
      </c>
      <c r="G23" s="8">
        <f t="shared" si="1"/>
        <v>0.407369460746794</v>
      </c>
      <c r="H23" s="21">
        <v>1950870998.53819</v>
      </c>
      <c r="I23" s="8">
        <f t="shared" si="2"/>
        <v>2.21206254728964</v>
      </c>
    </row>
    <row r="24" spans="1:9">
      <c r="A24" s="20">
        <v>44926</v>
      </c>
      <c r="B24" s="21">
        <v>1275321097227.87</v>
      </c>
      <c r="C24" s="8">
        <f t="shared" si="0"/>
        <v>0.0119350914989527</v>
      </c>
      <c r="D24" s="21">
        <v>4789830690.1062</v>
      </c>
      <c r="E24" s="8">
        <f t="shared" si="3"/>
        <v>0.245139866042806</v>
      </c>
      <c r="F24" s="21">
        <v>7425950798.31009</v>
      </c>
      <c r="G24" s="8">
        <f t="shared" si="1"/>
        <v>0.00372199826784488</v>
      </c>
      <c r="H24" s="21">
        <v>1744330087.04946</v>
      </c>
      <c r="I24" s="8">
        <f t="shared" si="2"/>
        <v>-0.105871127123984</v>
      </c>
    </row>
    <row r="25" spans="1:9">
      <c r="A25" s="20">
        <v>45291</v>
      </c>
      <c r="B25" s="21">
        <v>1509225374761.75</v>
      </c>
      <c r="C25" s="8">
        <f t="shared" si="0"/>
        <v>0.183408145636664</v>
      </c>
      <c r="D25" s="21">
        <v>7507118989.54211</v>
      </c>
      <c r="E25" s="8">
        <f t="shared" si="3"/>
        <v>0.567303622035889</v>
      </c>
      <c r="F25" s="21">
        <v>5374046330.72981</v>
      </c>
      <c r="G25" s="8">
        <f t="shared" si="1"/>
        <v>-0.276315386852176</v>
      </c>
      <c r="H25" s="21">
        <v>1686783890.10033</v>
      </c>
      <c r="I25" s="8">
        <f t="shared" si="2"/>
        <v>-0.032990428460974</v>
      </c>
    </row>
    <row r="26" spans="1:9">
      <c r="A26" s="20">
        <v>45657</v>
      </c>
      <c r="B26" s="21">
        <v>1779870900491.41</v>
      </c>
      <c r="C26" s="8">
        <f t="shared" si="0"/>
        <v>0.179327441915284</v>
      </c>
      <c r="D26" s="21">
        <v>9179920111.41169</v>
      </c>
      <c r="E26" s="8">
        <f t="shared" si="3"/>
        <v>0.222828640947332</v>
      </c>
      <c r="F26" s="21">
        <v>6487581238.31189</v>
      </c>
      <c r="G26" s="8">
        <f t="shared" si="1"/>
        <v>0.207206049046261</v>
      </c>
      <c r="H26" s="21">
        <v>2253410567.22911</v>
      </c>
      <c r="I26" s="8">
        <f t="shared" si="2"/>
        <v>0.335921323682476</v>
      </c>
    </row>
    <row r="27" spans="1:9">
      <c r="A27" s="20">
        <v>46022</v>
      </c>
      <c r="B27" s="21">
        <v>2264294175552.81</v>
      </c>
      <c r="C27" s="8">
        <f t="shared" si="0"/>
        <v>0.272167647062298</v>
      </c>
      <c r="D27" s="21">
        <v>8945169507.88736</v>
      </c>
      <c r="E27" s="8">
        <f t="shared" si="3"/>
        <v>-0.0255721837091489</v>
      </c>
      <c r="F27" s="21">
        <v>6896684475.97073</v>
      </c>
      <c r="G27" s="8">
        <f t="shared" si="1"/>
        <v>0.0630594396634163</v>
      </c>
      <c r="H27" s="21">
        <v>2077251705.89645</v>
      </c>
      <c r="I27" s="8">
        <f t="shared" si="2"/>
        <v>-0.0781743300109186</v>
      </c>
    </row>
  </sheetData>
  <pageMargins left="0.75" right="0.75" top="1" bottom="1" header="0.5" footer="0.5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953"/>
  <sheetViews>
    <sheetView zoomScale="71" zoomScaleNormal="71" topLeftCell="AD11" workbookViewId="0">
      <selection activeCell="AF25" sqref="AF25:AH27"/>
    </sheetView>
  </sheetViews>
  <sheetFormatPr defaultColWidth="9" defaultRowHeight="14"/>
  <cols>
    <col min="1" max="1" width="15.5454545454545" customWidth="1"/>
    <col min="2" max="2" width="15.8181818181818" customWidth="1"/>
    <col min="3" max="3" width="11.4545454545455" customWidth="1"/>
    <col min="4" max="4" width="15" customWidth="1"/>
    <col min="5" max="5" width="19.8181818181818" customWidth="1"/>
    <col min="6" max="6" width="9.09090909090909" customWidth="1"/>
    <col min="7" max="7" width="14.7272727272727" customWidth="1"/>
    <col min="8" max="8" width="9.09090909090909" customWidth="1"/>
    <col min="9" max="9" width="13.7272727272727" customWidth="1"/>
    <col min="10" max="10" width="23.8181818181818" customWidth="1"/>
    <col min="11" max="11" width="20.7272727272727" customWidth="1"/>
    <col min="13" max="13" width="12" customWidth="1"/>
    <col min="16" max="16" width="80.1818181818182" customWidth="1"/>
    <col min="17" max="17" width="23.2727272727273" customWidth="1"/>
    <col min="19" max="19" width="42.6363636363636" customWidth="1"/>
    <col min="20" max="20" width="12.0909090909091" customWidth="1"/>
    <col min="22" max="22" width="15" customWidth="1"/>
    <col min="23" max="23" width="19.8181818181818" customWidth="1"/>
    <col min="24" max="24" width="9.09090909090909" customWidth="1"/>
    <col min="25" max="25" width="13.7272727272727" customWidth="1"/>
    <col min="26" max="26" width="81.5454545454545" customWidth="1"/>
    <col min="27" max="27" width="23.8181818181818" customWidth="1"/>
    <col min="28" max="28" width="20.7272727272727" customWidth="1"/>
    <col min="29" max="29" width="83.6363636363636" customWidth="1"/>
    <col min="30" max="30" width="34.6363636363636" customWidth="1"/>
    <col min="31" max="31" width="31" customWidth="1"/>
  </cols>
  <sheetData>
    <row r="1" ht="18" customHeight="1" spans="1:34">
      <c r="A1" s="1" t="s">
        <v>0</v>
      </c>
      <c r="B1" s="1" t="s">
        <v>1</v>
      </c>
      <c r="C1" s="1" t="s">
        <v>2</v>
      </c>
      <c r="D1" s="1" t="s">
        <v>7832</v>
      </c>
      <c r="E1" s="1" t="s">
        <v>7833</v>
      </c>
      <c r="F1" s="1" t="s">
        <v>7834</v>
      </c>
      <c r="G1" s="1" t="s">
        <v>7835</v>
      </c>
      <c r="H1" s="1" t="s">
        <v>3</v>
      </c>
      <c r="I1" s="1" t="s">
        <v>5</v>
      </c>
      <c r="J1" s="1" t="s">
        <v>7836</v>
      </c>
      <c r="K1" s="2" t="s">
        <v>7837</v>
      </c>
      <c r="V1" s="1" t="s">
        <v>7832</v>
      </c>
      <c r="W1" s="1" t="s">
        <v>7833</v>
      </c>
      <c r="X1" s="1" t="s">
        <v>7834</v>
      </c>
      <c r="Y1" s="1" t="s">
        <v>5</v>
      </c>
      <c r="Z1" s="1" t="s">
        <v>7835</v>
      </c>
      <c r="AA1" s="1" t="s">
        <v>7836</v>
      </c>
      <c r="AB1" s="2" t="s">
        <v>7837</v>
      </c>
    </row>
    <row r="2" spans="1:34">
      <c r="A2" t="s">
        <v>184</v>
      </c>
      <c r="B2" t="s">
        <v>185</v>
      </c>
      <c r="C2" t="s">
        <v>186</v>
      </c>
      <c r="D2" t="s">
        <v>7838</v>
      </c>
      <c r="E2" t="s">
        <v>7839</v>
      </c>
      <c r="F2" t="s">
        <v>7840</v>
      </c>
      <c r="G2" t="s">
        <v>7841</v>
      </c>
      <c r="H2" t="s">
        <v>9</v>
      </c>
      <c r="I2">
        <v>6.078</v>
      </c>
      <c r="J2">
        <v>98.234</v>
      </c>
      <c r="K2" s="14">
        <v>0.85</v>
      </c>
      <c r="V2" t="s">
        <v>7838</v>
      </c>
      <c r="W2" t="s">
        <v>7839</v>
      </c>
      <c r="X2" t="s">
        <v>7840</v>
      </c>
      <c r="Y2">
        <v>6.078</v>
      </c>
      <c r="Z2" t="s">
        <v>7841</v>
      </c>
      <c r="AA2">
        <v>98.234</v>
      </c>
      <c r="AB2" s="14">
        <v>0.85</v>
      </c>
    </row>
    <row r="3" spans="1:34">
      <c r="A3" t="s">
        <v>24</v>
      </c>
      <c r="B3" t="s">
        <v>25</v>
      </c>
      <c r="C3" t="s">
        <v>26</v>
      </c>
      <c r="D3" t="s">
        <v>7838</v>
      </c>
      <c r="E3" t="s">
        <v>7839</v>
      </c>
      <c r="F3" t="s">
        <v>7840</v>
      </c>
      <c r="G3" t="s">
        <v>7842</v>
      </c>
      <c r="H3" t="s">
        <v>9</v>
      </c>
      <c r="I3">
        <v>20.117</v>
      </c>
      <c r="J3">
        <v>32.13</v>
      </c>
      <c r="K3">
        <v>0.69</v>
      </c>
      <c r="V3" t="s">
        <v>7838</v>
      </c>
      <c r="W3" t="s">
        <v>7839</v>
      </c>
      <c r="X3" t="s">
        <v>7840</v>
      </c>
      <c r="Y3">
        <v>20.117</v>
      </c>
      <c r="Z3" t="s">
        <v>7842</v>
      </c>
      <c r="AA3">
        <v>32.13</v>
      </c>
      <c r="AB3">
        <v>0.69</v>
      </c>
      <c r="AC3" t="s">
        <v>15</v>
      </c>
      <c r="AD3" t="s">
        <v>7843</v>
      </c>
      <c r="AF3" s="6" t="s">
        <v>7844</v>
      </c>
      <c r="AG3" s="7">
        <v>160</v>
      </c>
      <c r="AH3" s="8">
        <f>AG3/$AG$13</f>
        <v>0.169312169312169</v>
      </c>
    </row>
    <row r="4" spans="1:34">
      <c r="A4" t="s">
        <v>32</v>
      </c>
      <c r="B4" t="s">
        <v>33</v>
      </c>
      <c r="C4" t="s">
        <v>34</v>
      </c>
      <c r="D4" t="s">
        <v>7838</v>
      </c>
      <c r="E4" t="s">
        <v>7839</v>
      </c>
      <c r="F4" t="s">
        <v>7840</v>
      </c>
      <c r="G4" t="s">
        <v>7845</v>
      </c>
      <c r="H4" t="s">
        <v>9</v>
      </c>
      <c r="I4">
        <v>98.874</v>
      </c>
      <c r="J4">
        <v>21.952</v>
      </c>
      <c r="K4">
        <v>0.95</v>
      </c>
      <c r="V4" t="s">
        <v>7838</v>
      </c>
      <c r="W4" t="s">
        <v>7839</v>
      </c>
      <c r="X4" t="s">
        <v>7840</v>
      </c>
      <c r="Y4">
        <v>98.874</v>
      </c>
      <c r="Z4" t="s">
        <v>7845</v>
      </c>
      <c r="AA4">
        <v>21.952</v>
      </c>
      <c r="AB4">
        <v>0.95</v>
      </c>
      <c r="AC4" s="6" t="s">
        <v>7840</v>
      </c>
      <c r="AD4" s="7">
        <v>2</v>
      </c>
      <c r="AF4" s="6" t="s">
        <v>7846</v>
      </c>
      <c r="AG4" s="7">
        <v>28</v>
      </c>
      <c r="AH4" s="8">
        <f t="shared" ref="AH4:AH13" si="0">AG4/$AG$13</f>
        <v>0.0296296296296296</v>
      </c>
    </row>
    <row r="5" spans="1:34">
      <c r="A5" t="s">
        <v>28</v>
      </c>
      <c r="B5" t="s">
        <v>29</v>
      </c>
      <c r="C5" t="s">
        <v>30</v>
      </c>
      <c r="D5" t="s">
        <v>7847</v>
      </c>
      <c r="E5" t="s">
        <v>7848</v>
      </c>
      <c r="F5" t="s">
        <v>7840</v>
      </c>
      <c r="G5" t="s">
        <v>7849</v>
      </c>
      <c r="H5" t="s">
        <v>9</v>
      </c>
      <c r="I5">
        <v>93.355</v>
      </c>
      <c r="J5">
        <v>285.784</v>
      </c>
      <c r="K5">
        <v>0.95</v>
      </c>
      <c r="V5" t="s">
        <v>7847</v>
      </c>
      <c r="W5" t="s">
        <v>7848</v>
      </c>
      <c r="X5" t="s">
        <v>7840</v>
      </c>
      <c r="Y5">
        <v>93.355</v>
      </c>
      <c r="Z5" t="s">
        <v>7849</v>
      </c>
      <c r="AA5">
        <v>285.784</v>
      </c>
      <c r="AB5">
        <v>0.95</v>
      </c>
      <c r="AC5" s="6" t="s">
        <v>7844</v>
      </c>
      <c r="AD5" s="7">
        <v>160</v>
      </c>
      <c r="AF5" s="6" t="s">
        <v>7850</v>
      </c>
      <c r="AG5" s="7">
        <v>212</v>
      </c>
      <c r="AH5" s="8">
        <f t="shared" si="0"/>
        <v>0.224338624338624</v>
      </c>
    </row>
    <row r="6" ht="14.5" spans="1:34">
      <c r="A6" t="s">
        <v>63</v>
      </c>
      <c r="B6" t="s">
        <v>64</v>
      </c>
      <c r="C6" t="s">
        <v>65</v>
      </c>
      <c r="D6" t="s">
        <v>7850</v>
      </c>
      <c r="E6" t="s">
        <v>7839</v>
      </c>
      <c r="F6" t="s">
        <v>7840</v>
      </c>
      <c r="G6" t="s">
        <v>7851</v>
      </c>
      <c r="H6" t="s">
        <v>9</v>
      </c>
      <c r="I6">
        <v>6.933</v>
      </c>
      <c r="J6">
        <v>45.371</v>
      </c>
      <c r="K6">
        <v>0.75</v>
      </c>
      <c r="M6" s="1" t="s">
        <v>7835</v>
      </c>
      <c r="N6" s="1" t="s">
        <v>5</v>
      </c>
      <c r="V6" t="s">
        <v>7850</v>
      </c>
      <c r="W6" t="s">
        <v>7839</v>
      </c>
      <c r="X6" t="s">
        <v>7840</v>
      </c>
      <c r="Y6">
        <v>6.933</v>
      </c>
      <c r="Z6" t="s">
        <v>7851</v>
      </c>
      <c r="AA6">
        <v>45.371</v>
      </c>
      <c r="AB6">
        <v>0.75</v>
      </c>
      <c r="AC6" s="6" t="s">
        <v>7846</v>
      </c>
      <c r="AD6" s="7">
        <v>28</v>
      </c>
      <c r="AF6" s="6" t="s">
        <v>7847</v>
      </c>
      <c r="AG6" s="7">
        <v>270</v>
      </c>
      <c r="AH6" s="8">
        <f t="shared" si="0"/>
        <v>0.285714285714286</v>
      </c>
    </row>
    <row r="7" spans="1:34">
      <c r="A7" t="s">
        <v>71</v>
      </c>
      <c r="B7" t="s">
        <v>72</v>
      </c>
      <c r="C7" t="s">
        <v>73</v>
      </c>
      <c r="D7" t="s">
        <v>7838</v>
      </c>
      <c r="E7" t="s">
        <v>7839</v>
      </c>
      <c r="F7" t="s">
        <v>7840</v>
      </c>
      <c r="G7" t="s">
        <v>7852</v>
      </c>
      <c r="H7" t="s">
        <v>9</v>
      </c>
      <c r="I7">
        <v>4753.822</v>
      </c>
      <c r="J7">
        <v>14.03</v>
      </c>
      <c r="K7">
        <v>0.4</v>
      </c>
      <c r="M7" t="s">
        <v>7841</v>
      </c>
      <c r="N7">
        <v>6.078</v>
      </c>
      <c r="V7" t="s">
        <v>7838</v>
      </c>
      <c r="W7" t="s">
        <v>7839</v>
      </c>
      <c r="X7" t="s">
        <v>7840</v>
      </c>
      <c r="Y7">
        <v>4753.822</v>
      </c>
      <c r="Z7" t="s">
        <v>7852</v>
      </c>
      <c r="AA7">
        <v>14.03</v>
      </c>
      <c r="AB7">
        <v>0.4</v>
      </c>
      <c r="AC7" s="6" t="s">
        <v>7850</v>
      </c>
      <c r="AD7" s="7">
        <v>212</v>
      </c>
      <c r="AF7" s="6" t="s">
        <v>7838</v>
      </c>
      <c r="AG7" s="7">
        <v>8</v>
      </c>
      <c r="AH7" s="8">
        <f t="shared" si="0"/>
        <v>0.00846560846560847</v>
      </c>
    </row>
    <row r="8" spans="1:34">
      <c r="A8" t="s">
        <v>54</v>
      </c>
      <c r="B8" t="s">
        <v>55</v>
      </c>
      <c r="C8" t="s">
        <v>56</v>
      </c>
      <c r="D8" t="s">
        <v>7838</v>
      </c>
      <c r="E8" t="s">
        <v>7839</v>
      </c>
      <c r="F8" t="s">
        <v>7853</v>
      </c>
      <c r="G8" t="s">
        <v>7854</v>
      </c>
      <c r="H8" t="s">
        <v>9</v>
      </c>
      <c r="I8">
        <v>4313.671</v>
      </c>
      <c r="J8">
        <v>12.044</v>
      </c>
      <c r="K8">
        <v>0.2</v>
      </c>
      <c r="M8" t="s">
        <v>7842</v>
      </c>
      <c r="N8">
        <v>20.117</v>
      </c>
      <c r="V8" t="s">
        <v>7838</v>
      </c>
      <c r="W8" t="s">
        <v>7839</v>
      </c>
      <c r="X8" t="s">
        <v>7853</v>
      </c>
      <c r="Y8">
        <v>4313.671</v>
      </c>
      <c r="Z8" t="s">
        <v>7854</v>
      </c>
      <c r="AA8">
        <v>12.044</v>
      </c>
      <c r="AB8">
        <v>0.2</v>
      </c>
      <c r="AC8" s="6" t="s">
        <v>7847</v>
      </c>
      <c r="AD8" s="7">
        <v>270</v>
      </c>
      <c r="AF8" s="6" t="s">
        <v>7855</v>
      </c>
      <c r="AG8" s="7">
        <v>39</v>
      </c>
      <c r="AH8" s="8">
        <f t="shared" si="0"/>
        <v>0.0412698412698413</v>
      </c>
    </row>
    <row r="9" spans="1:34">
      <c r="A9" t="s">
        <v>94</v>
      </c>
      <c r="B9" t="s">
        <v>95</v>
      </c>
      <c r="C9" t="s">
        <v>96</v>
      </c>
      <c r="D9" t="s">
        <v>7856</v>
      </c>
      <c r="E9" t="s">
        <v>7857</v>
      </c>
      <c r="F9" t="s">
        <v>7840</v>
      </c>
      <c r="G9" t="s">
        <v>7858</v>
      </c>
      <c r="H9" t="s">
        <v>9</v>
      </c>
      <c r="I9">
        <v>2089.85</v>
      </c>
      <c r="J9">
        <v>36.309</v>
      </c>
      <c r="K9">
        <v>0.4</v>
      </c>
      <c r="M9" t="s">
        <v>7845</v>
      </c>
      <c r="N9">
        <v>98.874</v>
      </c>
      <c r="V9" t="s">
        <v>7856</v>
      </c>
      <c r="W9" t="s">
        <v>7857</v>
      </c>
      <c r="X9" t="s">
        <v>7840</v>
      </c>
      <c r="Y9">
        <v>2089.85</v>
      </c>
      <c r="Z9" t="s">
        <v>7858</v>
      </c>
      <c r="AA9">
        <v>36.309</v>
      </c>
      <c r="AB9">
        <v>0.4</v>
      </c>
      <c r="AC9" s="6" t="s">
        <v>7838</v>
      </c>
      <c r="AD9" s="7">
        <v>8</v>
      </c>
      <c r="AF9" s="6" t="s">
        <v>7859</v>
      </c>
      <c r="AG9" s="7">
        <v>15</v>
      </c>
      <c r="AH9" s="8">
        <f t="shared" si="0"/>
        <v>0.0158730158730159</v>
      </c>
    </row>
    <row r="10" spans="1:34">
      <c r="A10" t="s">
        <v>386</v>
      </c>
      <c r="B10" t="s">
        <v>387</v>
      </c>
      <c r="C10" t="s">
        <v>388</v>
      </c>
      <c r="D10" t="s">
        <v>7856</v>
      </c>
      <c r="E10" t="s">
        <v>7857</v>
      </c>
      <c r="F10" t="s">
        <v>7840</v>
      </c>
      <c r="G10" t="s">
        <v>7860</v>
      </c>
      <c r="H10" t="s">
        <v>9</v>
      </c>
      <c r="I10">
        <v>134.356</v>
      </c>
      <c r="J10">
        <v>43.176</v>
      </c>
      <c r="K10">
        <v>0.48</v>
      </c>
      <c r="M10" t="s">
        <v>7849</v>
      </c>
      <c r="N10">
        <v>93.355</v>
      </c>
      <c r="V10" t="s">
        <v>7856</v>
      </c>
      <c r="W10" t="s">
        <v>7857</v>
      </c>
      <c r="X10" t="s">
        <v>7840</v>
      </c>
      <c r="Y10">
        <v>134.356</v>
      </c>
      <c r="Z10" t="s">
        <v>7860</v>
      </c>
      <c r="AA10">
        <v>43.176</v>
      </c>
      <c r="AB10">
        <v>0.48</v>
      </c>
      <c r="AC10" s="6" t="s">
        <v>7855</v>
      </c>
      <c r="AD10" s="7">
        <v>39</v>
      </c>
      <c r="AF10" s="6" t="s">
        <v>7856</v>
      </c>
      <c r="AG10" s="7">
        <v>23</v>
      </c>
      <c r="AH10" s="8">
        <f t="shared" si="0"/>
        <v>0.0243386243386243</v>
      </c>
    </row>
    <row r="11" spans="1:34">
      <c r="A11" t="s">
        <v>79</v>
      </c>
      <c r="B11" t="s">
        <v>80</v>
      </c>
      <c r="C11" t="s">
        <v>81</v>
      </c>
      <c r="D11" t="s">
        <v>7855</v>
      </c>
      <c r="E11" t="s">
        <v>7839</v>
      </c>
      <c r="F11" t="s">
        <v>7840</v>
      </c>
      <c r="G11" t="s">
        <v>7861</v>
      </c>
      <c r="H11" t="s">
        <v>9</v>
      </c>
      <c r="I11">
        <v>8.513</v>
      </c>
      <c r="J11">
        <v>83.776</v>
      </c>
      <c r="K11">
        <v>0.65</v>
      </c>
      <c r="M11" t="s">
        <v>7851</v>
      </c>
      <c r="N11">
        <v>6.933</v>
      </c>
      <c r="V11" t="s">
        <v>7855</v>
      </c>
      <c r="W11" t="s">
        <v>7839</v>
      </c>
      <c r="X11" t="s">
        <v>7840</v>
      </c>
      <c r="Y11">
        <v>8.513</v>
      </c>
      <c r="Z11" t="s">
        <v>7861</v>
      </c>
      <c r="AA11">
        <v>83.776</v>
      </c>
      <c r="AB11">
        <v>0.65</v>
      </c>
      <c r="AC11" s="6" t="s">
        <v>7859</v>
      </c>
      <c r="AD11" s="7">
        <v>15</v>
      </c>
      <c r="AF11" s="6" t="s">
        <v>7862</v>
      </c>
      <c r="AG11" s="7">
        <v>158</v>
      </c>
      <c r="AH11" s="8">
        <f t="shared" si="0"/>
        <v>0.167195767195767</v>
      </c>
    </row>
    <row r="12" spans="1:34">
      <c r="A12" t="s">
        <v>133</v>
      </c>
      <c r="B12" t="s">
        <v>134</v>
      </c>
      <c r="C12" t="s">
        <v>135</v>
      </c>
      <c r="D12" t="s">
        <v>7856</v>
      </c>
      <c r="E12" t="s">
        <v>7857</v>
      </c>
      <c r="F12" t="s">
        <v>7840</v>
      </c>
      <c r="G12" t="s">
        <v>7860</v>
      </c>
      <c r="H12" t="s">
        <v>9</v>
      </c>
      <c r="I12">
        <v>2245.886</v>
      </c>
      <c r="J12">
        <v>22.239</v>
      </c>
      <c r="K12">
        <v>0.23</v>
      </c>
      <c r="M12" t="s">
        <v>7852</v>
      </c>
      <c r="N12">
        <v>4753.822</v>
      </c>
      <c r="P12" t="s">
        <v>15</v>
      </c>
      <c r="Q12" t="s">
        <v>16</v>
      </c>
      <c r="S12" s="5" t="s">
        <v>7863</v>
      </c>
      <c r="V12" t="s">
        <v>7856</v>
      </c>
      <c r="W12" t="s">
        <v>7857</v>
      </c>
      <c r="X12" t="s">
        <v>7840</v>
      </c>
      <c r="Y12">
        <v>2245.886</v>
      </c>
      <c r="Z12" t="s">
        <v>7860</v>
      </c>
      <c r="AA12">
        <v>22.239</v>
      </c>
      <c r="AB12">
        <v>0.23</v>
      </c>
      <c r="AC12" s="6" t="s">
        <v>7856</v>
      </c>
      <c r="AD12" s="7">
        <v>23</v>
      </c>
      <c r="AF12" s="6" t="s">
        <v>7864</v>
      </c>
      <c r="AG12" s="7">
        <v>32</v>
      </c>
      <c r="AH12" s="8">
        <f t="shared" si="0"/>
        <v>0.0338624338624339</v>
      </c>
    </row>
    <row r="13" ht="15.5" customHeight="1" spans="1:34">
      <c r="A13" t="s">
        <v>195</v>
      </c>
      <c r="B13" t="s">
        <v>196</v>
      </c>
      <c r="C13" t="s">
        <v>197</v>
      </c>
      <c r="D13" t="s">
        <v>7856</v>
      </c>
      <c r="E13" t="s">
        <v>7857</v>
      </c>
      <c r="F13" t="s">
        <v>7840</v>
      </c>
      <c r="G13" t="s">
        <v>7854</v>
      </c>
      <c r="H13" t="s">
        <v>9</v>
      </c>
      <c r="I13">
        <v>14172.021</v>
      </c>
      <c r="J13">
        <v>17.591</v>
      </c>
      <c r="K13">
        <v>0.45</v>
      </c>
      <c r="M13" t="s">
        <v>7854</v>
      </c>
      <c r="N13">
        <v>4313.671</v>
      </c>
      <c r="P13" s="6" t="s">
        <v>7865</v>
      </c>
      <c r="Q13" s="7">
        <v>7923.753</v>
      </c>
      <c r="S13" s="15" t="s">
        <v>7866</v>
      </c>
      <c r="T13" s="15" t="s">
        <v>7867</v>
      </c>
      <c r="U13" s="5" t="s">
        <v>19</v>
      </c>
      <c r="V13" t="s">
        <v>7856</v>
      </c>
      <c r="W13" t="s">
        <v>7857</v>
      </c>
      <c r="X13" t="s">
        <v>7840</v>
      </c>
      <c r="Y13">
        <v>14172.021</v>
      </c>
      <c r="Z13" t="s">
        <v>7854</v>
      </c>
      <c r="AA13">
        <v>17.591</v>
      </c>
      <c r="AB13">
        <v>0.45</v>
      </c>
      <c r="AC13" s="6" t="s">
        <v>7862</v>
      </c>
      <c r="AD13" s="7">
        <v>158</v>
      </c>
      <c r="AG13">
        <f>SUM(AG3:AG12)</f>
        <v>945</v>
      </c>
      <c r="AH13">
        <f t="shared" si="0"/>
        <v>1</v>
      </c>
    </row>
    <row r="14" spans="1:34">
      <c r="A14" t="s">
        <v>419</v>
      </c>
      <c r="B14" t="s">
        <v>420</v>
      </c>
      <c r="C14" t="s">
        <v>421</v>
      </c>
      <c r="D14" t="s">
        <v>7856</v>
      </c>
      <c r="E14" t="s">
        <v>7857</v>
      </c>
      <c r="F14" t="s">
        <v>7840</v>
      </c>
      <c r="G14" t="s">
        <v>7868</v>
      </c>
      <c r="H14" t="s">
        <v>9</v>
      </c>
      <c r="I14">
        <v>74.379</v>
      </c>
      <c r="J14">
        <v>41.298</v>
      </c>
      <c r="K14">
        <v>0.47</v>
      </c>
      <c r="M14" t="s">
        <v>7858</v>
      </c>
      <c r="N14">
        <v>2089.85</v>
      </c>
      <c r="P14" s="6" t="s">
        <v>7869</v>
      </c>
      <c r="Q14" s="7">
        <v>1.964</v>
      </c>
      <c r="S14" s="16" t="s">
        <v>7870</v>
      </c>
      <c r="T14" s="16">
        <v>854601.39</v>
      </c>
      <c r="U14" s="8">
        <f>T14/GETPIVOTDATA("总资产(百万)
",$P$12)</f>
        <v>0.37272832443432</v>
      </c>
      <c r="V14" t="s">
        <v>7856</v>
      </c>
      <c r="W14" t="s">
        <v>7857</v>
      </c>
      <c r="X14" t="s">
        <v>7840</v>
      </c>
      <c r="Y14">
        <v>74.379</v>
      </c>
      <c r="Z14" t="s">
        <v>7868</v>
      </c>
      <c r="AA14">
        <v>41.298</v>
      </c>
      <c r="AB14">
        <v>0.47</v>
      </c>
      <c r="AC14" s="6" t="s">
        <v>7864</v>
      </c>
      <c r="AD14" s="7">
        <v>32</v>
      </c>
    </row>
    <row r="15" spans="1:34">
      <c r="A15" t="s">
        <v>255</v>
      </c>
      <c r="B15" t="s">
        <v>256</v>
      </c>
      <c r="C15" t="s">
        <v>257</v>
      </c>
      <c r="D15" t="s">
        <v>7856</v>
      </c>
      <c r="E15" t="s">
        <v>7857</v>
      </c>
      <c r="F15" t="s">
        <v>7840</v>
      </c>
      <c r="G15" t="s">
        <v>7871</v>
      </c>
      <c r="H15" t="s">
        <v>9</v>
      </c>
      <c r="I15">
        <v>2116.797</v>
      </c>
      <c r="J15">
        <v>16.463</v>
      </c>
      <c r="K15">
        <v>0.8</v>
      </c>
      <c r="M15" t="s">
        <v>7860</v>
      </c>
      <c r="N15">
        <v>134.356</v>
      </c>
      <c r="P15" s="6" t="s">
        <v>7872</v>
      </c>
      <c r="Q15" s="7">
        <v>29.747</v>
      </c>
      <c r="S15" s="16" t="s">
        <v>7873</v>
      </c>
      <c r="T15" s="16">
        <v>594834.18</v>
      </c>
      <c r="U15" s="8">
        <f>T15/GETPIVOTDATA("总资产(百万)
",$P$12)</f>
        <v>0.259432701399728</v>
      </c>
      <c r="V15" t="s">
        <v>7856</v>
      </c>
      <c r="W15" t="s">
        <v>7857</v>
      </c>
      <c r="X15" t="s">
        <v>7840</v>
      </c>
      <c r="Y15">
        <v>2116.797</v>
      </c>
      <c r="Z15" t="s">
        <v>7871</v>
      </c>
      <c r="AA15">
        <v>16.463</v>
      </c>
      <c r="AB15">
        <v>0.8</v>
      </c>
      <c r="AC15" s="6" t="s">
        <v>162</v>
      </c>
      <c r="AD15" s="7">
        <v>947</v>
      </c>
    </row>
    <row r="16" spans="1:34">
      <c r="A16" t="s">
        <v>228</v>
      </c>
      <c r="B16" t="s">
        <v>229</v>
      </c>
      <c r="C16" t="s">
        <v>230</v>
      </c>
      <c r="D16" t="s">
        <v>7847</v>
      </c>
      <c r="E16" t="s">
        <v>7839</v>
      </c>
      <c r="F16" t="s">
        <v>7840</v>
      </c>
      <c r="G16" t="s">
        <v>7874</v>
      </c>
      <c r="H16" t="s">
        <v>9</v>
      </c>
      <c r="I16">
        <v>22.308</v>
      </c>
      <c r="J16">
        <v>98.662</v>
      </c>
      <c r="K16">
        <v>0.49</v>
      </c>
      <c r="M16" t="s">
        <v>7861</v>
      </c>
      <c r="N16">
        <v>8.513</v>
      </c>
      <c r="P16" s="6" t="s">
        <v>7875</v>
      </c>
      <c r="Q16" s="7">
        <v>15.829</v>
      </c>
      <c r="S16" s="16" t="s">
        <v>7876</v>
      </c>
      <c r="T16" s="16">
        <v>173964.14</v>
      </c>
      <c r="U16" s="8">
        <f t="shared" ref="U16:U24" si="1">T16/GETPIVOTDATA("总资产(百万)
",$P$12)</f>
        <v>0.0758732236719829</v>
      </c>
      <c r="V16" t="s">
        <v>7847</v>
      </c>
      <c r="W16" t="s">
        <v>7839</v>
      </c>
      <c r="X16" t="s">
        <v>7840</v>
      </c>
      <c r="Y16">
        <v>22.308</v>
      </c>
      <c r="Z16" t="s">
        <v>7874</v>
      </c>
      <c r="AA16">
        <v>98.662</v>
      </c>
      <c r="AB16">
        <v>0.49</v>
      </c>
    </row>
    <row r="17" spans="1:34">
      <c r="A17" t="s">
        <v>677</v>
      </c>
      <c r="B17" t="s">
        <v>678</v>
      </c>
      <c r="C17" t="s">
        <v>679</v>
      </c>
      <c r="D17" t="s">
        <v>7844</v>
      </c>
      <c r="E17" t="s">
        <v>7839</v>
      </c>
      <c r="F17" t="s">
        <v>7840</v>
      </c>
      <c r="G17" t="s">
        <v>7877</v>
      </c>
      <c r="H17" t="s">
        <v>9</v>
      </c>
      <c r="I17">
        <v>537.714</v>
      </c>
      <c r="J17">
        <v>5.121</v>
      </c>
      <c r="K17">
        <v>0.23</v>
      </c>
      <c r="M17" t="s">
        <v>7860</v>
      </c>
      <c r="N17">
        <v>2245.886</v>
      </c>
      <c r="P17" s="6" t="s">
        <v>7878</v>
      </c>
      <c r="Q17" s="7">
        <v>296.534</v>
      </c>
      <c r="S17" s="16" t="s">
        <v>7879</v>
      </c>
      <c r="T17" s="16">
        <v>90830.55</v>
      </c>
      <c r="U17" s="8">
        <f t="shared" si="1"/>
        <v>0.0396150990451206</v>
      </c>
      <c r="V17" t="s">
        <v>7844</v>
      </c>
      <c r="W17" t="s">
        <v>7839</v>
      </c>
      <c r="X17" t="s">
        <v>7840</v>
      </c>
      <c r="Y17">
        <v>537.714</v>
      </c>
      <c r="Z17" t="s">
        <v>7877</v>
      </c>
      <c r="AA17">
        <v>5.121</v>
      </c>
      <c r="AB17">
        <v>0.23</v>
      </c>
    </row>
    <row r="18" spans="1:34">
      <c r="A18" t="s">
        <v>83</v>
      </c>
      <c r="B18" t="s">
        <v>84</v>
      </c>
      <c r="C18" t="s">
        <v>85</v>
      </c>
      <c r="D18" t="s">
        <v>7855</v>
      </c>
      <c r="E18" t="s">
        <v>7839</v>
      </c>
      <c r="F18" t="s">
        <v>7840</v>
      </c>
      <c r="G18" t="s">
        <v>7852</v>
      </c>
      <c r="H18" t="s">
        <v>9</v>
      </c>
      <c r="I18">
        <v>354.475</v>
      </c>
      <c r="J18">
        <v>13.579</v>
      </c>
      <c r="K18">
        <v>0.5</v>
      </c>
      <c r="M18" t="s">
        <v>7854</v>
      </c>
      <c r="N18">
        <v>14172.021</v>
      </c>
      <c r="P18" s="6" t="s">
        <v>7880</v>
      </c>
      <c r="Q18" s="7">
        <v>752.789</v>
      </c>
      <c r="S18" s="16" t="s">
        <v>7881</v>
      </c>
      <c r="T18" s="16">
        <v>72274.49</v>
      </c>
      <c r="U18" s="8">
        <f t="shared" si="1"/>
        <v>0.0315220053141325</v>
      </c>
      <c r="V18" t="s">
        <v>7855</v>
      </c>
      <c r="W18" t="s">
        <v>7839</v>
      </c>
      <c r="X18" t="s">
        <v>7840</v>
      </c>
      <c r="Y18">
        <v>354.475</v>
      </c>
      <c r="Z18" t="s">
        <v>7852</v>
      </c>
      <c r="AA18">
        <v>13.579</v>
      </c>
      <c r="AB18">
        <v>0.5</v>
      </c>
    </row>
    <row r="19" spans="1:34">
      <c r="A19" t="s">
        <v>219</v>
      </c>
      <c r="B19" t="s">
        <v>220</v>
      </c>
      <c r="C19" t="s">
        <v>221</v>
      </c>
      <c r="D19" t="s">
        <v>7844</v>
      </c>
      <c r="E19" t="s">
        <v>7839</v>
      </c>
      <c r="F19" t="s">
        <v>7840</v>
      </c>
      <c r="G19" t="s">
        <v>7882</v>
      </c>
      <c r="H19" t="s">
        <v>9</v>
      </c>
      <c r="I19">
        <v>18.093</v>
      </c>
      <c r="J19">
        <v>99.631</v>
      </c>
      <c r="K19">
        <v>0.75</v>
      </c>
      <c r="M19" t="s">
        <v>7868</v>
      </c>
      <c r="N19">
        <v>74.379</v>
      </c>
      <c r="P19" s="6" t="s">
        <v>7883</v>
      </c>
      <c r="Q19" s="7">
        <v>2513.756</v>
      </c>
      <c r="S19" s="16" t="s">
        <v>7884</v>
      </c>
      <c r="T19" s="16">
        <v>59273.37</v>
      </c>
      <c r="U19" s="8">
        <f t="shared" si="1"/>
        <v>0.0258516591971323</v>
      </c>
      <c r="V19" t="s">
        <v>7844</v>
      </c>
      <c r="W19" t="s">
        <v>7839</v>
      </c>
      <c r="X19" t="s">
        <v>7840</v>
      </c>
      <c r="Y19">
        <v>18.093</v>
      </c>
      <c r="Z19" t="s">
        <v>7882</v>
      </c>
      <c r="AA19">
        <v>99.631</v>
      </c>
      <c r="AB19">
        <v>0.75</v>
      </c>
    </row>
    <row r="20" spans="1:34">
      <c r="A20" t="s">
        <v>315</v>
      </c>
      <c r="B20" t="s">
        <v>316</v>
      </c>
      <c r="C20" t="s">
        <v>317</v>
      </c>
      <c r="D20" t="s">
        <v>7855</v>
      </c>
      <c r="E20" t="s">
        <v>7839</v>
      </c>
      <c r="F20" t="s">
        <v>7840</v>
      </c>
      <c r="G20" t="s">
        <v>7885</v>
      </c>
      <c r="H20" t="s">
        <v>9</v>
      </c>
      <c r="I20">
        <v>91.788</v>
      </c>
      <c r="J20">
        <v>51.616</v>
      </c>
      <c r="K20">
        <v>0.2</v>
      </c>
      <c r="M20" t="s">
        <v>7871</v>
      </c>
      <c r="N20">
        <v>2116.797</v>
      </c>
      <c r="P20" s="6" t="s">
        <v>7886</v>
      </c>
      <c r="Q20" s="7">
        <v>10.4</v>
      </c>
      <c r="S20" s="16" t="s">
        <v>7887</v>
      </c>
      <c r="T20" s="16">
        <v>46640.88</v>
      </c>
      <c r="U20" s="8">
        <f t="shared" si="1"/>
        <v>0.0203420884355713</v>
      </c>
      <c r="V20" t="s">
        <v>7855</v>
      </c>
      <c r="W20" t="s">
        <v>7839</v>
      </c>
      <c r="X20" t="s">
        <v>7840</v>
      </c>
      <c r="Y20">
        <v>91.788</v>
      </c>
      <c r="Z20" t="s">
        <v>7885</v>
      </c>
      <c r="AA20">
        <v>51.616</v>
      </c>
      <c r="AB20">
        <v>0.2</v>
      </c>
    </row>
    <row r="21" spans="1:34">
      <c r="A21" t="s">
        <v>2576</v>
      </c>
      <c r="B21" t="s">
        <v>2577</v>
      </c>
      <c r="C21" t="s">
        <v>2578</v>
      </c>
      <c r="D21" t="s">
        <v>7862</v>
      </c>
      <c r="E21" t="s">
        <v>7848</v>
      </c>
      <c r="F21" t="s">
        <v>7888</v>
      </c>
      <c r="G21" t="s">
        <v>7889</v>
      </c>
      <c r="H21" t="s">
        <v>9</v>
      </c>
      <c r="I21">
        <v>3859.809</v>
      </c>
      <c r="J21">
        <v>29.927</v>
      </c>
      <c r="K21">
        <v>0.75</v>
      </c>
      <c r="M21" t="s">
        <v>7874</v>
      </c>
      <c r="N21">
        <v>22.308</v>
      </c>
      <c r="P21" s="6" t="s">
        <v>7890</v>
      </c>
      <c r="Q21" s="7">
        <v>4131.995</v>
      </c>
      <c r="S21" s="16" t="s">
        <v>7891</v>
      </c>
      <c r="T21" s="16">
        <v>38166.48</v>
      </c>
      <c r="U21" s="8">
        <f t="shared" si="1"/>
        <v>0.0166460390849072</v>
      </c>
      <c r="V21" t="s">
        <v>7862</v>
      </c>
      <c r="W21" t="s">
        <v>7848</v>
      </c>
      <c r="X21" t="s">
        <v>7888</v>
      </c>
      <c r="Y21">
        <v>3859.809</v>
      </c>
      <c r="Z21" t="s">
        <v>7889</v>
      </c>
      <c r="AA21">
        <v>29.927</v>
      </c>
      <c r="AB21">
        <v>0.75</v>
      </c>
    </row>
    <row r="22" spans="1:34">
      <c r="A22" t="s">
        <v>3743</v>
      </c>
      <c r="B22" t="s">
        <v>3744</v>
      </c>
      <c r="C22" t="s">
        <v>3745</v>
      </c>
      <c r="D22" t="s">
        <v>7862</v>
      </c>
      <c r="E22" t="s">
        <v>7839</v>
      </c>
      <c r="F22" t="s">
        <v>7840</v>
      </c>
      <c r="G22" t="s">
        <v>7892</v>
      </c>
      <c r="H22" t="s">
        <v>9</v>
      </c>
      <c r="I22">
        <v>29.226</v>
      </c>
      <c r="J22">
        <v>103.52</v>
      </c>
      <c r="K22">
        <v>0.75</v>
      </c>
      <c r="M22" t="s">
        <v>7877</v>
      </c>
      <c r="N22">
        <v>537.714</v>
      </c>
      <c r="P22" s="6" t="s">
        <v>7893</v>
      </c>
      <c r="Q22" s="7">
        <v>12.032</v>
      </c>
      <c r="S22" s="16" t="s">
        <v>7894</v>
      </c>
      <c r="T22" s="16">
        <v>35834.16</v>
      </c>
      <c r="U22" s="8">
        <f t="shared" si="1"/>
        <v>0.0156288142876895</v>
      </c>
      <c r="V22" t="s">
        <v>7862</v>
      </c>
      <c r="W22" t="s">
        <v>7839</v>
      </c>
      <c r="X22" t="s">
        <v>7840</v>
      </c>
      <c r="Y22">
        <v>29.226</v>
      </c>
      <c r="Z22" t="s">
        <v>7892</v>
      </c>
      <c r="AA22">
        <v>103.52</v>
      </c>
      <c r="AB22">
        <v>0.75</v>
      </c>
    </row>
    <row r="23" spans="1:34">
      <c r="A23" t="s">
        <v>213</v>
      </c>
      <c r="B23" t="s">
        <v>214</v>
      </c>
      <c r="C23" t="s">
        <v>215</v>
      </c>
      <c r="D23" t="s">
        <v>7856</v>
      </c>
      <c r="E23" t="s">
        <v>7857</v>
      </c>
      <c r="F23" t="s">
        <v>7840</v>
      </c>
      <c r="G23" t="s">
        <v>7852</v>
      </c>
      <c r="H23" t="s">
        <v>9</v>
      </c>
      <c r="I23">
        <v>775.076</v>
      </c>
      <c r="J23">
        <v>16.34</v>
      </c>
      <c r="K23">
        <v>0.45</v>
      </c>
      <c r="M23" t="s">
        <v>7852</v>
      </c>
      <c r="N23">
        <v>354.475</v>
      </c>
      <c r="P23" s="6" t="s">
        <v>7895</v>
      </c>
      <c r="Q23" s="7">
        <v>400.532</v>
      </c>
      <c r="S23" s="16" t="s">
        <v>7896</v>
      </c>
      <c r="T23" s="16">
        <v>31134.94</v>
      </c>
      <c r="U23" s="8">
        <f t="shared" si="1"/>
        <v>0.01357928287194</v>
      </c>
      <c r="V23" t="s">
        <v>7856</v>
      </c>
      <c r="W23" t="s">
        <v>7857</v>
      </c>
      <c r="X23" t="s">
        <v>7840</v>
      </c>
      <c r="Y23">
        <v>775.076</v>
      </c>
      <c r="Z23" t="s">
        <v>7852</v>
      </c>
      <c r="AA23">
        <v>16.34</v>
      </c>
      <c r="AB23">
        <v>0.45</v>
      </c>
      <c r="AC23" t="s">
        <v>15</v>
      </c>
      <c r="AD23" t="s">
        <v>7897</v>
      </c>
    </row>
    <row r="24" ht="16" customHeight="1" spans="1:34">
      <c r="A24" t="s">
        <v>659</v>
      </c>
      <c r="B24" t="s">
        <v>660</v>
      </c>
      <c r="C24" t="s">
        <v>661</v>
      </c>
      <c r="D24" t="s">
        <v>7838</v>
      </c>
      <c r="E24" t="s">
        <v>7839</v>
      </c>
      <c r="F24" t="s">
        <v>7840</v>
      </c>
      <c r="G24" t="s">
        <v>7898</v>
      </c>
      <c r="H24" t="s">
        <v>9</v>
      </c>
      <c r="I24">
        <v>28.404</v>
      </c>
      <c r="J24">
        <v>27.845</v>
      </c>
      <c r="K24">
        <v>0.8</v>
      </c>
      <c r="M24" t="s">
        <v>7882</v>
      </c>
      <c r="N24">
        <v>18.093</v>
      </c>
      <c r="P24" s="6" t="s">
        <v>7899</v>
      </c>
      <c r="Q24" s="7">
        <v>2300.786</v>
      </c>
      <c r="S24" s="16" t="s">
        <v>7900</v>
      </c>
      <c r="T24" s="16">
        <v>25201.85</v>
      </c>
      <c r="U24" s="8">
        <f t="shared" si="1"/>
        <v>0.0109916078221509</v>
      </c>
      <c r="V24" t="s">
        <v>7838</v>
      </c>
      <c r="W24" t="s">
        <v>7839</v>
      </c>
      <c r="X24" t="s">
        <v>7840</v>
      </c>
      <c r="Y24">
        <v>28.404</v>
      </c>
      <c r="Z24" t="s">
        <v>7898</v>
      </c>
      <c r="AA24">
        <v>27.845</v>
      </c>
      <c r="AB24">
        <v>0.8</v>
      </c>
      <c r="AC24" s="6" t="s">
        <v>7840</v>
      </c>
      <c r="AD24" s="7">
        <v>18</v>
      </c>
    </row>
    <row r="25" spans="1:34">
      <c r="A25" t="s">
        <v>499</v>
      </c>
      <c r="B25" t="s">
        <v>500</v>
      </c>
      <c r="C25" t="s">
        <v>501</v>
      </c>
      <c r="D25" t="s">
        <v>7862</v>
      </c>
      <c r="E25" t="s">
        <v>7839</v>
      </c>
      <c r="F25" t="s">
        <v>7840</v>
      </c>
      <c r="G25" t="s">
        <v>7892</v>
      </c>
      <c r="H25" t="s">
        <v>9</v>
      </c>
      <c r="I25">
        <v>74.208</v>
      </c>
      <c r="J25">
        <v>101.915</v>
      </c>
      <c r="K25">
        <v>0.75</v>
      </c>
      <c r="M25" t="s">
        <v>7885</v>
      </c>
      <c r="N25">
        <v>91.788</v>
      </c>
      <c r="P25" s="6" t="s">
        <v>7901</v>
      </c>
      <c r="Q25" s="7">
        <v>51.1</v>
      </c>
      <c r="S25" s="16" t="s">
        <v>7902</v>
      </c>
      <c r="T25" s="16">
        <v>25182.05</v>
      </c>
      <c r="V25" t="s">
        <v>7862</v>
      </c>
      <c r="W25" t="s">
        <v>7839</v>
      </c>
      <c r="X25" t="s">
        <v>7840</v>
      </c>
      <c r="Y25">
        <v>74.208</v>
      </c>
      <c r="Z25" t="s">
        <v>7892</v>
      </c>
      <c r="AA25">
        <v>101.915</v>
      </c>
      <c r="AB25">
        <v>0.75</v>
      </c>
      <c r="AC25" s="6" t="s">
        <v>7857</v>
      </c>
      <c r="AD25" s="7">
        <v>10</v>
      </c>
      <c r="AF25" s="6" t="s">
        <v>7857</v>
      </c>
      <c r="AG25" s="7">
        <v>10</v>
      </c>
      <c r="AH25" s="8">
        <f>AG25/$AG$28</f>
        <v>0.0107642626480086</v>
      </c>
    </row>
    <row r="26" spans="1:34">
      <c r="A26" t="s">
        <v>267</v>
      </c>
      <c r="B26" t="s">
        <v>268</v>
      </c>
      <c r="C26" t="s">
        <v>269</v>
      </c>
      <c r="D26" t="s">
        <v>7856</v>
      </c>
      <c r="E26" t="s">
        <v>7857</v>
      </c>
      <c r="F26" t="s">
        <v>7840</v>
      </c>
      <c r="G26" t="s">
        <v>7860</v>
      </c>
      <c r="H26" t="s">
        <v>9</v>
      </c>
      <c r="I26">
        <v>297.094</v>
      </c>
      <c r="J26">
        <v>30.941</v>
      </c>
      <c r="K26">
        <v>0.25</v>
      </c>
      <c r="M26" t="s">
        <v>7889</v>
      </c>
      <c r="N26">
        <v>3859.809</v>
      </c>
      <c r="P26" s="6" t="s">
        <v>7903</v>
      </c>
      <c r="Q26" s="7">
        <v>193.209</v>
      </c>
      <c r="S26" s="16" t="s">
        <v>7904</v>
      </c>
      <c r="T26" s="16">
        <v>22821.15</v>
      </c>
      <c r="V26" t="s">
        <v>7856</v>
      </c>
      <c r="W26" t="s">
        <v>7857</v>
      </c>
      <c r="X26" t="s">
        <v>7840</v>
      </c>
      <c r="Y26">
        <v>297.094</v>
      </c>
      <c r="Z26" t="s">
        <v>7860</v>
      </c>
      <c r="AA26">
        <v>30.941</v>
      </c>
      <c r="AB26">
        <v>0.25</v>
      </c>
      <c r="AC26" s="6" t="s">
        <v>7839</v>
      </c>
      <c r="AD26" s="7">
        <v>879</v>
      </c>
      <c r="AF26" s="6" t="s">
        <v>7839</v>
      </c>
      <c r="AG26" s="7">
        <v>879</v>
      </c>
      <c r="AH26" s="8">
        <f t="shared" ref="AH26:AH27" si="2">AG26/$AG$28</f>
        <v>0.946178686759957</v>
      </c>
    </row>
    <row r="27" spans="1:34">
      <c r="A27" t="s">
        <v>710</v>
      </c>
      <c r="B27" t="s">
        <v>711</v>
      </c>
      <c r="C27" t="s">
        <v>712</v>
      </c>
      <c r="D27" t="s">
        <v>7844</v>
      </c>
      <c r="E27" t="s">
        <v>7839</v>
      </c>
      <c r="F27" t="s">
        <v>7840</v>
      </c>
      <c r="G27" t="s">
        <v>7858</v>
      </c>
      <c r="H27" t="s">
        <v>9</v>
      </c>
      <c r="I27">
        <v>203.482</v>
      </c>
      <c r="J27">
        <v>51.481</v>
      </c>
      <c r="K27">
        <v>0.4</v>
      </c>
      <c r="M27" t="s">
        <v>7892</v>
      </c>
      <c r="N27">
        <v>29.226</v>
      </c>
      <c r="P27" s="6" t="s">
        <v>7905</v>
      </c>
      <c r="Q27" s="7">
        <v>21157.317</v>
      </c>
      <c r="S27" s="16" t="s">
        <v>7906</v>
      </c>
      <c r="T27" s="16">
        <v>22131.16</v>
      </c>
      <c r="V27" t="s">
        <v>7844</v>
      </c>
      <c r="W27" t="s">
        <v>7839</v>
      </c>
      <c r="X27" t="s">
        <v>7840</v>
      </c>
      <c r="Y27">
        <v>203.482</v>
      </c>
      <c r="Z27" t="s">
        <v>7858</v>
      </c>
      <c r="AA27">
        <v>51.481</v>
      </c>
      <c r="AB27">
        <v>0.4</v>
      </c>
      <c r="AC27" s="6" t="s">
        <v>7848</v>
      </c>
      <c r="AD27" s="7">
        <v>40</v>
      </c>
      <c r="AF27" s="6" t="s">
        <v>7848</v>
      </c>
      <c r="AG27" s="7">
        <v>40</v>
      </c>
      <c r="AH27" s="8">
        <f t="shared" si="2"/>
        <v>0.0430570505920344</v>
      </c>
    </row>
    <row r="28" spans="1:34">
      <c r="A28" t="s">
        <v>2715</v>
      </c>
      <c r="B28" t="s">
        <v>2716</v>
      </c>
      <c r="C28" t="s">
        <v>2717</v>
      </c>
      <c r="D28" t="s">
        <v>7850</v>
      </c>
      <c r="E28" t="s">
        <v>7839</v>
      </c>
      <c r="F28" t="s">
        <v>7840</v>
      </c>
      <c r="G28" t="s">
        <v>7907</v>
      </c>
      <c r="H28" t="s">
        <v>9</v>
      </c>
      <c r="I28">
        <v>48.083</v>
      </c>
      <c r="J28">
        <v>100</v>
      </c>
      <c r="K28">
        <v>0.3</v>
      </c>
      <c r="M28" t="s">
        <v>7852</v>
      </c>
      <c r="N28">
        <v>775.076</v>
      </c>
      <c r="P28" s="6" t="s">
        <v>7908</v>
      </c>
      <c r="Q28" s="7">
        <v>4535.944</v>
      </c>
      <c r="S28" s="16" t="s">
        <v>7909</v>
      </c>
      <c r="T28" s="16">
        <v>21350.53</v>
      </c>
      <c r="V28" t="s">
        <v>7850</v>
      </c>
      <c r="W28" t="s">
        <v>7839</v>
      </c>
      <c r="X28" t="s">
        <v>7840</v>
      </c>
      <c r="Y28">
        <v>48.083</v>
      </c>
      <c r="Z28" t="s">
        <v>7907</v>
      </c>
      <c r="AA28">
        <v>100</v>
      </c>
      <c r="AB28">
        <v>0.3</v>
      </c>
      <c r="AC28" s="6" t="s">
        <v>162</v>
      </c>
      <c r="AD28" s="7">
        <v>947</v>
      </c>
      <c r="AG28" s="7">
        <v>929</v>
      </c>
    </row>
    <row r="29" spans="1:34">
      <c r="A29" t="s">
        <v>6560</v>
      </c>
      <c r="B29" t="s">
        <v>6561</v>
      </c>
      <c r="C29" t="s">
        <v>6562</v>
      </c>
      <c r="D29" t="s">
        <v>7862</v>
      </c>
      <c r="E29" t="s">
        <v>7839</v>
      </c>
      <c r="F29" t="s">
        <v>7888</v>
      </c>
      <c r="G29" t="s">
        <v>7910</v>
      </c>
      <c r="H29" t="s">
        <v>9</v>
      </c>
      <c r="I29">
        <v>5.352</v>
      </c>
      <c r="J29">
        <v>81.202</v>
      </c>
      <c r="K29">
        <v>0.99</v>
      </c>
      <c r="M29" t="s">
        <v>7898</v>
      </c>
      <c r="N29">
        <v>28.404</v>
      </c>
      <c r="P29" s="6" t="s">
        <v>7911</v>
      </c>
      <c r="Q29" s="7">
        <v>3085.171</v>
      </c>
      <c r="S29" s="16" t="s">
        <v>7912</v>
      </c>
      <c r="T29" s="16">
        <v>19792.27</v>
      </c>
      <c r="V29" t="s">
        <v>7862</v>
      </c>
      <c r="W29" t="s">
        <v>7839</v>
      </c>
      <c r="X29" t="s">
        <v>7888</v>
      </c>
      <c r="Y29">
        <v>5.352</v>
      </c>
      <c r="Z29" t="s">
        <v>7910</v>
      </c>
      <c r="AA29">
        <v>81.202</v>
      </c>
      <c r="AB29">
        <v>0.99</v>
      </c>
    </row>
    <row r="30" spans="1:34">
      <c r="A30" t="s">
        <v>189</v>
      </c>
      <c r="B30" t="s">
        <v>190</v>
      </c>
      <c r="C30" t="s">
        <v>191</v>
      </c>
      <c r="D30" t="s">
        <v>7847</v>
      </c>
      <c r="E30" t="s">
        <v>7839</v>
      </c>
      <c r="F30" t="s">
        <v>7888</v>
      </c>
      <c r="G30" t="s">
        <v>7913</v>
      </c>
      <c r="H30" t="s">
        <v>9</v>
      </c>
      <c r="I30">
        <v>16.818</v>
      </c>
      <c r="J30">
        <v>16.288</v>
      </c>
      <c r="K30">
        <v>0.55</v>
      </c>
      <c r="M30" t="s">
        <v>7892</v>
      </c>
      <c r="N30">
        <v>74.208</v>
      </c>
      <c r="P30" s="6" t="s">
        <v>7914</v>
      </c>
      <c r="Q30" s="7">
        <v>7231.457</v>
      </c>
      <c r="S30" s="16" t="s">
        <v>7915</v>
      </c>
      <c r="T30" s="16">
        <v>11964.58</v>
      </c>
      <c r="V30" t="s">
        <v>7847</v>
      </c>
      <c r="W30" t="s">
        <v>7839</v>
      </c>
      <c r="X30" t="s">
        <v>7888</v>
      </c>
      <c r="Y30">
        <v>16.818</v>
      </c>
      <c r="Z30" t="s">
        <v>7913</v>
      </c>
      <c r="AA30">
        <v>16.288</v>
      </c>
      <c r="AB30">
        <v>0.55</v>
      </c>
    </row>
    <row r="31" spans="1:34">
      <c r="A31" t="s">
        <v>511</v>
      </c>
      <c r="B31" t="s">
        <v>512</v>
      </c>
      <c r="C31" t="s">
        <v>513</v>
      </c>
      <c r="D31" t="s">
        <v>7844</v>
      </c>
      <c r="E31" t="s">
        <v>7839</v>
      </c>
      <c r="F31" t="s">
        <v>7840</v>
      </c>
      <c r="G31" t="s">
        <v>7916</v>
      </c>
      <c r="H31" t="s">
        <v>9</v>
      </c>
      <c r="I31">
        <v>5.143</v>
      </c>
      <c r="J31">
        <v>88.477</v>
      </c>
      <c r="K31">
        <v>0.65</v>
      </c>
      <c r="M31" t="s">
        <v>7860</v>
      </c>
      <c r="N31">
        <v>297.094</v>
      </c>
      <c r="P31" s="6" t="s">
        <v>7917</v>
      </c>
      <c r="Q31" s="7">
        <v>12.078</v>
      </c>
      <c r="S31" s="16" t="s">
        <v>7918</v>
      </c>
      <c r="T31" s="16">
        <v>10427.41</v>
      </c>
      <c r="V31" t="s">
        <v>7844</v>
      </c>
      <c r="W31" t="s">
        <v>7839</v>
      </c>
      <c r="X31" t="s">
        <v>7840</v>
      </c>
      <c r="Y31">
        <v>5.143</v>
      </c>
      <c r="Z31" t="s">
        <v>7916</v>
      </c>
      <c r="AA31">
        <v>88.477</v>
      </c>
      <c r="AB31">
        <v>0.65</v>
      </c>
    </row>
    <row r="32" spans="1:34">
      <c r="A32" t="s">
        <v>505</v>
      </c>
      <c r="B32" t="s">
        <v>506</v>
      </c>
      <c r="C32" t="s">
        <v>507</v>
      </c>
      <c r="D32" t="s">
        <v>7844</v>
      </c>
      <c r="E32" t="s">
        <v>7839</v>
      </c>
      <c r="F32" t="s">
        <v>7840</v>
      </c>
      <c r="G32" t="s">
        <v>7919</v>
      </c>
      <c r="H32" t="s">
        <v>9</v>
      </c>
      <c r="I32">
        <v>34.138</v>
      </c>
      <c r="J32">
        <v>99.755</v>
      </c>
      <c r="K32">
        <v>0.75</v>
      </c>
      <c r="M32" t="s">
        <v>7858</v>
      </c>
      <c r="N32">
        <v>203.482</v>
      </c>
      <c r="P32" s="6" t="s">
        <v>7842</v>
      </c>
      <c r="Q32" s="7">
        <v>51.651</v>
      </c>
      <c r="S32" s="16" t="s">
        <v>7920</v>
      </c>
      <c r="T32" s="16">
        <v>9016.81</v>
      </c>
      <c r="V32" t="s">
        <v>7844</v>
      </c>
      <c r="W32" t="s">
        <v>7839</v>
      </c>
      <c r="X32" t="s">
        <v>7840</v>
      </c>
      <c r="Y32">
        <v>34.138</v>
      </c>
      <c r="Z32" t="s">
        <v>7919</v>
      </c>
      <c r="AA32">
        <v>99.755</v>
      </c>
      <c r="AB32">
        <v>0.75</v>
      </c>
    </row>
    <row r="33" spans="1:34">
      <c r="A33" t="s">
        <v>1682</v>
      </c>
      <c r="B33" t="s">
        <v>1683</v>
      </c>
      <c r="C33" t="s">
        <v>1684</v>
      </c>
      <c r="D33" t="s">
        <v>7844</v>
      </c>
      <c r="E33" t="s">
        <v>7839</v>
      </c>
      <c r="F33" t="s">
        <v>7840</v>
      </c>
      <c r="G33" t="s">
        <v>7907</v>
      </c>
      <c r="H33" t="s">
        <v>9</v>
      </c>
      <c r="I33">
        <v>135.42</v>
      </c>
      <c r="J33">
        <v>12.365</v>
      </c>
      <c r="K33">
        <v>0.15</v>
      </c>
      <c r="M33" t="s">
        <v>7907</v>
      </c>
      <c r="N33">
        <v>48.083</v>
      </c>
      <c r="P33" s="6" t="s">
        <v>7874</v>
      </c>
      <c r="Q33" s="7">
        <v>202.57</v>
      </c>
      <c r="S33" s="16" t="s">
        <v>7921</v>
      </c>
      <c r="T33" s="16">
        <v>8767.96</v>
      </c>
      <c r="V33" t="s">
        <v>7844</v>
      </c>
      <c r="W33" t="s">
        <v>7839</v>
      </c>
      <c r="X33" t="s">
        <v>7840</v>
      </c>
      <c r="Y33">
        <v>135.42</v>
      </c>
      <c r="Z33" t="s">
        <v>7907</v>
      </c>
      <c r="AA33">
        <v>12.365</v>
      </c>
      <c r="AB33">
        <v>0.15</v>
      </c>
    </row>
    <row r="34" spans="1:34">
      <c r="A34" t="s">
        <v>243</v>
      </c>
      <c r="B34" t="s">
        <v>244</v>
      </c>
      <c r="C34" t="s">
        <v>245</v>
      </c>
      <c r="D34" t="s">
        <v>7856</v>
      </c>
      <c r="E34" t="s">
        <v>7857</v>
      </c>
      <c r="F34" t="s">
        <v>7840</v>
      </c>
      <c r="G34" t="s">
        <v>7922</v>
      </c>
      <c r="H34" t="s">
        <v>9</v>
      </c>
      <c r="I34">
        <v>747.217</v>
      </c>
      <c r="J34">
        <v>21.198</v>
      </c>
      <c r="K34">
        <v>0.5</v>
      </c>
      <c r="M34" t="s">
        <v>7910</v>
      </c>
      <c r="N34">
        <v>5.352</v>
      </c>
      <c r="P34" s="6" t="s">
        <v>7923</v>
      </c>
      <c r="Q34" s="7">
        <v>25201.847</v>
      </c>
      <c r="S34" s="16" t="s">
        <v>7924</v>
      </c>
      <c r="T34" s="16">
        <v>7923.75</v>
      </c>
      <c r="V34" t="s">
        <v>7856</v>
      </c>
      <c r="W34" t="s">
        <v>7857</v>
      </c>
      <c r="X34" t="s">
        <v>7840</v>
      </c>
      <c r="Y34">
        <v>747.217</v>
      </c>
      <c r="Z34" t="s">
        <v>7922</v>
      </c>
      <c r="AA34">
        <v>21.198</v>
      </c>
      <c r="AB34">
        <v>0.5</v>
      </c>
    </row>
    <row r="35" spans="1:34">
      <c r="A35" t="s">
        <v>1290</v>
      </c>
      <c r="B35" t="s">
        <v>1291</v>
      </c>
      <c r="C35" t="s">
        <v>1292</v>
      </c>
      <c r="D35" t="s">
        <v>7862</v>
      </c>
      <c r="E35" t="s">
        <v>7848</v>
      </c>
      <c r="F35" t="s">
        <v>7888</v>
      </c>
      <c r="G35" t="s">
        <v>7925</v>
      </c>
      <c r="H35" t="s">
        <v>9</v>
      </c>
      <c r="I35">
        <v>86.992</v>
      </c>
      <c r="J35">
        <v>1.496</v>
      </c>
      <c r="K35">
        <v>0.75</v>
      </c>
      <c r="M35" t="s">
        <v>7913</v>
      </c>
      <c r="N35">
        <v>16.818</v>
      </c>
      <c r="P35" s="6" t="s">
        <v>7926</v>
      </c>
      <c r="Q35" s="7">
        <v>30.525</v>
      </c>
      <c r="S35" s="16" t="s">
        <v>7927</v>
      </c>
      <c r="T35" s="16">
        <v>7621.12</v>
      </c>
      <c r="V35" t="s">
        <v>7862</v>
      </c>
      <c r="W35" t="s">
        <v>7848</v>
      </c>
      <c r="X35" t="s">
        <v>7888</v>
      </c>
      <c r="Y35">
        <v>86.992</v>
      </c>
      <c r="Z35" t="s">
        <v>7925</v>
      </c>
      <c r="AA35">
        <v>1.496</v>
      </c>
      <c r="AB35">
        <v>0.75</v>
      </c>
      <c r="AC35" t="s">
        <v>15</v>
      </c>
      <c r="AD35" t="s">
        <v>7928</v>
      </c>
    </row>
    <row r="36" spans="1:34">
      <c r="A36" t="s">
        <v>321</v>
      </c>
      <c r="B36" t="s">
        <v>322</v>
      </c>
      <c r="C36" t="s">
        <v>323</v>
      </c>
      <c r="D36" t="s">
        <v>7856</v>
      </c>
      <c r="E36" t="s">
        <v>7839</v>
      </c>
      <c r="F36" t="s">
        <v>7840</v>
      </c>
      <c r="G36" t="s">
        <v>7929</v>
      </c>
      <c r="H36" t="s">
        <v>9</v>
      </c>
      <c r="I36">
        <v>116.623</v>
      </c>
      <c r="J36">
        <v>14.706</v>
      </c>
      <c r="K36">
        <v>0.75</v>
      </c>
      <c r="M36" t="s">
        <v>7916</v>
      </c>
      <c r="N36">
        <v>5.143</v>
      </c>
      <c r="P36" s="6" t="s">
        <v>7929</v>
      </c>
      <c r="Q36" s="7">
        <v>132.963</v>
      </c>
      <c r="S36" s="16" t="s">
        <v>7930</v>
      </c>
      <c r="T36" s="16">
        <v>7231.46</v>
      </c>
      <c r="V36" t="s">
        <v>7856</v>
      </c>
      <c r="W36" t="s">
        <v>7839</v>
      </c>
      <c r="X36" t="s">
        <v>7840</v>
      </c>
      <c r="Y36">
        <v>116.623</v>
      </c>
      <c r="Z36" t="s">
        <v>7929</v>
      </c>
      <c r="AA36">
        <v>14.706</v>
      </c>
      <c r="AB36">
        <v>0.75</v>
      </c>
      <c r="AC36" s="6" t="s">
        <v>7840</v>
      </c>
      <c r="AD36" s="7">
        <v>546</v>
      </c>
    </row>
    <row r="37" spans="1:34">
      <c r="A37" t="s">
        <v>1955</v>
      </c>
      <c r="B37" t="s">
        <v>1956</v>
      </c>
      <c r="C37" t="s">
        <v>1957</v>
      </c>
      <c r="D37" t="s">
        <v>7846</v>
      </c>
      <c r="E37" t="s">
        <v>7839</v>
      </c>
      <c r="F37" t="s">
        <v>7840</v>
      </c>
      <c r="G37" t="s">
        <v>7851</v>
      </c>
      <c r="H37" t="s">
        <v>9</v>
      </c>
      <c r="I37">
        <v>88.212</v>
      </c>
      <c r="J37">
        <v>24.507</v>
      </c>
      <c r="K37">
        <v>0.35</v>
      </c>
      <c r="M37" t="s">
        <v>7919</v>
      </c>
      <c r="N37">
        <v>34.138</v>
      </c>
      <c r="P37" s="6" t="s">
        <v>7882</v>
      </c>
      <c r="Q37" s="7">
        <v>136.124</v>
      </c>
      <c r="S37" s="16" t="s">
        <v>7931</v>
      </c>
      <c r="T37" s="16">
        <v>7050.81</v>
      </c>
      <c r="V37" t="s">
        <v>7846</v>
      </c>
      <c r="W37" t="s">
        <v>7839</v>
      </c>
      <c r="X37" t="s">
        <v>7840</v>
      </c>
      <c r="Y37">
        <v>88.212</v>
      </c>
      <c r="Z37" t="s">
        <v>7851</v>
      </c>
      <c r="AA37">
        <v>24.507</v>
      </c>
      <c r="AB37">
        <v>0.35</v>
      </c>
      <c r="AC37" s="6" t="s">
        <v>7932</v>
      </c>
      <c r="AD37" s="7">
        <v>59</v>
      </c>
    </row>
    <row r="38" spans="1:34">
      <c r="A38" t="s">
        <v>252</v>
      </c>
      <c r="B38" t="s">
        <v>253</v>
      </c>
      <c r="C38" t="s">
        <v>254</v>
      </c>
      <c r="D38" t="s">
        <v>7847</v>
      </c>
      <c r="E38" t="s">
        <v>7848</v>
      </c>
      <c r="F38" t="s">
        <v>7840</v>
      </c>
      <c r="G38" t="s">
        <v>7892</v>
      </c>
      <c r="H38" t="s">
        <v>9</v>
      </c>
      <c r="I38">
        <v>51.843</v>
      </c>
      <c r="J38">
        <v>39.45</v>
      </c>
      <c r="K38">
        <v>0.95</v>
      </c>
      <c r="M38" t="s">
        <v>7907</v>
      </c>
      <c r="N38">
        <v>135.42</v>
      </c>
      <c r="P38" s="6" t="s">
        <v>7933</v>
      </c>
      <c r="Q38" s="7">
        <v>30.063</v>
      </c>
      <c r="S38" s="16" t="s">
        <v>7934</v>
      </c>
      <c r="T38" s="16">
        <v>6497.04</v>
      </c>
      <c r="V38" t="s">
        <v>7847</v>
      </c>
      <c r="W38" t="s">
        <v>7848</v>
      </c>
      <c r="X38" t="s">
        <v>7840</v>
      </c>
      <c r="Y38">
        <v>51.843</v>
      </c>
      <c r="Z38" t="s">
        <v>7892</v>
      </c>
      <c r="AA38">
        <v>39.45</v>
      </c>
      <c r="AB38">
        <v>0.95</v>
      </c>
      <c r="AC38" s="6" t="s">
        <v>7935</v>
      </c>
      <c r="AD38" s="7">
        <v>106</v>
      </c>
    </row>
    <row r="39" spans="1:34">
      <c r="A39" t="s">
        <v>110</v>
      </c>
      <c r="B39" t="s">
        <v>111</v>
      </c>
      <c r="C39" t="s">
        <v>112</v>
      </c>
      <c r="D39" t="s">
        <v>7847</v>
      </c>
      <c r="E39" t="s">
        <v>7839</v>
      </c>
      <c r="F39" t="s">
        <v>7840</v>
      </c>
      <c r="G39" t="s">
        <v>7936</v>
      </c>
      <c r="H39" t="s">
        <v>9</v>
      </c>
      <c r="I39">
        <v>153.818</v>
      </c>
      <c r="J39">
        <v>99.585</v>
      </c>
      <c r="K39">
        <v>0.85</v>
      </c>
      <c r="M39" t="s">
        <v>7922</v>
      </c>
      <c r="N39">
        <v>747.217</v>
      </c>
      <c r="P39" s="6" t="s">
        <v>7877</v>
      </c>
      <c r="Q39" s="7">
        <v>1231.3</v>
      </c>
      <c r="S39" s="16" t="s">
        <v>7937</v>
      </c>
      <c r="T39" s="16">
        <v>6385.43</v>
      </c>
      <c r="V39" t="s">
        <v>7847</v>
      </c>
      <c r="W39" t="s">
        <v>7839</v>
      </c>
      <c r="X39" t="s">
        <v>7840</v>
      </c>
      <c r="Y39">
        <v>153.818</v>
      </c>
      <c r="Z39" t="s">
        <v>7936</v>
      </c>
      <c r="AA39">
        <v>99.585</v>
      </c>
      <c r="AB39">
        <v>0.85</v>
      </c>
      <c r="AC39" s="6" t="s">
        <v>7888</v>
      </c>
      <c r="AD39" s="7">
        <v>103</v>
      </c>
    </row>
    <row r="40" spans="1:34">
      <c r="A40" t="s">
        <v>4182</v>
      </c>
      <c r="B40" t="s">
        <v>4183</v>
      </c>
      <c r="C40" t="s">
        <v>4184</v>
      </c>
      <c r="D40" t="s">
        <v>7847</v>
      </c>
      <c r="E40" t="s">
        <v>7839</v>
      </c>
      <c r="F40" t="s">
        <v>7840</v>
      </c>
      <c r="G40" t="s">
        <v>7938</v>
      </c>
      <c r="H40" t="s">
        <v>9</v>
      </c>
      <c r="I40">
        <v>149.495</v>
      </c>
      <c r="J40">
        <v>98.542</v>
      </c>
      <c r="K40">
        <v>0.35</v>
      </c>
      <c r="M40" t="s">
        <v>7925</v>
      </c>
      <c r="N40">
        <v>86.992</v>
      </c>
      <c r="P40" s="6" t="s">
        <v>7939</v>
      </c>
      <c r="Q40" s="7">
        <v>25182.053</v>
      </c>
      <c r="S40" s="16" t="s">
        <v>7940</v>
      </c>
      <c r="T40" s="16">
        <v>5920.82</v>
      </c>
      <c r="V40" t="s">
        <v>7847</v>
      </c>
      <c r="W40" t="s">
        <v>7839</v>
      </c>
      <c r="X40" t="s">
        <v>7840</v>
      </c>
      <c r="Y40">
        <v>149.495</v>
      </c>
      <c r="Z40" t="s">
        <v>7938</v>
      </c>
      <c r="AA40">
        <v>98.542</v>
      </c>
      <c r="AB40">
        <v>0.35</v>
      </c>
      <c r="AC40" s="6" t="s">
        <v>7853</v>
      </c>
      <c r="AD40" s="7">
        <v>133</v>
      </c>
      <c r="AF40" s="6" t="s">
        <v>7932</v>
      </c>
      <c r="AG40" s="7">
        <v>59</v>
      </c>
      <c r="AH40" s="8">
        <f>AG40/$AG$44</f>
        <v>0.14713216957606</v>
      </c>
    </row>
    <row r="41" spans="1:34">
      <c r="A41" t="s">
        <v>716</v>
      </c>
      <c r="B41" t="s">
        <v>717</v>
      </c>
      <c r="C41" t="s">
        <v>718</v>
      </c>
      <c r="D41" t="s">
        <v>7844</v>
      </c>
      <c r="E41" t="s">
        <v>7839</v>
      </c>
      <c r="F41" t="s">
        <v>7840</v>
      </c>
      <c r="G41" t="s">
        <v>7941</v>
      </c>
      <c r="H41" t="s">
        <v>9</v>
      </c>
      <c r="I41">
        <v>151.493</v>
      </c>
      <c r="J41">
        <v>4.453</v>
      </c>
      <c r="K41">
        <v>0.18</v>
      </c>
      <c r="M41" t="s">
        <v>7929</v>
      </c>
      <c r="N41">
        <v>116.623</v>
      </c>
      <c r="P41" s="6" t="s">
        <v>7889</v>
      </c>
      <c r="Q41" s="7">
        <v>4075.318</v>
      </c>
      <c r="S41" s="16" t="s">
        <v>7942</v>
      </c>
      <c r="T41" s="16">
        <v>5422.38</v>
      </c>
      <c r="V41" t="s">
        <v>7844</v>
      </c>
      <c r="W41" t="s">
        <v>7839</v>
      </c>
      <c r="X41" t="s">
        <v>7840</v>
      </c>
      <c r="Y41">
        <v>151.493</v>
      </c>
      <c r="Z41" t="s">
        <v>7941</v>
      </c>
      <c r="AA41">
        <v>4.453</v>
      </c>
      <c r="AB41">
        <v>0.18</v>
      </c>
      <c r="AC41" s="6" t="s">
        <v>162</v>
      </c>
      <c r="AD41" s="7">
        <v>947</v>
      </c>
      <c r="AF41" s="6" t="s">
        <v>7935</v>
      </c>
      <c r="AG41" s="7">
        <v>106</v>
      </c>
      <c r="AH41" s="8">
        <f t="shared" ref="AH41:AH43" si="3">AG41/$AG$44</f>
        <v>0.264339152119701</v>
      </c>
    </row>
    <row r="42" spans="1:34">
      <c r="A42" t="s">
        <v>270</v>
      </c>
      <c r="B42" t="s">
        <v>271</v>
      </c>
      <c r="C42" t="s">
        <v>272</v>
      </c>
      <c r="D42" t="s">
        <v>7856</v>
      </c>
      <c r="E42" t="s">
        <v>7857</v>
      </c>
      <c r="F42" t="s">
        <v>7840</v>
      </c>
      <c r="G42" t="s">
        <v>7943</v>
      </c>
      <c r="H42" t="s">
        <v>9</v>
      </c>
      <c r="I42">
        <v>3981.25</v>
      </c>
      <c r="J42">
        <v>13.488</v>
      </c>
      <c r="K42">
        <v>0.5</v>
      </c>
      <c r="M42" t="s">
        <v>7851</v>
      </c>
      <c r="N42">
        <v>88.212</v>
      </c>
      <c r="P42" s="6" t="s">
        <v>7944</v>
      </c>
      <c r="Q42" s="7">
        <v>1800.993</v>
      </c>
      <c r="S42" s="16" t="s">
        <v>7945</v>
      </c>
      <c r="T42" s="16">
        <v>4425.09</v>
      </c>
      <c r="V42" t="s">
        <v>7856</v>
      </c>
      <c r="W42" t="s">
        <v>7857</v>
      </c>
      <c r="X42" t="s">
        <v>7840</v>
      </c>
      <c r="Y42">
        <v>3981.25</v>
      </c>
      <c r="Z42" t="s">
        <v>7943</v>
      </c>
      <c r="AA42">
        <v>13.488</v>
      </c>
      <c r="AB42">
        <v>0.5</v>
      </c>
      <c r="AF42" s="6" t="s">
        <v>7888</v>
      </c>
      <c r="AG42" s="7">
        <v>103</v>
      </c>
      <c r="AH42" s="8">
        <f t="shared" si="3"/>
        <v>0.256857855361596</v>
      </c>
    </row>
    <row r="43" spans="1:34">
      <c r="A43" t="s">
        <v>1225</v>
      </c>
      <c r="B43" t="s">
        <v>1226</v>
      </c>
      <c r="C43" t="s">
        <v>1227</v>
      </c>
      <c r="D43" t="s">
        <v>7844</v>
      </c>
      <c r="E43" t="s">
        <v>7839</v>
      </c>
      <c r="F43" t="s">
        <v>7853</v>
      </c>
      <c r="G43" t="s">
        <v>7854</v>
      </c>
      <c r="H43" t="s">
        <v>9</v>
      </c>
      <c r="I43">
        <v>59.958</v>
      </c>
      <c r="J43">
        <v>5.813</v>
      </c>
      <c r="K43">
        <v>0.18</v>
      </c>
      <c r="M43" t="s">
        <v>7892</v>
      </c>
      <c r="N43">
        <v>51.843</v>
      </c>
      <c r="P43" s="6" t="s">
        <v>7907</v>
      </c>
      <c r="Q43" s="7">
        <v>6497.035</v>
      </c>
      <c r="S43" s="16" t="s">
        <v>7892</v>
      </c>
      <c r="T43" s="16">
        <v>4379.92</v>
      </c>
      <c r="V43" t="s">
        <v>7844</v>
      </c>
      <c r="W43" t="s">
        <v>7839</v>
      </c>
      <c r="X43" t="s">
        <v>7853</v>
      </c>
      <c r="Y43">
        <v>59.958</v>
      </c>
      <c r="Z43" t="s">
        <v>7854</v>
      </c>
      <c r="AA43">
        <v>5.813</v>
      </c>
      <c r="AB43">
        <v>0.18</v>
      </c>
      <c r="AF43" s="6" t="s">
        <v>7853</v>
      </c>
      <c r="AG43" s="7">
        <v>133</v>
      </c>
      <c r="AH43" s="8">
        <f t="shared" si="3"/>
        <v>0.331670822942643</v>
      </c>
    </row>
    <row r="44" spans="1:34">
      <c r="A44" t="s">
        <v>1408</v>
      </c>
      <c r="B44" t="s">
        <v>1409</v>
      </c>
      <c r="C44" t="s">
        <v>1410</v>
      </c>
      <c r="D44" t="s">
        <v>7844</v>
      </c>
      <c r="E44" t="s">
        <v>7839</v>
      </c>
      <c r="F44" t="s">
        <v>7853</v>
      </c>
      <c r="G44" t="s">
        <v>7883</v>
      </c>
      <c r="H44" t="s">
        <v>9</v>
      </c>
      <c r="I44">
        <v>43.725</v>
      </c>
      <c r="J44">
        <v>20.193</v>
      </c>
      <c r="K44">
        <v>0.5</v>
      </c>
      <c r="M44" t="s">
        <v>7936</v>
      </c>
      <c r="N44">
        <v>153.818</v>
      </c>
      <c r="P44" s="6" t="s">
        <v>7946</v>
      </c>
      <c r="Q44" s="7">
        <v>571.104</v>
      </c>
      <c r="S44" s="16" t="s">
        <v>7947</v>
      </c>
      <c r="T44" s="16">
        <v>4132</v>
      </c>
      <c r="V44" t="s">
        <v>7844</v>
      </c>
      <c r="W44" t="s">
        <v>7839</v>
      </c>
      <c r="X44" t="s">
        <v>7853</v>
      </c>
      <c r="Y44">
        <v>43.725</v>
      </c>
      <c r="Z44" t="s">
        <v>7883</v>
      </c>
      <c r="AA44">
        <v>20.193</v>
      </c>
      <c r="AB44">
        <v>0.5</v>
      </c>
      <c r="AG44">
        <f>SUM(AG40:AG43)</f>
        <v>401</v>
      </c>
    </row>
    <row r="45" spans="1:34">
      <c r="A45" t="s">
        <v>662</v>
      </c>
      <c r="B45" t="s">
        <v>663</v>
      </c>
      <c r="C45" t="s">
        <v>664</v>
      </c>
      <c r="D45" t="s">
        <v>7850</v>
      </c>
      <c r="E45" t="s">
        <v>7839</v>
      </c>
      <c r="F45" t="s">
        <v>7840</v>
      </c>
      <c r="G45" t="s">
        <v>7854</v>
      </c>
      <c r="H45" t="s">
        <v>9</v>
      </c>
      <c r="I45">
        <v>1853.036</v>
      </c>
      <c r="J45">
        <v>17.476</v>
      </c>
      <c r="K45">
        <v>0.25</v>
      </c>
      <c r="M45" t="s">
        <v>7938</v>
      </c>
      <c r="N45">
        <v>149.495</v>
      </c>
      <c r="P45" s="6" t="s">
        <v>7948</v>
      </c>
      <c r="Q45" s="7">
        <v>60.565</v>
      </c>
      <c r="S45" s="16" t="s">
        <v>7949</v>
      </c>
      <c r="T45" s="16">
        <v>4075.32</v>
      </c>
      <c r="V45" t="s">
        <v>7850</v>
      </c>
      <c r="W45" t="s">
        <v>7839</v>
      </c>
      <c r="X45" t="s">
        <v>7840</v>
      </c>
      <c r="Y45">
        <v>1853.036</v>
      </c>
      <c r="Z45" t="s">
        <v>7854</v>
      </c>
      <c r="AA45">
        <v>17.476</v>
      </c>
      <c r="AB45">
        <v>0.25</v>
      </c>
    </row>
    <row r="46" spans="1:34">
      <c r="A46" t="s">
        <v>899</v>
      </c>
      <c r="B46" t="s">
        <v>900</v>
      </c>
      <c r="C46" t="s">
        <v>901</v>
      </c>
      <c r="D46" t="s">
        <v>7847</v>
      </c>
      <c r="E46" t="s">
        <v>7839</v>
      </c>
      <c r="F46" t="s">
        <v>7840</v>
      </c>
      <c r="G46" t="s">
        <v>7851</v>
      </c>
      <c r="H46" t="s">
        <v>9</v>
      </c>
      <c r="I46">
        <v>6.271</v>
      </c>
      <c r="J46">
        <v>99.958</v>
      </c>
      <c r="K46">
        <v>1.25</v>
      </c>
      <c r="M46" t="s">
        <v>7941</v>
      </c>
      <c r="N46">
        <v>151.493</v>
      </c>
      <c r="P46" s="6" t="s">
        <v>7950</v>
      </c>
      <c r="Q46" s="7">
        <v>2.327</v>
      </c>
      <c r="S46" s="16" t="s">
        <v>7951</v>
      </c>
      <c r="T46" s="16">
        <v>4041.89</v>
      </c>
      <c r="V46" t="s">
        <v>7847</v>
      </c>
      <c r="W46" t="s">
        <v>7839</v>
      </c>
      <c r="X46" t="s">
        <v>7840</v>
      </c>
      <c r="Y46">
        <v>6.271</v>
      </c>
      <c r="Z46" t="s">
        <v>7851</v>
      </c>
      <c r="AA46">
        <v>99.958</v>
      </c>
      <c r="AB46">
        <v>1.25</v>
      </c>
    </row>
    <row r="47" spans="1:34">
      <c r="A47" t="s">
        <v>5727</v>
      </c>
      <c r="B47" t="s">
        <v>5728</v>
      </c>
      <c r="C47" t="s">
        <v>5729</v>
      </c>
      <c r="D47" t="s">
        <v>7850</v>
      </c>
      <c r="E47" t="s">
        <v>7839</v>
      </c>
      <c r="F47" t="s">
        <v>7840</v>
      </c>
      <c r="G47" t="s">
        <v>7914</v>
      </c>
      <c r="H47" t="s">
        <v>9</v>
      </c>
      <c r="I47">
        <v>32.209</v>
      </c>
      <c r="J47">
        <v>99.975</v>
      </c>
      <c r="K47">
        <v>0.45</v>
      </c>
      <c r="M47" t="s">
        <v>7943</v>
      </c>
      <c r="N47">
        <v>3981.25</v>
      </c>
      <c r="P47" s="6" t="s">
        <v>7952</v>
      </c>
      <c r="Q47" s="7">
        <v>721.786</v>
      </c>
      <c r="S47" s="16" t="s">
        <v>7953</v>
      </c>
      <c r="T47" s="16">
        <v>3410.55</v>
      </c>
      <c r="V47" t="s">
        <v>7850</v>
      </c>
      <c r="W47" t="s">
        <v>7839</v>
      </c>
      <c r="X47" t="s">
        <v>7840</v>
      </c>
      <c r="Y47">
        <v>32.209</v>
      </c>
      <c r="Z47" t="s">
        <v>7914</v>
      </c>
      <c r="AA47">
        <v>99.975</v>
      </c>
      <c r="AB47">
        <v>0.45</v>
      </c>
    </row>
    <row r="48" spans="1:34">
      <c r="A48" t="s">
        <v>1098</v>
      </c>
      <c r="B48" t="s">
        <v>1099</v>
      </c>
      <c r="C48" t="s">
        <v>1100</v>
      </c>
      <c r="D48" t="s">
        <v>7844</v>
      </c>
      <c r="E48" t="s">
        <v>7839</v>
      </c>
      <c r="F48" t="s">
        <v>7888</v>
      </c>
      <c r="G48" t="s">
        <v>7941</v>
      </c>
      <c r="H48" t="s">
        <v>9</v>
      </c>
      <c r="I48">
        <v>96.338</v>
      </c>
      <c r="J48">
        <v>3.969</v>
      </c>
      <c r="K48">
        <v>0.18</v>
      </c>
      <c r="M48" t="s">
        <v>7854</v>
      </c>
      <c r="N48">
        <v>59.958</v>
      </c>
      <c r="P48" s="6" t="s">
        <v>7954</v>
      </c>
      <c r="Q48" s="7">
        <v>571.951</v>
      </c>
      <c r="S48" s="16" t="s">
        <v>7955</v>
      </c>
      <c r="T48" s="16">
        <v>2513.76</v>
      </c>
      <c r="V48" t="s">
        <v>7844</v>
      </c>
      <c r="W48" t="s">
        <v>7839</v>
      </c>
      <c r="X48" t="s">
        <v>7888</v>
      </c>
      <c r="Y48">
        <v>96.338</v>
      </c>
      <c r="Z48" t="s">
        <v>7941</v>
      </c>
      <c r="AA48">
        <v>3.969</v>
      </c>
      <c r="AB48">
        <v>0.18</v>
      </c>
    </row>
    <row r="49" spans="1:31">
      <c r="A49" t="s">
        <v>2760</v>
      </c>
      <c r="B49" t="s">
        <v>2761</v>
      </c>
      <c r="C49" t="s">
        <v>2762</v>
      </c>
      <c r="D49" t="s">
        <v>7847</v>
      </c>
      <c r="E49" t="s">
        <v>7839</v>
      </c>
      <c r="F49" t="s">
        <v>7840</v>
      </c>
      <c r="G49" t="s">
        <v>7956</v>
      </c>
      <c r="H49" t="s">
        <v>9</v>
      </c>
      <c r="I49">
        <v>69.889</v>
      </c>
      <c r="J49">
        <v>16.945</v>
      </c>
      <c r="K49">
        <v>0.31</v>
      </c>
      <c r="M49" t="s">
        <v>7883</v>
      </c>
      <c r="N49">
        <v>43.725</v>
      </c>
      <c r="P49" s="6" t="s">
        <v>7957</v>
      </c>
      <c r="Q49" s="7">
        <v>217.489</v>
      </c>
      <c r="S49" s="16" t="s">
        <v>7958</v>
      </c>
      <c r="T49" s="16">
        <v>2397.08</v>
      </c>
      <c r="V49" t="s">
        <v>7847</v>
      </c>
      <c r="W49" t="s">
        <v>7839</v>
      </c>
      <c r="X49" t="s">
        <v>7840</v>
      </c>
      <c r="Y49">
        <v>69.889</v>
      </c>
      <c r="Z49" t="s">
        <v>7956</v>
      </c>
      <c r="AA49">
        <v>16.945</v>
      </c>
      <c r="AB49">
        <v>0.31</v>
      </c>
    </row>
    <row r="50" spans="1:31">
      <c r="A50" t="s">
        <v>583</v>
      </c>
      <c r="B50" t="s">
        <v>584</v>
      </c>
      <c r="C50" t="s">
        <v>585</v>
      </c>
      <c r="D50" t="s">
        <v>7862</v>
      </c>
      <c r="E50" t="s">
        <v>7839</v>
      </c>
      <c r="F50" t="s">
        <v>7840</v>
      </c>
      <c r="G50" t="s">
        <v>7892</v>
      </c>
      <c r="H50" t="s">
        <v>9</v>
      </c>
      <c r="I50">
        <v>188.622</v>
      </c>
      <c r="J50">
        <v>101.975</v>
      </c>
      <c r="K50">
        <v>0.75</v>
      </c>
      <c r="M50" t="s">
        <v>7854</v>
      </c>
      <c r="N50">
        <v>1853.036</v>
      </c>
      <c r="P50" s="6" t="s">
        <v>7871</v>
      </c>
      <c r="Q50" s="7">
        <v>2116.797</v>
      </c>
      <c r="S50" s="16" t="s">
        <v>7959</v>
      </c>
      <c r="T50" s="16">
        <v>2300.79</v>
      </c>
      <c r="V50" t="s">
        <v>7862</v>
      </c>
      <c r="W50" t="s">
        <v>7839</v>
      </c>
      <c r="X50" t="s">
        <v>7840</v>
      </c>
      <c r="Y50">
        <v>188.622</v>
      </c>
      <c r="Z50" t="s">
        <v>7892</v>
      </c>
      <c r="AA50">
        <v>101.975</v>
      </c>
      <c r="AB50">
        <v>0.75</v>
      </c>
    </row>
    <row r="51" spans="1:31">
      <c r="A51" t="s">
        <v>392</v>
      </c>
      <c r="B51" t="s">
        <v>393</v>
      </c>
      <c r="C51" t="s">
        <v>394</v>
      </c>
      <c r="D51" t="s">
        <v>7847</v>
      </c>
      <c r="E51" t="s">
        <v>7839</v>
      </c>
      <c r="F51" t="s">
        <v>7840</v>
      </c>
      <c r="G51" t="s">
        <v>7960</v>
      </c>
      <c r="H51" t="s">
        <v>9</v>
      </c>
      <c r="I51">
        <v>93.209</v>
      </c>
      <c r="J51">
        <v>99.534</v>
      </c>
      <c r="K51">
        <v>0.25</v>
      </c>
      <c r="M51" t="s">
        <v>7851</v>
      </c>
      <c r="N51">
        <v>6.271</v>
      </c>
      <c r="P51" s="6" t="s">
        <v>7961</v>
      </c>
      <c r="Q51" s="7">
        <v>68.946</v>
      </c>
      <c r="S51" s="16" t="s">
        <v>7962</v>
      </c>
      <c r="T51" s="16">
        <v>2124.37</v>
      </c>
      <c r="V51" t="s">
        <v>7847</v>
      </c>
      <c r="W51" t="s">
        <v>7839</v>
      </c>
      <c r="X51" t="s">
        <v>7840</v>
      </c>
      <c r="Y51">
        <v>93.209</v>
      </c>
      <c r="Z51" t="s">
        <v>7960</v>
      </c>
      <c r="AA51">
        <v>99.534</v>
      </c>
      <c r="AB51">
        <v>0.25</v>
      </c>
    </row>
    <row r="52" spans="1:31">
      <c r="A52" t="s">
        <v>647</v>
      </c>
      <c r="B52" t="s">
        <v>648</v>
      </c>
      <c r="C52" t="s">
        <v>649</v>
      </c>
      <c r="D52" t="s">
        <v>7850</v>
      </c>
      <c r="E52" t="s">
        <v>7839</v>
      </c>
      <c r="F52" t="s">
        <v>7840</v>
      </c>
      <c r="G52" t="s">
        <v>7963</v>
      </c>
      <c r="H52" t="s">
        <v>9</v>
      </c>
      <c r="I52">
        <v>92.507</v>
      </c>
      <c r="J52">
        <v>14.074</v>
      </c>
      <c r="K52">
        <v>0.55</v>
      </c>
      <c r="M52" t="s">
        <v>7914</v>
      </c>
      <c r="N52">
        <v>32.209</v>
      </c>
      <c r="P52" s="6" t="s">
        <v>7960</v>
      </c>
      <c r="Q52" s="7">
        <v>783.214</v>
      </c>
      <c r="S52" s="16" t="s">
        <v>7964</v>
      </c>
      <c r="T52" s="16">
        <v>2116.8</v>
      </c>
      <c r="V52" t="s">
        <v>7850</v>
      </c>
      <c r="W52" t="s">
        <v>7839</v>
      </c>
      <c r="X52" t="s">
        <v>7840</v>
      </c>
      <c r="Y52">
        <v>92.507</v>
      </c>
      <c r="Z52" t="s">
        <v>7963</v>
      </c>
      <c r="AA52">
        <v>14.074</v>
      </c>
      <c r="AB52">
        <v>0.55</v>
      </c>
    </row>
    <row r="53" spans="1:31">
      <c r="A53" t="s">
        <v>580</v>
      </c>
      <c r="B53" t="s">
        <v>581</v>
      </c>
      <c r="C53" t="s">
        <v>582</v>
      </c>
      <c r="D53" t="s">
        <v>7847</v>
      </c>
      <c r="E53" t="s">
        <v>7839</v>
      </c>
      <c r="F53" t="s">
        <v>7840</v>
      </c>
      <c r="G53" t="s">
        <v>7919</v>
      </c>
      <c r="H53" t="s">
        <v>9</v>
      </c>
      <c r="I53">
        <v>33.416</v>
      </c>
      <c r="J53">
        <v>98.54</v>
      </c>
      <c r="K53">
        <v>0.75</v>
      </c>
      <c r="M53" t="s">
        <v>7941</v>
      </c>
      <c r="N53">
        <v>96.338</v>
      </c>
      <c r="P53" s="6" t="s">
        <v>7965</v>
      </c>
      <c r="Q53" s="7">
        <v>547.022</v>
      </c>
      <c r="S53" s="16" t="s">
        <v>7966</v>
      </c>
      <c r="T53" s="16">
        <v>1800.99</v>
      </c>
      <c r="V53" t="s">
        <v>7847</v>
      </c>
      <c r="W53" t="s">
        <v>7839</v>
      </c>
      <c r="X53" t="s">
        <v>7840</v>
      </c>
      <c r="Y53">
        <v>33.416</v>
      </c>
      <c r="Z53" t="s">
        <v>7919</v>
      </c>
      <c r="AA53">
        <v>98.54</v>
      </c>
      <c r="AB53">
        <v>0.75</v>
      </c>
    </row>
    <row r="54" spans="1:31">
      <c r="A54" t="s">
        <v>1468</v>
      </c>
      <c r="B54" t="s">
        <v>1469</v>
      </c>
      <c r="C54" t="s">
        <v>1470</v>
      </c>
      <c r="D54" t="s">
        <v>7862</v>
      </c>
      <c r="E54" t="s">
        <v>7839</v>
      </c>
      <c r="F54" t="s">
        <v>7888</v>
      </c>
      <c r="G54" t="s">
        <v>7967</v>
      </c>
      <c r="H54" t="s">
        <v>9</v>
      </c>
      <c r="I54">
        <v>4004.299</v>
      </c>
      <c r="J54">
        <v>16.476</v>
      </c>
      <c r="K54">
        <v>0.04</v>
      </c>
      <c r="M54" t="s">
        <v>7956</v>
      </c>
      <c r="N54">
        <v>69.889</v>
      </c>
      <c r="P54" s="6" t="s">
        <v>7963</v>
      </c>
      <c r="Q54" s="7">
        <v>648.761</v>
      </c>
      <c r="S54" s="16" t="s">
        <v>7968</v>
      </c>
      <c r="T54" s="16">
        <v>1687.42</v>
      </c>
      <c r="V54" t="s">
        <v>7862</v>
      </c>
      <c r="W54" t="s">
        <v>7839</v>
      </c>
      <c r="X54" t="s">
        <v>7888</v>
      </c>
      <c r="Y54">
        <v>4004.299</v>
      </c>
      <c r="Z54" t="s">
        <v>7967</v>
      </c>
      <c r="AA54">
        <v>16.476</v>
      </c>
      <c r="AB54">
        <v>0.04</v>
      </c>
    </row>
    <row r="55" spans="1:31">
      <c r="A55" t="s">
        <v>324</v>
      </c>
      <c r="B55" t="s">
        <v>325</v>
      </c>
      <c r="C55" t="s">
        <v>326</v>
      </c>
      <c r="D55" t="s">
        <v>7847</v>
      </c>
      <c r="E55" t="s">
        <v>7839</v>
      </c>
      <c r="F55" t="s">
        <v>7840</v>
      </c>
      <c r="G55" t="s">
        <v>7969</v>
      </c>
      <c r="H55" t="s">
        <v>9</v>
      </c>
      <c r="I55">
        <v>375.657</v>
      </c>
      <c r="J55">
        <v>34.479</v>
      </c>
      <c r="K55">
        <v>0.55</v>
      </c>
      <c r="M55" t="s">
        <v>7892</v>
      </c>
      <c r="N55">
        <v>188.622</v>
      </c>
      <c r="P55" s="6" t="s">
        <v>7970</v>
      </c>
      <c r="Q55" s="7">
        <v>31134.938</v>
      </c>
      <c r="S55" s="16" t="s">
        <v>7971</v>
      </c>
      <c r="T55" s="16">
        <v>1677.95</v>
      </c>
      <c r="V55" t="s">
        <v>7847</v>
      </c>
      <c r="W55" t="s">
        <v>7839</v>
      </c>
      <c r="X55" t="s">
        <v>7840</v>
      </c>
      <c r="Y55">
        <v>375.657</v>
      </c>
      <c r="Z55" t="s">
        <v>7969</v>
      </c>
      <c r="AA55">
        <v>34.479</v>
      </c>
      <c r="AB55">
        <v>0.55</v>
      </c>
      <c r="AC55" t="s">
        <v>15</v>
      </c>
      <c r="AD55" t="s">
        <v>7972</v>
      </c>
      <c r="AE55" t="s">
        <v>7973</v>
      </c>
    </row>
    <row r="56" spans="1:31">
      <c r="A56" t="s">
        <v>1626</v>
      </c>
      <c r="B56" t="s">
        <v>1627</v>
      </c>
      <c r="C56" t="s">
        <v>1628</v>
      </c>
      <c r="D56" t="s">
        <v>7850</v>
      </c>
      <c r="E56" t="s">
        <v>7840</v>
      </c>
      <c r="F56" t="s">
        <v>7840</v>
      </c>
      <c r="G56" t="s">
        <v>7925</v>
      </c>
      <c r="H56" t="s">
        <v>9</v>
      </c>
      <c r="I56">
        <v>7.171</v>
      </c>
      <c r="K56">
        <v>0.75</v>
      </c>
      <c r="M56" t="s">
        <v>7960</v>
      </c>
      <c r="N56">
        <v>93.209</v>
      </c>
      <c r="P56" s="6" t="s">
        <v>7974</v>
      </c>
      <c r="Q56" s="7">
        <v>12430.051</v>
      </c>
      <c r="S56" s="16" t="s">
        <v>7952</v>
      </c>
      <c r="T56" s="16">
        <v>1511.23</v>
      </c>
      <c r="V56" t="s">
        <v>7850</v>
      </c>
      <c r="W56" t="s">
        <v>7840</v>
      </c>
      <c r="X56" t="s">
        <v>7840</v>
      </c>
      <c r="Y56">
        <v>7.171</v>
      </c>
      <c r="Z56" t="s">
        <v>7925</v>
      </c>
      <c r="AB56">
        <v>0.75</v>
      </c>
      <c r="AC56" s="6" t="s">
        <v>7865</v>
      </c>
      <c r="AD56" s="7">
        <v>21.908</v>
      </c>
      <c r="AE56" s="7">
        <v>0.308333333333333</v>
      </c>
    </row>
    <row r="57" spans="1:31">
      <c r="A57" t="s">
        <v>473</v>
      </c>
      <c r="B57" t="s">
        <v>474</v>
      </c>
      <c r="C57" t="s">
        <v>475</v>
      </c>
      <c r="D57" t="s">
        <v>7847</v>
      </c>
      <c r="E57" t="s">
        <v>7839</v>
      </c>
      <c r="F57" t="s">
        <v>7840</v>
      </c>
      <c r="G57" t="s">
        <v>7975</v>
      </c>
      <c r="H57" t="s">
        <v>9</v>
      </c>
      <c r="I57">
        <v>22.929</v>
      </c>
      <c r="J57">
        <v>94.429</v>
      </c>
      <c r="K57">
        <v>0.65</v>
      </c>
      <c r="M57" t="s">
        <v>7963</v>
      </c>
      <c r="N57">
        <v>92.507</v>
      </c>
      <c r="P57" s="6" t="s">
        <v>7845</v>
      </c>
      <c r="Q57" s="7">
        <v>19396.258</v>
      </c>
      <c r="S57" s="16" t="s">
        <v>7976</v>
      </c>
      <c r="T57" s="16">
        <v>1347.67</v>
      </c>
      <c r="V57" t="s">
        <v>7847</v>
      </c>
      <c r="W57" t="s">
        <v>7839</v>
      </c>
      <c r="X57" t="s">
        <v>7840</v>
      </c>
      <c r="Y57">
        <v>22.929</v>
      </c>
      <c r="Z57" t="s">
        <v>7975</v>
      </c>
      <c r="AA57">
        <v>94.429</v>
      </c>
      <c r="AB57">
        <v>0.65</v>
      </c>
      <c r="AC57" s="6" t="s">
        <v>7869</v>
      </c>
      <c r="AD57" s="7">
        <v>99.779</v>
      </c>
      <c r="AE57" s="7">
        <v>0.59</v>
      </c>
    </row>
    <row r="58" spans="1:31">
      <c r="A58" t="s">
        <v>2297</v>
      </c>
      <c r="B58" t="s">
        <v>2298</v>
      </c>
      <c r="C58" t="s">
        <v>2299</v>
      </c>
      <c r="D58" t="s">
        <v>7847</v>
      </c>
      <c r="E58" t="s">
        <v>7839</v>
      </c>
      <c r="F58" t="s">
        <v>7840</v>
      </c>
      <c r="G58" t="s">
        <v>7977</v>
      </c>
      <c r="H58" t="s">
        <v>9</v>
      </c>
      <c r="I58">
        <v>229.453</v>
      </c>
      <c r="J58">
        <v>30.399</v>
      </c>
      <c r="K58">
        <v>0.55</v>
      </c>
      <c r="M58" t="s">
        <v>7919</v>
      </c>
      <c r="N58">
        <v>33.416</v>
      </c>
      <c r="P58" s="6" t="s">
        <v>7978</v>
      </c>
      <c r="Q58" s="7">
        <v>4007.853</v>
      </c>
      <c r="S58" s="16" t="s">
        <v>7979</v>
      </c>
      <c r="T58" s="16">
        <v>1231.3</v>
      </c>
      <c r="V58" t="s">
        <v>7847</v>
      </c>
      <c r="W58" t="s">
        <v>7839</v>
      </c>
      <c r="X58" t="s">
        <v>7840</v>
      </c>
      <c r="Y58">
        <v>229.453</v>
      </c>
      <c r="Z58" t="s">
        <v>7977</v>
      </c>
      <c r="AA58">
        <v>30.399</v>
      </c>
      <c r="AB58">
        <v>0.55</v>
      </c>
      <c r="AC58" s="6" t="s">
        <v>7872</v>
      </c>
      <c r="AD58" s="7">
        <v>22.709</v>
      </c>
      <c r="AE58" s="7">
        <v>0.3</v>
      </c>
    </row>
    <row r="59" spans="1:31">
      <c r="A59" t="s">
        <v>3808</v>
      </c>
      <c r="B59" t="s">
        <v>3809</v>
      </c>
      <c r="C59" t="s">
        <v>3810</v>
      </c>
      <c r="D59" t="s">
        <v>7844</v>
      </c>
      <c r="E59" t="s">
        <v>7839</v>
      </c>
      <c r="F59" t="s">
        <v>7888</v>
      </c>
      <c r="G59" t="s">
        <v>7980</v>
      </c>
      <c r="H59" t="s">
        <v>9</v>
      </c>
      <c r="I59">
        <v>33</v>
      </c>
      <c r="J59">
        <v>19.623</v>
      </c>
      <c r="K59">
        <v>0.49</v>
      </c>
      <c r="M59" t="s">
        <v>7967</v>
      </c>
      <c r="N59">
        <v>4004.299</v>
      </c>
      <c r="P59" s="6" t="s">
        <v>7938</v>
      </c>
      <c r="Q59" s="7">
        <v>7050.812</v>
      </c>
      <c r="S59" s="16" t="s">
        <v>7981</v>
      </c>
      <c r="T59" s="16">
        <v>1182.07</v>
      </c>
      <c r="V59" t="s">
        <v>7844</v>
      </c>
      <c r="W59" t="s">
        <v>7839</v>
      </c>
      <c r="X59" t="s">
        <v>7888</v>
      </c>
      <c r="Y59">
        <v>33</v>
      </c>
      <c r="Z59" t="s">
        <v>7980</v>
      </c>
      <c r="AA59">
        <v>19.623</v>
      </c>
      <c r="AB59">
        <v>0.49</v>
      </c>
      <c r="AC59" s="6" t="s">
        <v>7875</v>
      </c>
      <c r="AD59" s="7">
        <v>33.299</v>
      </c>
      <c r="AE59" s="7">
        <v>0.4</v>
      </c>
    </row>
    <row r="60" spans="1:31">
      <c r="A60" t="s">
        <v>1228</v>
      </c>
      <c r="B60" t="s">
        <v>1229</v>
      </c>
      <c r="C60" t="s">
        <v>1230</v>
      </c>
      <c r="D60" t="s">
        <v>7844</v>
      </c>
      <c r="E60" t="s">
        <v>7839</v>
      </c>
      <c r="F60" t="s">
        <v>7840</v>
      </c>
      <c r="G60" t="s">
        <v>7905</v>
      </c>
      <c r="H60" t="s">
        <v>9</v>
      </c>
      <c r="I60">
        <v>2398.206</v>
      </c>
      <c r="J60">
        <v>17.089</v>
      </c>
      <c r="K60">
        <v>0.39</v>
      </c>
      <c r="M60" t="s">
        <v>7969</v>
      </c>
      <c r="N60">
        <v>375.657</v>
      </c>
      <c r="P60" s="6" t="s">
        <v>7982</v>
      </c>
      <c r="Q60" s="7">
        <v>273.072</v>
      </c>
      <c r="S60" s="16" t="s">
        <v>7983</v>
      </c>
      <c r="T60" s="16">
        <v>1179.07</v>
      </c>
      <c r="V60" t="s">
        <v>7844</v>
      </c>
      <c r="W60" t="s">
        <v>7839</v>
      </c>
      <c r="X60" t="s">
        <v>7840</v>
      </c>
      <c r="Y60">
        <v>2398.206</v>
      </c>
      <c r="Z60" t="s">
        <v>7905</v>
      </c>
      <c r="AA60">
        <v>17.089</v>
      </c>
      <c r="AB60">
        <v>0.39</v>
      </c>
      <c r="AC60" s="6" t="s">
        <v>7878</v>
      </c>
      <c r="AD60" s="7">
        <v>99.996</v>
      </c>
      <c r="AE60" s="7">
        <v>0.7</v>
      </c>
    </row>
    <row r="61" spans="1:31">
      <c r="A61" t="s">
        <v>175</v>
      </c>
      <c r="B61" t="s">
        <v>176</v>
      </c>
      <c r="C61" t="s">
        <v>177</v>
      </c>
      <c r="D61" t="s">
        <v>7850</v>
      </c>
      <c r="E61" t="s">
        <v>7848</v>
      </c>
      <c r="F61" t="s">
        <v>7840</v>
      </c>
      <c r="G61" t="s">
        <v>7984</v>
      </c>
      <c r="H61" t="s">
        <v>9</v>
      </c>
      <c r="I61">
        <v>34.167</v>
      </c>
      <c r="J61">
        <v>32.888</v>
      </c>
      <c r="K61">
        <v>0.8</v>
      </c>
      <c r="M61" t="s">
        <v>7925</v>
      </c>
      <c r="N61">
        <v>7.171</v>
      </c>
      <c r="P61" s="6" t="s">
        <v>7985</v>
      </c>
      <c r="Q61" s="7">
        <v>30.094</v>
      </c>
      <c r="S61" s="16" t="s">
        <v>7986</v>
      </c>
      <c r="T61" s="16">
        <v>1088.21</v>
      </c>
      <c r="V61" t="s">
        <v>7850</v>
      </c>
      <c r="W61" t="s">
        <v>7848</v>
      </c>
      <c r="X61" t="s">
        <v>7840</v>
      </c>
      <c r="Y61">
        <v>34.167</v>
      </c>
      <c r="Z61" t="s">
        <v>7984</v>
      </c>
      <c r="AA61">
        <v>32.888</v>
      </c>
      <c r="AB61">
        <v>0.8</v>
      </c>
      <c r="AC61" s="6" t="s">
        <v>7880</v>
      </c>
      <c r="AD61" s="7">
        <v>34.785</v>
      </c>
      <c r="AE61" s="7">
        <v>0.255</v>
      </c>
    </row>
    <row r="62" spans="1:31">
      <c r="A62" t="s">
        <v>351</v>
      </c>
      <c r="B62" t="s">
        <v>352</v>
      </c>
      <c r="C62" t="s">
        <v>353</v>
      </c>
      <c r="D62" t="s">
        <v>7847</v>
      </c>
      <c r="E62" t="s">
        <v>7839</v>
      </c>
      <c r="F62" t="s">
        <v>7840</v>
      </c>
      <c r="G62" t="s">
        <v>7987</v>
      </c>
      <c r="H62" t="s">
        <v>9</v>
      </c>
      <c r="I62">
        <v>34.349</v>
      </c>
      <c r="J62">
        <v>11.206</v>
      </c>
      <c r="K62">
        <v>0.5</v>
      </c>
      <c r="M62" t="s">
        <v>7975</v>
      </c>
      <c r="N62">
        <v>22.929</v>
      </c>
      <c r="P62" s="6" t="s">
        <v>7988</v>
      </c>
      <c r="Q62" s="7">
        <v>11661.412</v>
      </c>
      <c r="S62" s="16" t="s">
        <v>7989</v>
      </c>
      <c r="T62" s="16">
        <v>988.08</v>
      </c>
      <c r="V62" t="s">
        <v>7847</v>
      </c>
      <c r="W62" t="s">
        <v>7839</v>
      </c>
      <c r="X62" t="s">
        <v>7840</v>
      </c>
      <c r="Y62">
        <v>34.349</v>
      </c>
      <c r="Z62" t="s">
        <v>7987</v>
      </c>
      <c r="AA62">
        <v>11.206</v>
      </c>
      <c r="AB62">
        <v>0.5</v>
      </c>
      <c r="AC62" s="6" t="s">
        <v>7883</v>
      </c>
      <c r="AD62" s="7">
        <v>31.225</v>
      </c>
      <c r="AE62" s="7">
        <v>0.515</v>
      </c>
    </row>
    <row r="63" spans="1:31">
      <c r="A63" t="s">
        <v>1780</v>
      </c>
      <c r="B63" t="s">
        <v>1781</v>
      </c>
      <c r="C63" t="s">
        <v>1782</v>
      </c>
      <c r="D63" t="s">
        <v>7844</v>
      </c>
      <c r="E63" t="s">
        <v>7840</v>
      </c>
      <c r="F63" t="s">
        <v>7840</v>
      </c>
      <c r="G63" t="s">
        <v>7990</v>
      </c>
      <c r="H63" t="s">
        <v>9</v>
      </c>
      <c r="I63">
        <v>23.895</v>
      </c>
      <c r="K63">
        <v>0.32</v>
      </c>
      <c r="M63" t="s">
        <v>7977</v>
      </c>
      <c r="N63">
        <v>229.453</v>
      </c>
      <c r="P63" s="6" t="s">
        <v>7991</v>
      </c>
      <c r="Q63" s="7">
        <v>79.493</v>
      </c>
      <c r="S63" s="16" t="s">
        <v>7992</v>
      </c>
      <c r="T63" s="16">
        <v>952.69</v>
      </c>
      <c r="V63" t="s">
        <v>7844</v>
      </c>
      <c r="W63" t="s">
        <v>7840</v>
      </c>
      <c r="X63" t="s">
        <v>7840</v>
      </c>
      <c r="Y63">
        <v>23.895</v>
      </c>
      <c r="Z63" t="s">
        <v>7990</v>
      </c>
      <c r="AB63">
        <v>0.32</v>
      </c>
      <c r="AC63" s="6" t="s">
        <v>7886</v>
      </c>
      <c r="AD63" s="7">
        <v>100.358</v>
      </c>
      <c r="AE63" s="7">
        <v>0.7</v>
      </c>
    </row>
    <row r="64" spans="1:31">
      <c r="A64" t="s">
        <v>798</v>
      </c>
      <c r="B64" t="s">
        <v>799</v>
      </c>
      <c r="C64" t="s">
        <v>800</v>
      </c>
      <c r="D64" t="s">
        <v>7844</v>
      </c>
      <c r="E64" t="s">
        <v>7839</v>
      </c>
      <c r="F64" t="s">
        <v>7853</v>
      </c>
      <c r="G64" t="s">
        <v>7990</v>
      </c>
      <c r="H64" t="s">
        <v>9</v>
      </c>
      <c r="I64">
        <v>118.105</v>
      </c>
      <c r="J64">
        <v>13.495</v>
      </c>
      <c r="K64">
        <v>0.24</v>
      </c>
      <c r="M64" t="s">
        <v>7980</v>
      </c>
      <c r="N64">
        <v>33</v>
      </c>
      <c r="P64" s="6" t="s">
        <v>7993</v>
      </c>
      <c r="Q64" s="7">
        <v>31.63</v>
      </c>
      <c r="S64" s="16" t="s">
        <v>7994</v>
      </c>
      <c r="T64" s="16">
        <v>836.07</v>
      </c>
      <c r="V64" t="s">
        <v>7844</v>
      </c>
      <c r="W64" t="s">
        <v>7839</v>
      </c>
      <c r="X64" t="s">
        <v>7853</v>
      </c>
      <c r="Y64">
        <v>118.105</v>
      </c>
      <c r="Z64" t="s">
        <v>7990</v>
      </c>
      <c r="AA64">
        <v>13.495</v>
      </c>
      <c r="AB64">
        <v>0.24</v>
      </c>
      <c r="AC64" s="6" t="s">
        <v>7890</v>
      </c>
      <c r="AD64" s="7">
        <v>18.5576363636364</v>
      </c>
      <c r="AE64" s="7">
        <v>0.260909090909091</v>
      </c>
    </row>
    <row r="65" spans="1:31">
      <c r="A65" t="s">
        <v>1578</v>
      </c>
      <c r="B65" t="s">
        <v>1579</v>
      </c>
      <c r="C65" t="s">
        <v>1580</v>
      </c>
      <c r="D65" t="s">
        <v>7847</v>
      </c>
      <c r="E65" t="s">
        <v>7839</v>
      </c>
      <c r="F65" t="s">
        <v>7840</v>
      </c>
      <c r="G65" t="s">
        <v>7975</v>
      </c>
      <c r="H65" t="s">
        <v>9</v>
      </c>
      <c r="I65">
        <v>9.817</v>
      </c>
      <c r="J65">
        <v>99.573</v>
      </c>
      <c r="K65">
        <v>0.65</v>
      </c>
      <c r="M65" t="s">
        <v>7905</v>
      </c>
      <c r="N65">
        <v>2398.206</v>
      </c>
      <c r="P65" s="6" t="s">
        <v>7995</v>
      </c>
      <c r="Q65" s="7">
        <v>6.052</v>
      </c>
      <c r="S65" s="16" t="s">
        <v>7996</v>
      </c>
      <c r="T65" s="16">
        <v>796.33</v>
      </c>
      <c r="V65" t="s">
        <v>7847</v>
      </c>
      <c r="W65" t="s">
        <v>7839</v>
      </c>
      <c r="X65" t="s">
        <v>7840</v>
      </c>
      <c r="Y65">
        <v>9.817</v>
      </c>
      <c r="Z65" t="s">
        <v>7975</v>
      </c>
      <c r="AA65">
        <v>99.573</v>
      </c>
      <c r="AB65">
        <v>0.65</v>
      </c>
      <c r="AC65" s="6" t="s">
        <v>7893</v>
      </c>
      <c r="AD65" s="7">
        <v>29.217</v>
      </c>
      <c r="AE65" s="7">
        <v>0.29</v>
      </c>
    </row>
    <row r="66" spans="1:31">
      <c r="A66" t="s">
        <v>680</v>
      </c>
      <c r="B66" t="s">
        <v>681</v>
      </c>
      <c r="C66" t="s">
        <v>682</v>
      </c>
      <c r="D66" t="s">
        <v>7844</v>
      </c>
      <c r="E66" t="s">
        <v>7839</v>
      </c>
      <c r="F66" t="s">
        <v>7840</v>
      </c>
      <c r="G66" t="s">
        <v>7997</v>
      </c>
      <c r="H66" t="s">
        <v>9</v>
      </c>
      <c r="I66">
        <v>7.565</v>
      </c>
      <c r="J66">
        <v>47.737</v>
      </c>
      <c r="K66">
        <v>0.2</v>
      </c>
      <c r="M66" t="s">
        <v>7984</v>
      </c>
      <c r="N66">
        <v>34.167</v>
      </c>
      <c r="P66" s="6" t="s">
        <v>7860</v>
      </c>
      <c r="Q66" s="7">
        <v>5422.382</v>
      </c>
      <c r="S66" s="16" t="s">
        <v>7998</v>
      </c>
      <c r="T66" s="16">
        <v>789.04</v>
      </c>
      <c r="V66" t="s">
        <v>7844</v>
      </c>
      <c r="W66" t="s">
        <v>7839</v>
      </c>
      <c r="X66" t="s">
        <v>7840</v>
      </c>
      <c r="Y66">
        <v>7.565</v>
      </c>
      <c r="Z66" t="s">
        <v>7997</v>
      </c>
      <c r="AA66">
        <v>47.737</v>
      </c>
      <c r="AB66">
        <v>0.2</v>
      </c>
      <c r="AC66" s="6" t="s">
        <v>7895</v>
      </c>
      <c r="AD66" s="7">
        <v>99.69</v>
      </c>
      <c r="AE66" s="7">
        <v>0.25</v>
      </c>
    </row>
    <row r="67" spans="1:31">
      <c r="A67" t="s">
        <v>689</v>
      </c>
      <c r="B67" t="s">
        <v>690</v>
      </c>
      <c r="C67" t="s">
        <v>691</v>
      </c>
      <c r="D67" t="s">
        <v>7850</v>
      </c>
      <c r="E67" t="s">
        <v>7839</v>
      </c>
      <c r="F67" t="s">
        <v>7853</v>
      </c>
      <c r="G67" t="s">
        <v>7999</v>
      </c>
      <c r="H67" t="s">
        <v>9</v>
      </c>
      <c r="I67">
        <v>64.155</v>
      </c>
      <c r="J67">
        <v>4.993</v>
      </c>
      <c r="K67">
        <v>0.35</v>
      </c>
      <c r="M67" t="s">
        <v>7987</v>
      </c>
      <c r="N67">
        <v>34.349</v>
      </c>
      <c r="P67" s="6" t="s">
        <v>8000</v>
      </c>
      <c r="Q67" s="7">
        <v>28.67</v>
      </c>
      <c r="S67" s="16" t="s">
        <v>8001</v>
      </c>
      <c r="T67" s="16">
        <v>783.21</v>
      </c>
      <c r="V67" t="s">
        <v>7850</v>
      </c>
      <c r="W67" t="s">
        <v>7839</v>
      </c>
      <c r="X67" t="s">
        <v>7853</v>
      </c>
      <c r="Y67">
        <v>64.155</v>
      </c>
      <c r="Z67" t="s">
        <v>7999</v>
      </c>
      <c r="AA67">
        <v>4.993</v>
      </c>
      <c r="AB67">
        <v>0.35</v>
      </c>
      <c r="AC67" s="6" t="s">
        <v>7899</v>
      </c>
      <c r="AD67" s="7">
        <v>18.723</v>
      </c>
      <c r="AE67" s="7">
        <v>0.694</v>
      </c>
    </row>
    <row r="68" spans="1:31">
      <c r="A68" t="s">
        <v>443</v>
      </c>
      <c r="B68" t="s">
        <v>444</v>
      </c>
      <c r="C68" t="s">
        <v>445</v>
      </c>
      <c r="D68" t="s">
        <v>7847</v>
      </c>
      <c r="E68" t="s">
        <v>7839</v>
      </c>
      <c r="F68" t="s">
        <v>7840</v>
      </c>
      <c r="G68" t="s">
        <v>7917</v>
      </c>
      <c r="H68" t="s">
        <v>9</v>
      </c>
      <c r="I68">
        <v>12.078</v>
      </c>
      <c r="J68">
        <v>49.593</v>
      </c>
      <c r="K68">
        <v>0.45</v>
      </c>
      <c r="M68" t="s">
        <v>7990</v>
      </c>
      <c r="N68">
        <v>23.895</v>
      </c>
      <c r="P68" s="6" t="s">
        <v>8002</v>
      </c>
      <c r="Q68" s="7">
        <v>10427.407</v>
      </c>
      <c r="S68" s="16" t="s">
        <v>8003</v>
      </c>
      <c r="T68" s="16">
        <v>752.79</v>
      </c>
      <c r="V68" t="s">
        <v>7847</v>
      </c>
      <c r="W68" t="s">
        <v>7839</v>
      </c>
      <c r="X68" t="s">
        <v>7840</v>
      </c>
      <c r="Y68">
        <v>12.078</v>
      </c>
      <c r="Z68" t="s">
        <v>7917</v>
      </c>
      <c r="AA68">
        <v>49.593</v>
      </c>
      <c r="AB68">
        <v>0.45</v>
      </c>
      <c r="AC68" s="6" t="s">
        <v>7901</v>
      </c>
      <c r="AD68" s="7">
        <v>42.109</v>
      </c>
      <c r="AE68" s="7">
        <v>0.3</v>
      </c>
    </row>
    <row r="69" spans="1:31">
      <c r="A69" t="s">
        <v>330</v>
      </c>
      <c r="B69" t="s">
        <v>331</v>
      </c>
      <c r="C69" t="s">
        <v>332</v>
      </c>
      <c r="D69" t="s">
        <v>7850</v>
      </c>
      <c r="E69" t="s">
        <v>7839</v>
      </c>
      <c r="F69" t="s">
        <v>7840</v>
      </c>
      <c r="G69" t="s">
        <v>7910</v>
      </c>
      <c r="H69" t="s">
        <v>9</v>
      </c>
      <c r="I69">
        <v>17.294</v>
      </c>
      <c r="J69">
        <v>23.231</v>
      </c>
      <c r="K69">
        <v>0.68</v>
      </c>
      <c r="M69" t="s">
        <v>7990</v>
      </c>
      <c r="N69">
        <v>118.105</v>
      </c>
      <c r="P69" s="6" t="s">
        <v>8004</v>
      </c>
      <c r="Q69" s="7">
        <v>241.269</v>
      </c>
      <c r="S69" s="16" t="s">
        <v>8005</v>
      </c>
      <c r="T69" s="16">
        <v>729.75</v>
      </c>
      <c r="V69" t="s">
        <v>7850</v>
      </c>
      <c r="W69" t="s">
        <v>7839</v>
      </c>
      <c r="X69" t="s">
        <v>7840</v>
      </c>
      <c r="Y69">
        <v>17.294</v>
      </c>
      <c r="Z69" t="s">
        <v>7910</v>
      </c>
      <c r="AA69">
        <v>23.231</v>
      </c>
      <c r="AB69">
        <v>0.68</v>
      </c>
      <c r="AC69" s="6" t="s">
        <v>7903</v>
      </c>
      <c r="AD69" s="7">
        <v>94.424</v>
      </c>
      <c r="AE69" s="7">
        <v>0.2</v>
      </c>
    </row>
    <row r="70" spans="1:31">
      <c r="A70" t="s">
        <v>1025</v>
      </c>
      <c r="B70" t="s">
        <v>1026</v>
      </c>
      <c r="C70" t="s">
        <v>1027</v>
      </c>
      <c r="D70" t="s">
        <v>7844</v>
      </c>
      <c r="E70" t="s">
        <v>7839</v>
      </c>
      <c r="F70" t="s">
        <v>7853</v>
      </c>
      <c r="G70" t="s">
        <v>8006</v>
      </c>
      <c r="H70" t="s">
        <v>9</v>
      </c>
      <c r="I70">
        <v>5.083</v>
      </c>
      <c r="J70">
        <v>26.18</v>
      </c>
      <c r="K70">
        <v>0.18</v>
      </c>
      <c r="M70" t="s">
        <v>7975</v>
      </c>
      <c r="N70">
        <v>9.817</v>
      </c>
      <c r="P70" s="6" t="s">
        <v>8007</v>
      </c>
      <c r="Q70" s="7">
        <v>4041.892</v>
      </c>
      <c r="S70" s="16" t="s">
        <v>8008</v>
      </c>
      <c r="T70" s="16">
        <v>695.83</v>
      </c>
      <c r="V70" t="s">
        <v>7844</v>
      </c>
      <c r="W70" t="s">
        <v>7839</v>
      </c>
      <c r="X70" t="s">
        <v>7853</v>
      </c>
      <c r="Y70">
        <v>5.083</v>
      </c>
      <c r="Z70" t="s">
        <v>8006</v>
      </c>
      <c r="AA70">
        <v>26.18</v>
      </c>
      <c r="AB70">
        <v>0.18</v>
      </c>
      <c r="AC70" s="6" t="s">
        <v>7905</v>
      </c>
      <c r="AD70" s="7">
        <v>18.6343636363636</v>
      </c>
      <c r="AE70" s="7">
        <v>0.402727272727273</v>
      </c>
    </row>
    <row r="71" spans="1:31">
      <c r="A71" t="s">
        <v>1255</v>
      </c>
      <c r="B71" t="s">
        <v>1256</v>
      </c>
      <c r="C71" t="s">
        <v>1257</v>
      </c>
      <c r="D71" t="s">
        <v>7847</v>
      </c>
      <c r="E71" t="s">
        <v>7839</v>
      </c>
      <c r="F71" t="s">
        <v>7840</v>
      </c>
      <c r="G71" t="s">
        <v>7939</v>
      </c>
      <c r="H71" t="s">
        <v>9</v>
      </c>
      <c r="I71">
        <v>1354.451</v>
      </c>
      <c r="J71">
        <v>14.082</v>
      </c>
      <c r="K71">
        <v>0.18</v>
      </c>
      <c r="M71" t="s">
        <v>7997</v>
      </c>
      <c r="N71">
        <v>7.565</v>
      </c>
      <c r="P71" s="6" t="s">
        <v>8009</v>
      </c>
      <c r="Q71" s="7">
        <v>223.88</v>
      </c>
      <c r="S71" s="16" t="s">
        <v>8010</v>
      </c>
      <c r="T71" s="16">
        <v>655.45</v>
      </c>
      <c r="V71" t="s">
        <v>7847</v>
      </c>
      <c r="W71" t="s">
        <v>7839</v>
      </c>
      <c r="X71" t="s">
        <v>7840</v>
      </c>
      <c r="Y71">
        <v>1354.451</v>
      </c>
      <c r="Z71" t="s">
        <v>7939</v>
      </c>
      <c r="AA71">
        <v>14.082</v>
      </c>
      <c r="AB71">
        <v>0.18</v>
      </c>
      <c r="AC71" s="6" t="s">
        <v>7908</v>
      </c>
      <c r="AD71" s="7">
        <v>11.00075</v>
      </c>
      <c r="AE71" s="7">
        <v>0.1725</v>
      </c>
    </row>
    <row r="72" spans="1:31">
      <c r="A72" t="s">
        <v>1543</v>
      </c>
      <c r="B72" t="s">
        <v>1544</v>
      </c>
      <c r="C72" t="s">
        <v>1545</v>
      </c>
      <c r="D72" t="s">
        <v>7844</v>
      </c>
      <c r="E72" t="s">
        <v>7839</v>
      </c>
      <c r="F72" t="s">
        <v>7888</v>
      </c>
      <c r="G72" t="s">
        <v>7988</v>
      </c>
      <c r="H72" t="s">
        <v>9</v>
      </c>
      <c r="I72">
        <v>535.045</v>
      </c>
      <c r="J72">
        <v>10.847</v>
      </c>
      <c r="K72">
        <v>0.003</v>
      </c>
      <c r="M72" t="s">
        <v>7999</v>
      </c>
      <c r="N72">
        <v>64.155</v>
      </c>
      <c r="P72" s="6" t="s">
        <v>7868</v>
      </c>
      <c r="Q72" s="7">
        <v>112.064</v>
      </c>
      <c r="S72" s="16" t="s">
        <v>8011</v>
      </c>
      <c r="T72" s="16">
        <v>648.76</v>
      </c>
      <c r="V72" t="s">
        <v>7844</v>
      </c>
      <c r="W72" t="s">
        <v>7839</v>
      </c>
      <c r="X72" t="s">
        <v>7888</v>
      </c>
      <c r="Y72">
        <v>535.045</v>
      </c>
      <c r="Z72" t="s">
        <v>7988</v>
      </c>
      <c r="AA72">
        <v>10.847</v>
      </c>
      <c r="AB72">
        <v>0.003</v>
      </c>
      <c r="AC72" s="6" t="s">
        <v>7911</v>
      </c>
      <c r="AD72" s="7">
        <v>17.14275</v>
      </c>
      <c r="AE72" s="7">
        <v>0.4125</v>
      </c>
    </row>
    <row r="73" spans="1:31">
      <c r="A73" t="s">
        <v>1295</v>
      </c>
      <c r="B73" t="s">
        <v>1296</v>
      </c>
      <c r="C73" t="s">
        <v>1297</v>
      </c>
      <c r="D73" t="s">
        <v>7844</v>
      </c>
      <c r="E73" t="s">
        <v>7839</v>
      </c>
      <c r="F73" t="s">
        <v>7840</v>
      </c>
      <c r="G73" t="s">
        <v>7890</v>
      </c>
      <c r="H73" t="s">
        <v>9</v>
      </c>
      <c r="I73">
        <v>557.022</v>
      </c>
      <c r="J73">
        <v>6.996</v>
      </c>
      <c r="K73">
        <v>0.29</v>
      </c>
      <c r="M73" t="s">
        <v>7917</v>
      </c>
      <c r="N73">
        <v>12.078</v>
      </c>
      <c r="P73" s="6" t="s">
        <v>8012</v>
      </c>
      <c r="Q73" s="7">
        <v>7003.105</v>
      </c>
      <c r="S73" s="16" t="s">
        <v>8013</v>
      </c>
      <c r="T73" s="16">
        <v>571.1</v>
      </c>
      <c r="V73" t="s">
        <v>7844</v>
      </c>
      <c r="W73" t="s">
        <v>7839</v>
      </c>
      <c r="X73" t="s">
        <v>7840</v>
      </c>
      <c r="Y73">
        <v>557.022</v>
      </c>
      <c r="Z73" t="s">
        <v>7890</v>
      </c>
      <c r="AA73">
        <v>6.996</v>
      </c>
      <c r="AB73">
        <v>0.29</v>
      </c>
      <c r="AC73" s="6" t="s">
        <v>7914</v>
      </c>
      <c r="AD73" s="7">
        <v>24.6932222222222</v>
      </c>
      <c r="AE73" s="7">
        <v>0.253703703703704</v>
      </c>
    </row>
    <row r="74" spans="1:31">
      <c r="A74" t="s">
        <v>627</v>
      </c>
      <c r="B74" t="s">
        <v>628</v>
      </c>
      <c r="C74" t="s">
        <v>629</v>
      </c>
      <c r="D74" t="s">
        <v>7844</v>
      </c>
      <c r="E74" t="s">
        <v>7839</v>
      </c>
      <c r="F74" t="s">
        <v>7853</v>
      </c>
      <c r="G74" t="s">
        <v>7905</v>
      </c>
      <c r="H74" t="s">
        <v>9</v>
      </c>
      <c r="I74">
        <v>265.656</v>
      </c>
      <c r="J74">
        <v>11.63</v>
      </c>
      <c r="K74">
        <v>0.4</v>
      </c>
      <c r="M74" t="s">
        <v>7910</v>
      </c>
      <c r="N74">
        <v>17.294</v>
      </c>
      <c r="P74" s="6" t="s">
        <v>8014</v>
      </c>
      <c r="Q74" s="7">
        <v>125.4</v>
      </c>
      <c r="S74" s="16" t="s">
        <v>8015</v>
      </c>
      <c r="T74" s="16">
        <v>567.79</v>
      </c>
      <c r="V74" t="s">
        <v>7844</v>
      </c>
      <c r="W74" t="s">
        <v>7839</v>
      </c>
      <c r="X74" t="s">
        <v>7853</v>
      </c>
      <c r="Y74">
        <v>265.656</v>
      </c>
      <c r="Z74" t="s">
        <v>7905</v>
      </c>
      <c r="AA74">
        <v>11.63</v>
      </c>
      <c r="AB74">
        <v>0.4</v>
      </c>
      <c r="AC74" s="6" t="s">
        <v>7917</v>
      </c>
      <c r="AD74" s="7">
        <v>49.593</v>
      </c>
      <c r="AE74" s="7">
        <v>0.45</v>
      </c>
    </row>
    <row r="75" spans="1:31">
      <c r="A75" t="s">
        <v>3213</v>
      </c>
      <c r="B75" t="s">
        <v>3214</v>
      </c>
      <c r="C75" t="s">
        <v>3215</v>
      </c>
      <c r="D75" t="s">
        <v>7844</v>
      </c>
      <c r="E75" t="s">
        <v>7839</v>
      </c>
      <c r="F75" t="s">
        <v>7888</v>
      </c>
      <c r="G75" t="s">
        <v>7988</v>
      </c>
      <c r="H75" t="s">
        <v>9</v>
      </c>
      <c r="I75">
        <v>582.073</v>
      </c>
      <c r="J75">
        <v>15.278</v>
      </c>
      <c r="K75">
        <v>0.003</v>
      </c>
      <c r="M75" t="s">
        <v>8006</v>
      </c>
      <c r="N75">
        <v>5.083</v>
      </c>
      <c r="P75" s="6" t="s">
        <v>7922</v>
      </c>
      <c r="Q75" s="7">
        <v>747.217</v>
      </c>
      <c r="S75" s="16" t="s">
        <v>8016</v>
      </c>
      <c r="T75" s="16">
        <v>547.02</v>
      </c>
      <c r="V75" t="s">
        <v>7844</v>
      </c>
      <c r="W75" t="s">
        <v>7839</v>
      </c>
      <c r="X75" t="s">
        <v>7888</v>
      </c>
      <c r="Y75">
        <v>582.073</v>
      </c>
      <c r="Z75" t="s">
        <v>7988</v>
      </c>
      <c r="AA75">
        <v>15.278</v>
      </c>
      <c r="AB75">
        <v>0.003</v>
      </c>
      <c r="AC75" s="6" t="s">
        <v>7842</v>
      </c>
      <c r="AD75" s="7">
        <v>60.857</v>
      </c>
      <c r="AE75" s="7">
        <v>0.715</v>
      </c>
    </row>
    <row r="76" spans="1:31">
      <c r="A76" t="s">
        <v>1036</v>
      </c>
      <c r="B76" t="s">
        <v>1037</v>
      </c>
      <c r="C76" t="s">
        <v>1038</v>
      </c>
      <c r="D76" t="s">
        <v>7844</v>
      </c>
      <c r="E76" t="s">
        <v>7839</v>
      </c>
      <c r="F76" t="s">
        <v>7840</v>
      </c>
      <c r="G76" t="s">
        <v>8017</v>
      </c>
      <c r="H76" t="s">
        <v>9</v>
      </c>
      <c r="I76">
        <v>18.156</v>
      </c>
      <c r="J76">
        <v>30.702</v>
      </c>
      <c r="K76">
        <v>0.2</v>
      </c>
      <c r="M76" t="s">
        <v>7939</v>
      </c>
      <c r="N76">
        <v>1354.451</v>
      </c>
      <c r="P76" s="6" t="s">
        <v>7943</v>
      </c>
      <c r="Q76" s="7">
        <v>24875.72</v>
      </c>
      <c r="S76" s="16" t="s">
        <v>8018</v>
      </c>
      <c r="T76" s="16">
        <v>400.53</v>
      </c>
      <c r="V76" t="s">
        <v>7844</v>
      </c>
      <c r="W76" t="s">
        <v>7839</v>
      </c>
      <c r="X76" t="s">
        <v>7840</v>
      </c>
      <c r="Y76">
        <v>18.156</v>
      </c>
      <c r="Z76" t="s">
        <v>8017</v>
      </c>
      <c r="AA76">
        <v>30.702</v>
      </c>
      <c r="AB76">
        <v>0.2</v>
      </c>
      <c r="AC76" s="6" t="s">
        <v>7874</v>
      </c>
      <c r="AD76" s="7">
        <v>97.822</v>
      </c>
      <c r="AE76" s="7">
        <v>0.556666666666667</v>
      </c>
    </row>
    <row r="77" spans="1:31">
      <c r="A77" t="s">
        <v>948</v>
      </c>
      <c r="B77" t="s">
        <v>949</v>
      </c>
      <c r="C77" t="s">
        <v>950</v>
      </c>
      <c r="D77" t="s">
        <v>7850</v>
      </c>
      <c r="E77" t="s">
        <v>7839</v>
      </c>
      <c r="F77" t="s">
        <v>7840</v>
      </c>
      <c r="G77" t="s">
        <v>8009</v>
      </c>
      <c r="H77" t="s">
        <v>9</v>
      </c>
      <c r="I77">
        <v>37.297</v>
      </c>
      <c r="J77">
        <v>98.476</v>
      </c>
      <c r="K77">
        <v>0.8</v>
      </c>
      <c r="M77" t="s">
        <v>7988</v>
      </c>
      <c r="N77">
        <v>535.045</v>
      </c>
      <c r="P77" s="6" t="s">
        <v>7941</v>
      </c>
      <c r="Q77" s="7">
        <v>26521.931</v>
      </c>
      <c r="S77" s="16" t="s">
        <v>8019</v>
      </c>
      <c r="T77" s="16">
        <v>374.92</v>
      </c>
      <c r="V77" t="s">
        <v>7850</v>
      </c>
      <c r="W77" t="s">
        <v>7839</v>
      </c>
      <c r="X77" t="s">
        <v>7840</v>
      </c>
      <c r="Y77">
        <v>37.297</v>
      </c>
      <c r="Z77" t="s">
        <v>8009</v>
      </c>
      <c r="AA77">
        <v>98.476</v>
      </c>
      <c r="AB77">
        <v>0.8</v>
      </c>
      <c r="AC77" s="6" t="s">
        <v>7923</v>
      </c>
      <c r="AD77" s="7">
        <v>19.0252</v>
      </c>
      <c r="AE77" s="7">
        <v>0.309</v>
      </c>
    </row>
    <row r="78" spans="1:31">
      <c r="A78" t="s">
        <v>5652</v>
      </c>
      <c r="B78" t="s">
        <v>5653</v>
      </c>
      <c r="C78" t="s">
        <v>5654</v>
      </c>
      <c r="D78" t="s">
        <v>7850</v>
      </c>
      <c r="E78" t="s">
        <v>7839</v>
      </c>
      <c r="F78" t="s">
        <v>7840</v>
      </c>
      <c r="G78" t="s">
        <v>7914</v>
      </c>
      <c r="H78" t="s">
        <v>9</v>
      </c>
      <c r="I78">
        <v>292.548</v>
      </c>
      <c r="J78">
        <v>13.107</v>
      </c>
      <c r="K78">
        <v>0.4</v>
      </c>
      <c r="M78" t="s">
        <v>7890</v>
      </c>
      <c r="N78">
        <v>557.022</v>
      </c>
      <c r="P78" s="6" t="s">
        <v>8020</v>
      </c>
      <c r="Q78" s="7">
        <v>42.497</v>
      </c>
      <c r="S78" s="16" t="s">
        <v>8021</v>
      </c>
      <c r="T78" s="16">
        <v>361.27</v>
      </c>
      <c r="V78" t="s">
        <v>7850</v>
      </c>
      <c r="W78" t="s">
        <v>7839</v>
      </c>
      <c r="X78" t="s">
        <v>7840</v>
      </c>
      <c r="Y78">
        <v>292.548</v>
      </c>
      <c r="Z78" t="s">
        <v>7914</v>
      </c>
      <c r="AA78">
        <v>13.107</v>
      </c>
      <c r="AB78">
        <v>0.4</v>
      </c>
      <c r="AC78" s="6" t="s">
        <v>7926</v>
      </c>
      <c r="AD78" s="7">
        <v>21.8505</v>
      </c>
      <c r="AE78" s="7">
        <v>0.45</v>
      </c>
    </row>
    <row r="79" spans="1:31">
      <c r="A79" t="s">
        <v>998</v>
      </c>
      <c r="B79" t="s">
        <v>999</v>
      </c>
      <c r="C79" t="s">
        <v>1000</v>
      </c>
      <c r="D79" t="s">
        <v>7844</v>
      </c>
      <c r="E79" t="s">
        <v>7839</v>
      </c>
      <c r="F79" t="s">
        <v>7840</v>
      </c>
      <c r="G79" t="s">
        <v>8002</v>
      </c>
      <c r="H79" t="s">
        <v>9</v>
      </c>
      <c r="I79">
        <v>10.176</v>
      </c>
      <c r="J79">
        <v>8.058</v>
      </c>
      <c r="K79">
        <v>0.08</v>
      </c>
      <c r="M79" t="s">
        <v>7905</v>
      </c>
      <c r="N79">
        <v>265.656</v>
      </c>
      <c r="P79" s="6" t="s">
        <v>8022</v>
      </c>
      <c r="Q79" s="7">
        <v>4.413</v>
      </c>
      <c r="S79" s="16" t="s">
        <v>8023</v>
      </c>
      <c r="T79" s="16">
        <v>296.53</v>
      </c>
      <c r="V79" t="s">
        <v>7844</v>
      </c>
      <c r="W79" t="s">
        <v>7839</v>
      </c>
      <c r="X79" t="s">
        <v>7840</v>
      </c>
      <c r="Y79">
        <v>10.176</v>
      </c>
      <c r="Z79" t="s">
        <v>8002</v>
      </c>
      <c r="AA79">
        <v>8.058</v>
      </c>
      <c r="AB79">
        <v>0.08</v>
      </c>
      <c r="AC79" s="6" t="s">
        <v>7929</v>
      </c>
      <c r="AD79" s="7">
        <v>17.1525</v>
      </c>
      <c r="AE79" s="7">
        <v>0.7</v>
      </c>
    </row>
    <row r="80" spans="1:31">
      <c r="A80" t="s">
        <v>683</v>
      </c>
      <c r="B80" t="s">
        <v>684</v>
      </c>
      <c r="C80" t="s">
        <v>685</v>
      </c>
      <c r="D80" t="s">
        <v>7844</v>
      </c>
      <c r="E80" t="s">
        <v>7839</v>
      </c>
      <c r="F80" t="s">
        <v>7888</v>
      </c>
      <c r="G80" t="s">
        <v>8006</v>
      </c>
      <c r="H80" t="s">
        <v>9</v>
      </c>
      <c r="I80">
        <v>10.35</v>
      </c>
      <c r="J80">
        <v>22.358</v>
      </c>
      <c r="K80">
        <v>0.18</v>
      </c>
      <c r="M80" t="s">
        <v>7988</v>
      </c>
      <c r="N80">
        <v>582.073</v>
      </c>
      <c r="P80" s="6" t="s">
        <v>8024</v>
      </c>
      <c r="Q80" s="7">
        <v>37.31</v>
      </c>
      <c r="S80" s="16" t="s">
        <v>8025</v>
      </c>
      <c r="T80" s="16">
        <v>295.19</v>
      </c>
      <c r="V80" t="s">
        <v>7844</v>
      </c>
      <c r="W80" t="s">
        <v>7839</v>
      </c>
      <c r="X80" t="s">
        <v>7888</v>
      </c>
      <c r="Y80">
        <v>10.35</v>
      </c>
      <c r="Z80" t="s">
        <v>8006</v>
      </c>
      <c r="AA80">
        <v>22.358</v>
      </c>
      <c r="AB80">
        <v>0.18</v>
      </c>
      <c r="AC80" s="6" t="s">
        <v>7882</v>
      </c>
      <c r="AD80" s="7">
        <v>57.207</v>
      </c>
      <c r="AE80" s="7">
        <v>0.796666666666667</v>
      </c>
    </row>
    <row r="81" spans="1:31">
      <c r="A81" t="s">
        <v>1068</v>
      </c>
      <c r="B81" t="s">
        <v>1069</v>
      </c>
      <c r="C81" t="s">
        <v>1070</v>
      </c>
      <c r="D81" t="s">
        <v>7844</v>
      </c>
      <c r="E81" t="s">
        <v>7839</v>
      </c>
      <c r="F81" t="s">
        <v>7840</v>
      </c>
      <c r="G81" t="s">
        <v>8026</v>
      </c>
      <c r="H81" t="s">
        <v>9</v>
      </c>
      <c r="I81">
        <v>1160.916</v>
      </c>
      <c r="J81">
        <v>1.689</v>
      </c>
      <c r="K81">
        <v>0.02</v>
      </c>
      <c r="M81" t="s">
        <v>8017</v>
      </c>
      <c r="N81">
        <v>18.156</v>
      </c>
      <c r="P81" s="6" t="s">
        <v>7999</v>
      </c>
      <c r="Q81" s="7">
        <v>1888.173</v>
      </c>
      <c r="S81" s="16" t="s">
        <v>8017</v>
      </c>
      <c r="T81" s="16">
        <v>241.66</v>
      </c>
      <c r="V81" t="s">
        <v>7844</v>
      </c>
      <c r="W81" t="s">
        <v>7839</v>
      </c>
      <c r="X81" t="s">
        <v>7840</v>
      </c>
      <c r="Y81">
        <v>1160.916</v>
      </c>
      <c r="Z81" t="s">
        <v>8026</v>
      </c>
      <c r="AA81">
        <v>1.689</v>
      </c>
      <c r="AB81">
        <v>0.02</v>
      </c>
      <c r="AC81" s="6" t="s">
        <v>7933</v>
      </c>
      <c r="AD81" s="7">
        <v>51.988</v>
      </c>
      <c r="AE81" s="7">
        <v>0.39</v>
      </c>
    </row>
    <row r="82" spans="1:31">
      <c r="A82" t="s">
        <v>3740</v>
      </c>
      <c r="B82" t="s">
        <v>3741</v>
      </c>
      <c r="C82" t="s">
        <v>3742</v>
      </c>
      <c r="D82" t="s">
        <v>7846</v>
      </c>
      <c r="E82" t="s">
        <v>7839</v>
      </c>
      <c r="F82" t="s">
        <v>7840</v>
      </c>
      <c r="G82" t="s">
        <v>7861</v>
      </c>
      <c r="H82" t="s">
        <v>9</v>
      </c>
      <c r="I82">
        <v>71.527</v>
      </c>
      <c r="J82">
        <v>30.833</v>
      </c>
      <c r="K82">
        <v>0.45</v>
      </c>
      <c r="M82" t="s">
        <v>8009</v>
      </c>
      <c r="N82">
        <v>37.297</v>
      </c>
      <c r="P82" s="6" t="s">
        <v>7854</v>
      </c>
      <c r="Q82" s="7">
        <v>839541.31</v>
      </c>
      <c r="S82" s="16" t="s">
        <v>8027</v>
      </c>
      <c r="T82" s="16">
        <v>241.27</v>
      </c>
      <c r="V82" t="s">
        <v>7846</v>
      </c>
      <c r="W82" t="s">
        <v>7839</v>
      </c>
      <c r="X82" t="s">
        <v>7840</v>
      </c>
      <c r="Y82">
        <v>71.527</v>
      </c>
      <c r="Z82" t="s">
        <v>7861</v>
      </c>
      <c r="AA82">
        <v>30.833</v>
      </c>
      <c r="AB82">
        <v>0.45</v>
      </c>
      <c r="AC82" s="6" t="s">
        <v>7877</v>
      </c>
      <c r="AD82" s="7">
        <v>13.1732</v>
      </c>
      <c r="AE82" s="7">
        <v>0.332</v>
      </c>
    </row>
    <row r="83" spans="1:31">
      <c r="A83" t="s">
        <v>1357</v>
      </c>
      <c r="B83" t="s">
        <v>1358</v>
      </c>
      <c r="C83" t="s">
        <v>1359</v>
      </c>
      <c r="D83" t="s">
        <v>7844</v>
      </c>
      <c r="E83" t="s">
        <v>7839</v>
      </c>
      <c r="F83" t="s">
        <v>7888</v>
      </c>
      <c r="G83" t="s">
        <v>8014</v>
      </c>
      <c r="H83" t="s">
        <v>9</v>
      </c>
      <c r="I83">
        <v>25.534</v>
      </c>
      <c r="J83">
        <v>5.865</v>
      </c>
      <c r="K83">
        <v>0.18</v>
      </c>
      <c r="M83" t="s">
        <v>7914</v>
      </c>
      <c r="N83">
        <v>292.548</v>
      </c>
      <c r="P83" s="6" t="s">
        <v>8028</v>
      </c>
      <c r="Q83" s="7">
        <v>13134.594</v>
      </c>
      <c r="S83" s="16" t="s">
        <v>8029</v>
      </c>
      <c r="T83" s="16">
        <v>229.9</v>
      </c>
      <c r="V83" t="s">
        <v>7844</v>
      </c>
      <c r="W83" t="s">
        <v>7839</v>
      </c>
      <c r="X83" t="s">
        <v>7888</v>
      </c>
      <c r="Y83">
        <v>25.534</v>
      </c>
      <c r="Z83" t="s">
        <v>8014</v>
      </c>
      <c r="AA83">
        <v>5.865</v>
      </c>
      <c r="AB83">
        <v>0.18</v>
      </c>
      <c r="AC83" s="6" t="s">
        <v>7939</v>
      </c>
      <c r="AD83" s="7">
        <v>20.8802</v>
      </c>
      <c r="AE83" s="7">
        <v>0.16</v>
      </c>
    </row>
    <row r="84" spans="1:31">
      <c r="A84" t="s">
        <v>1702</v>
      </c>
      <c r="B84" t="s">
        <v>1703</v>
      </c>
      <c r="C84" t="s">
        <v>1704</v>
      </c>
      <c r="D84" t="s">
        <v>7862</v>
      </c>
      <c r="E84" t="s">
        <v>7839</v>
      </c>
      <c r="F84" t="s">
        <v>7840</v>
      </c>
      <c r="G84" t="s">
        <v>7854</v>
      </c>
      <c r="H84" t="s">
        <v>9</v>
      </c>
      <c r="I84">
        <v>323.788</v>
      </c>
      <c r="J84">
        <v>55.626</v>
      </c>
      <c r="K84">
        <v>0.15</v>
      </c>
      <c r="M84" t="s">
        <v>8002</v>
      </c>
      <c r="N84">
        <v>10.176</v>
      </c>
      <c r="P84" s="6" t="s">
        <v>8030</v>
      </c>
      <c r="Q84" s="7">
        <v>38166.485</v>
      </c>
      <c r="S84" s="16" t="s">
        <v>8031</v>
      </c>
      <c r="T84" s="16">
        <v>223.88</v>
      </c>
      <c r="V84" t="s">
        <v>7862</v>
      </c>
      <c r="W84" t="s">
        <v>7839</v>
      </c>
      <c r="X84" t="s">
        <v>7840</v>
      </c>
      <c r="Y84">
        <v>323.788</v>
      </c>
      <c r="Z84" t="s">
        <v>7854</v>
      </c>
      <c r="AA84">
        <v>55.626</v>
      </c>
      <c r="AB84">
        <v>0.15</v>
      </c>
      <c r="AC84" s="6" t="s">
        <v>7889</v>
      </c>
      <c r="AD84" s="7">
        <v>30.4805</v>
      </c>
      <c r="AE84" s="7">
        <v>0.75</v>
      </c>
    </row>
    <row r="85" spans="1:31">
      <c r="A85" t="s">
        <v>2011</v>
      </c>
      <c r="B85" t="s">
        <v>2012</v>
      </c>
      <c r="C85" t="s">
        <v>2013</v>
      </c>
      <c r="D85" t="s">
        <v>7850</v>
      </c>
      <c r="E85" t="s">
        <v>7839</v>
      </c>
      <c r="F85" t="s">
        <v>7840</v>
      </c>
      <c r="G85" t="s">
        <v>7907</v>
      </c>
      <c r="H85" t="s">
        <v>9</v>
      </c>
      <c r="I85">
        <v>29.591</v>
      </c>
      <c r="J85">
        <v>5.658</v>
      </c>
      <c r="K85">
        <v>0.2</v>
      </c>
      <c r="M85" t="s">
        <v>8006</v>
      </c>
      <c r="N85">
        <v>10.35</v>
      </c>
      <c r="P85" s="6" t="s">
        <v>7956</v>
      </c>
      <c r="Q85" s="7">
        <v>796.331</v>
      </c>
      <c r="S85" s="16" t="s">
        <v>8032</v>
      </c>
      <c r="T85" s="16">
        <v>221.29</v>
      </c>
      <c r="V85" t="s">
        <v>7850</v>
      </c>
      <c r="W85" t="s">
        <v>7839</v>
      </c>
      <c r="X85" t="s">
        <v>7840</v>
      </c>
      <c r="Y85">
        <v>29.591</v>
      </c>
      <c r="Z85" t="s">
        <v>7907</v>
      </c>
      <c r="AA85">
        <v>5.658</v>
      </c>
      <c r="AB85">
        <v>0.2</v>
      </c>
      <c r="AC85" s="6" t="s">
        <v>7944</v>
      </c>
      <c r="AD85" s="7">
        <v>21.3528</v>
      </c>
      <c r="AE85" s="7">
        <v>0.422</v>
      </c>
    </row>
    <row r="86" spans="1:31">
      <c r="A86" t="s">
        <v>1735</v>
      </c>
      <c r="B86" t="s">
        <v>1736</v>
      </c>
      <c r="C86" t="s">
        <v>1737</v>
      </c>
      <c r="D86" t="s">
        <v>7846</v>
      </c>
      <c r="E86" t="s">
        <v>7839</v>
      </c>
      <c r="F86" t="s">
        <v>7840</v>
      </c>
      <c r="G86" t="s">
        <v>8033</v>
      </c>
      <c r="H86" t="s">
        <v>9</v>
      </c>
      <c r="I86">
        <v>5936.055</v>
      </c>
      <c r="J86">
        <v>2.725</v>
      </c>
      <c r="K86">
        <v>0.03</v>
      </c>
      <c r="M86" t="s">
        <v>8026</v>
      </c>
      <c r="N86">
        <v>1160.916</v>
      </c>
      <c r="P86" s="6" t="s">
        <v>8034</v>
      </c>
      <c r="Q86" s="7">
        <v>90830.553</v>
      </c>
      <c r="S86" s="16" t="s">
        <v>8035</v>
      </c>
      <c r="T86" s="16">
        <v>204.73</v>
      </c>
      <c r="V86" t="s">
        <v>7846</v>
      </c>
      <c r="W86" t="s">
        <v>7839</v>
      </c>
      <c r="X86" t="s">
        <v>7840</v>
      </c>
      <c r="Y86">
        <v>5936.055</v>
      </c>
      <c r="Z86" t="s">
        <v>8033</v>
      </c>
      <c r="AA86">
        <v>2.725</v>
      </c>
      <c r="AB86">
        <v>0.03</v>
      </c>
      <c r="AC86" s="6" t="s">
        <v>7907</v>
      </c>
      <c r="AD86" s="7">
        <v>20.0437777777778</v>
      </c>
      <c r="AE86" s="7">
        <v>0.158888888888889</v>
      </c>
    </row>
    <row r="87" spans="1:31">
      <c r="A87" t="s">
        <v>2240</v>
      </c>
      <c r="B87" t="s">
        <v>2241</v>
      </c>
      <c r="C87" t="s">
        <v>2242</v>
      </c>
      <c r="D87" t="s">
        <v>7844</v>
      </c>
      <c r="E87" t="s">
        <v>7839</v>
      </c>
      <c r="F87" t="s">
        <v>7840</v>
      </c>
      <c r="G87" t="s">
        <v>7978</v>
      </c>
      <c r="H87" t="s">
        <v>9</v>
      </c>
      <c r="I87">
        <v>18.007</v>
      </c>
      <c r="J87">
        <v>19.926</v>
      </c>
      <c r="K87">
        <v>0.75</v>
      </c>
      <c r="M87" t="s">
        <v>7861</v>
      </c>
      <c r="N87">
        <v>71.527</v>
      </c>
      <c r="P87" s="6" t="s">
        <v>8036</v>
      </c>
      <c r="Q87" s="7">
        <v>79.111</v>
      </c>
      <c r="S87" s="16" t="s">
        <v>8006</v>
      </c>
      <c r="T87" s="16">
        <v>204.09</v>
      </c>
      <c r="V87" t="s">
        <v>7844</v>
      </c>
      <c r="W87" t="s">
        <v>7839</v>
      </c>
      <c r="X87" t="s">
        <v>7840</v>
      </c>
      <c r="Y87">
        <v>18.007</v>
      </c>
      <c r="Z87" t="s">
        <v>7978</v>
      </c>
      <c r="AA87">
        <v>19.926</v>
      </c>
      <c r="AB87">
        <v>0.75</v>
      </c>
      <c r="AC87" s="6" t="s">
        <v>7946</v>
      </c>
      <c r="AD87" s="7">
        <v>31.77225</v>
      </c>
      <c r="AE87" s="7">
        <v>0.35375</v>
      </c>
    </row>
    <row r="88" spans="1:31">
      <c r="A88" t="s">
        <v>556</v>
      </c>
      <c r="B88" t="s">
        <v>557</v>
      </c>
      <c r="C88" t="s">
        <v>558</v>
      </c>
      <c r="D88" t="s">
        <v>7856</v>
      </c>
      <c r="E88" t="s">
        <v>7839</v>
      </c>
      <c r="F88" t="s">
        <v>7935</v>
      </c>
      <c r="G88" t="s">
        <v>7954</v>
      </c>
      <c r="H88" t="s">
        <v>9</v>
      </c>
      <c r="I88">
        <v>446.125</v>
      </c>
      <c r="J88">
        <v>11.385</v>
      </c>
      <c r="K88">
        <v>0.45</v>
      </c>
      <c r="M88" t="s">
        <v>8014</v>
      </c>
      <c r="N88">
        <v>25.534</v>
      </c>
      <c r="P88" s="6" t="s">
        <v>7910</v>
      </c>
      <c r="Q88" s="7">
        <v>695.832</v>
      </c>
      <c r="S88" s="16" t="s">
        <v>8037</v>
      </c>
      <c r="T88" s="16">
        <v>202.57</v>
      </c>
      <c r="V88" t="s">
        <v>7856</v>
      </c>
      <c r="W88" t="s">
        <v>7839</v>
      </c>
      <c r="X88" t="s">
        <v>7935</v>
      </c>
      <c r="Y88">
        <v>446.125</v>
      </c>
      <c r="Z88" t="s">
        <v>7954</v>
      </c>
      <c r="AA88">
        <v>11.385</v>
      </c>
      <c r="AB88">
        <v>0.45</v>
      </c>
      <c r="AC88" s="6" t="s">
        <v>7948</v>
      </c>
      <c r="AD88" s="7">
        <v>99.157</v>
      </c>
      <c r="AE88" s="7">
        <v>0.7</v>
      </c>
    </row>
    <row r="89" spans="1:31">
      <c r="A89" t="s">
        <v>1171</v>
      </c>
      <c r="B89" t="s">
        <v>1172</v>
      </c>
      <c r="C89" t="s">
        <v>1173</v>
      </c>
      <c r="D89" t="s">
        <v>7844</v>
      </c>
      <c r="E89" t="s">
        <v>7839</v>
      </c>
      <c r="F89" t="s">
        <v>7853</v>
      </c>
      <c r="G89" t="s">
        <v>8038</v>
      </c>
      <c r="H89" t="s">
        <v>9</v>
      </c>
      <c r="I89">
        <v>206.78</v>
      </c>
      <c r="J89">
        <v>11.933</v>
      </c>
      <c r="K89">
        <v>0.35</v>
      </c>
      <c r="M89" t="s">
        <v>7854</v>
      </c>
      <c r="N89">
        <v>323.788</v>
      </c>
      <c r="P89" s="6" t="s">
        <v>7919</v>
      </c>
      <c r="Q89" s="7">
        <v>118.936</v>
      </c>
      <c r="S89" s="16" t="s">
        <v>7919</v>
      </c>
      <c r="T89" s="16">
        <v>174.15</v>
      </c>
      <c r="V89" t="s">
        <v>7844</v>
      </c>
      <c r="W89" t="s">
        <v>7839</v>
      </c>
      <c r="X89" t="s">
        <v>7853</v>
      </c>
      <c r="Y89">
        <v>206.78</v>
      </c>
      <c r="Z89" t="s">
        <v>8038</v>
      </c>
      <c r="AA89">
        <v>11.933</v>
      </c>
      <c r="AB89">
        <v>0.35</v>
      </c>
      <c r="AC89" s="6" t="s">
        <v>7950</v>
      </c>
      <c r="AD89" s="7">
        <v>94.091</v>
      </c>
      <c r="AE89" s="7">
        <v>0.5</v>
      </c>
    </row>
    <row r="90" spans="1:31">
      <c r="A90" t="s">
        <v>90</v>
      </c>
      <c r="B90" t="s">
        <v>91</v>
      </c>
      <c r="C90" t="s">
        <v>92</v>
      </c>
      <c r="D90" t="s">
        <v>7862</v>
      </c>
      <c r="E90" t="s">
        <v>7839</v>
      </c>
      <c r="F90" t="s">
        <v>7840</v>
      </c>
      <c r="G90" t="s">
        <v>7974</v>
      </c>
      <c r="H90" t="s">
        <v>9</v>
      </c>
      <c r="I90">
        <v>313.684</v>
      </c>
      <c r="J90">
        <v>37.558</v>
      </c>
      <c r="K90">
        <v>0.85</v>
      </c>
      <c r="M90" t="s">
        <v>7907</v>
      </c>
      <c r="N90">
        <v>29.591</v>
      </c>
      <c r="P90" s="6" t="s">
        <v>8039</v>
      </c>
      <c r="Q90" s="7">
        <v>55.215</v>
      </c>
      <c r="S90" s="16" t="s">
        <v>8040</v>
      </c>
      <c r="T90" s="16">
        <v>173.18</v>
      </c>
      <c r="V90" t="s">
        <v>7862</v>
      </c>
      <c r="W90" t="s">
        <v>7839</v>
      </c>
      <c r="X90" t="s">
        <v>7840</v>
      </c>
      <c r="Y90">
        <v>313.684</v>
      </c>
      <c r="Z90" t="s">
        <v>7974</v>
      </c>
      <c r="AA90">
        <v>37.558</v>
      </c>
      <c r="AB90">
        <v>0.85</v>
      </c>
      <c r="AC90" s="6" t="s">
        <v>7952</v>
      </c>
      <c r="AD90" s="7">
        <v>43.9276666666667</v>
      </c>
      <c r="AE90" s="7">
        <v>0.4775</v>
      </c>
    </row>
    <row r="91" spans="1:31">
      <c r="A91" t="s">
        <v>1477</v>
      </c>
      <c r="B91" t="s">
        <v>1478</v>
      </c>
      <c r="C91" t="s">
        <v>1479</v>
      </c>
      <c r="D91" t="s">
        <v>7844</v>
      </c>
      <c r="E91" t="s">
        <v>7839</v>
      </c>
      <c r="F91" t="s">
        <v>7840</v>
      </c>
      <c r="G91" t="s">
        <v>7974</v>
      </c>
      <c r="H91" t="s">
        <v>9</v>
      </c>
      <c r="I91">
        <v>28.18</v>
      </c>
      <c r="J91">
        <v>18.533</v>
      </c>
      <c r="K91">
        <v>0.65</v>
      </c>
      <c r="M91" t="s">
        <v>8033</v>
      </c>
      <c r="N91">
        <v>5936.055</v>
      </c>
      <c r="P91" s="6" t="s">
        <v>8041</v>
      </c>
      <c r="Q91" s="7">
        <v>31.24</v>
      </c>
      <c r="S91" s="16" t="s">
        <v>8042</v>
      </c>
      <c r="T91" s="16">
        <v>146.79</v>
      </c>
      <c r="V91" t="s">
        <v>7844</v>
      </c>
      <c r="W91" t="s">
        <v>7839</v>
      </c>
      <c r="X91" t="s">
        <v>7840</v>
      </c>
      <c r="Y91">
        <v>28.18</v>
      </c>
      <c r="Z91" t="s">
        <v>7974</v>
      </c>
      <c r="AA91">
        <v>18.533</v>
      </c>
      <c r="AB91">
        <v>0.65</v>
      </c>
      <c r="AC91" s="6" t="s">
        <v>7954</v>
      </c>
      <c r="AD91" s="7">
        <v>21.8323333333333</v>
      </c>
      <c r="AE91" s="7">
        <v>0.443333333333333</v>
      </c>
    </row>
    <row r="92" spans="1:31">
      <c r="A92" t="s">
        <v>1369</v>
      </c>
      <c r="B92" t="s">
        <v>1370</v>
      </c>
      <c r="C92" t="s">
        <v>1371</v>
      </c>
      <c r="D92" t="s">
        <v>7850</v>
      </c>
      <c r="E92" t="s">
        <v>7839</v>
      </c>
      <c r="F92" t="s">
        <v>7840</v>
      </c>
      <c r="G92" t="s">
        <v>7858</v>
      </c>
      <c r="H92" t="s">
        <v>9</v>
      </c>
      <c r="I92">
        <v>3208.17</v>
      </c>
      <c r="J92">
        <v>24.818</v>
      </c>
      <c r="K92">
        <v>0.25</v>
      </c>
      <c r="M92" t="s">
        <v>7978</v>
      </c>
      <c r="N92">
        <v>18.007</v>
      </c>
      <c r="P92" s="6" t="s">
        <v>8043</v>
      </c>
      <c r="Q92" s="7">
        <v>127.35</v>
      </c>
      <c r="S92" s="16" t="s">
        <v>8044</v>
      </c>
      <c r="T92" s="16">
        <v>136.12</v>
      </c>
      <c r="V92" t="s">
        <v>7850</v>
      </c>
      <c r="W92" t="s">
        <v>7839</v>
      </c>
      <c r="X92" t="s">
        <v>7840</v>
      </c>
      <c r="Y92">
        <v>3208.17</v>
      </c>
      <c r="Z92" t="s">
        <v>7858</v>
      </c>
      <c r="AA92">
        <v>24.818</v>
      </c>
      <c r="AB92">
        <v>0.25</v>
      </c>
      <c r="AC92" s="6" t="s">
        <v>7957</v>
      </c>
      <c r="AD92" s="7">
        <v>207.277</v>
      </c>
      <c r="AE92" s="7">
        <v>0.59</v>
      </c>
    </row>
    <row r="93" spans="1:31">
      <c r="A93" t="s">
        <v>962</v>
      </c>
      <c r="B93" t="s">
        <v>963</v>
      </c>
      <c r="C93" t="s">
        <v>964</v>
      </c>
      <c r="D93" t="s">
        <v>7864</v>
      </c>
      <c r="E93" t="s">
        <v>7839</v>
      </c>
      <c r="F93" t="s">
        <v>7840</v>
      </c>
      <c r="G93" t="s">
        <v>8030</v>
      </c>
      <c r="H93" t="s">
        <v>9</v>
      </c>
      <c r="I93">
        <v>1169.916</v>
      </c>
      <c r="J93">
        <v>15.442</v>
      </c>
      <c r="K93">
        <v>0.46</v>
      </c>
      <c r="M93" t="s">
        <v>7954</v>
      </c>
      <c r="N93">
        <v>446.125</v>
      </c>
      <c r="P93" s="6" t="s">
        <v>8045</v>
      </c>
      <c r="Q93" s="7">
        <v>40.507</v>
      </c>
      <c r="S93" s="16" t="s">
        <v>8046</v>
      </c>
      <c r="T93" s="16">
        <v>132.96</v>
      </c>
      <c r="V93" t="s">
        <v>7864</v>
      </c>
      <c r="W93" t="s">
        <v>7839</v>
      </c>
      <c r="X93" t="s">
        <v>7840</v>
      </c>
      <c r="Y93">
        <v>1169.916</v>
      </c>
      <c r="Z93" t="s">
        <v>8030</v>
      </c>
      <c r="AA93">
        <v>15.442</v>
      </c>
      <c r="AB93">
        <v>0.46</v>
      </c>
      <c r="AC93" s="6" t="s">
        <v>7871</v>
      </c>
      <c r="AD93" s="7">
        <v>16.463</v>
      </c>
      <c r="AE93" s="7">
        <v>0.8</v>
      </c>
    </row>
    <row r="94" spans="1:31">
      <c r="A94" t="s">
        <v>2403</v>
      </c>
      <c r="B94" t="s">
        <v>2404</v>
      </c>
      <c r="C94" t="s">
        <v>2405</v>
      </c>
      <c r="D94" t="s">
        <v>7847</v>
      </c>
      <c r="E94" t="s">
        <v>7839</v>
      </c>
      <c r="F94" t="s">
        <v>7840</v>
      </c>
      <c r="G94" t="s">
        <v>7892</v>
      </c>
      <c r="H94" t="s">
        <v>9</v>
      </c>
      <c r="I94">
        <v>312.502</v>
      </c>
      <c r="J94">
        <v>135.255</v>
      </c>
      <c r="K94">
        <v>0.5</v>
      </c>
      <c r="M94" t="s">
        <v>8038</v>
      </c>
      <c r="N94">
        <v>206.78</v>
      </c>
      <c r="P94" s="6" t="s">
        <v>8047</v>
      </c>
      <c r="Q94" s="7">
        <v>5.299</v>
      </c>
      <c r="S94" s="16" t="s">
        <v>8043</v>
      </c>
      <c r="T94" s="16">
        <v>127.35</v>
      </c>
      <c r="V94" t="s">
        <v>7847</v>
      </c>
      <c r="W94" t="s">
        <v>7839</v>
      </c>
      <c r="X94" t="s">
        <v>7840</v>
      </c>
      <c r="Y94">
        <v>312.502</v>
      </c>
      <c r="Z94" t="s">
        <v>7892</v>
      </c>
      <c r="AA94">
        <v>135.255</v>
      </c>
      <c r="AB94">
        <v>0.5</v>
      </c>
      <c r="AC94" s="6" t="s">
        <v>7961</v>
      </c>
      <c r="AD94" s="7">
        <v>32.3</v>
      </c>
      <c r="AE94" s="7">
        <v>0.6</v>
      </c>
    </row>
    <row r="95" spans="1:31">
      <c r="A95" t="s">
        <v>920</v>
      </c>
      <c r="B95" t="s">
        <v>921</v>
      </c>
      <c r="C95" t="s">
        <v>922</v>
      </c>
      <c r="D95" t="s">
        <v>7844</v>
      </c>
      <c r="E95" t="s">
        <v>7839</v>
      </c>
      <c r="F95" t="s">
        <v>7840</v>
      </c>
      <c r="G95" t="s">
        <v>8007</v>
      </c>
      <c r="H95" t="s">
        <v>9</v>
      </c>
      <c r="I95">
        <v>664.99</v>
      </c>
      <c r="J95">
        <v>13.626</v>
      </c>
      <c r="K95">
        <v>0.29</v>
      </c>
      <c r="M95" t="s">
        <v>7974</v>
      </c>
      <c r="N95">
        <v>313.684</v>
      </c>
      <c r="P95" s="6" t="s">
        <v>8048</v>
      </c>
      <c r="Q95" s="7">
        <v>229.896</v>
      </c>
      <c r="S95" s="16" t="s">
        <v>8049</v>
      </c>
      <c r="T95" s="16">
        <v>113.09</v>
      </c>
      <c r="V95" t="s">
        <v>7844</v>
      </c>
      <c r="W95" t="s">
        <v>7839</v>
      </c>
      <c r="X95" t="s">
        <v>7840</v>
      </c>
      <c r="Y95">
        <v>664.99</v>
      </c>
      <c r="Z95" t="s">
        <v>8007</v>
      </c>
      <c r="AA95">
        <v>13.626</v>
      </c>
      <c r="AB95">
        <v>0.29</v>
      </c>
      <c r="AC95" s="6" t="s">
        <v>7960</v>
      </c>
      <c r="AD95" s="7">
        <v>99.7135</v>
      </c>
      <c r="AE95" s="7">
        <v>0.25</v>
      </c>
    </row>
    <row r="96" spans="1:31">
      <c r="A96" t="s">
        <v>389</v>
      </c>
      <c r="B96" t="s">
        <v>390</v>
      </c>
      <c r="C96" t="s">
        <v>391</v>
      </c>
      <c r="D96" t="s">
        <v>7856</v>
      </c>
      <c r="E96" t="s">
        <v>7848</v>
      </c>
      <c r="F96" t="s">
        <v>7840</v>
      </c>
      <c r="G96" t="s">
        <v>7956</v>
      </c>
      <c r="H96" t="s">
        <v>9</v>
      </c>
      <c r="I96">
        <v>141.543</v>
      </c>
      <c r="J96">
        <v>10.511</v>
      </c>
      <c r="K96">
        <v>0.49</v>
      </c>
      <c r="M96" t="s">
        <v>7974</v>
      </c>
      <c r="N96">
        <v>28.18</v>
      </c>
      <c r="P96" s="6" t="s">
        <v>7969</v>
      </c>
      <c r="Q96" s="7">
        <v>9016.807</v>
      </c>
      <c r="S96" s="16" t="s">
        <v>8050</v>
      </c>
      <c r="T96" s="16">
        <v>112.06</v>
      </c>
      <c r="V96" t="s">
        <v>7856</v>
      </c>
      <c r="W96" t="s">
        <v>7848</v>
      </c>
      <c r="X96" t="s">
        <v>7840</v>
      </c>
      <c r="Y96">
        <v>141.543</v>
      </c>
      <c r="Z96" t="s">
        <v>7956</v>
      </c>
      <c r="AA96">
        <v>10.511</v>
      </c>
      <c r="AB96">
        <v>0.49</v>
      </c>
      <c r="AC96" s="6" t="s">
        <v>7965</v>
      </c>
      <c r="AD96" s="7">
        <v>24.522</v>
      </c>
      <c r="AE96" s="7">
        <v>0.486666666666667</v>
      </c>
    </row>
    <row r="97" spans="1:31">
      <c r="A97" t="s">
        <v>971</v>
      </c>
      <c r="B97" t="s">
        <v>972</v>
      </c>
      <c r="C97" t="s">
        <v>973</v>
      </c>
      <c r="D97" t="s">
        <v>7844</v>
      </c>
      <c r="E97" t="s">
        <v>7839</v>
      </c>
      <c r="F97" t="s">
        <v>7840</v>
      </c>
      <c r="G97" t="s">
        <v>7923</v>
      </c>
      <c r="H97" t="s">
        <v>9</v>
      </c>
      <c r="I97">
        <v>4895.172</v>
      </c>
      <c r="J97">
        <v>10.449</v>
      </c>
      <c r="K97">
        <v>0.27</v>
      </c>
      <c r="M97" t="s">
        <v>7858</v>
      </c>
      <c r="N97">
        <v>3208.17</v>
      </c>
      <c r="P97" s="6" t="s">
        <v>8051</v>
      </c>
      <c r="Q97" s="7">
        <v>1182.066</v>
      </c>
      <c r="S97" s="16" t="s">
        <v>8052</v>
      </c>
      <c r="T97" s="16">
        <v>94.62</v>
      </c>
      <c r="V97" t="s">
        <v>7844</v>
      </c>
      <c r="W97" t="s">
        <v>7839</v>
      </c>
      <c r="X97" t="s">
        <v>7840</v>
      </c>
      <c r="Y97">
        <v>4895.172</v>
      </c>
      <c r="Z97" t="s">
        <v>7923</v>
      </c>
      <c r="AA97">
        <v>10.449</v>
      </c>
      <c r="AB97">
        <v>0.27</v>
      </c>
      <c r="AC97" s="6" t="s">
        <v>7963</v>
      </c>
      <c r="AD97" s="7">
        <v>14.3183333333333</v>
      </c>
      <c r="AE97" s="7">
        <v>0.496666666666667</v>
      </c>
    </row>
    <row r="98" spans="1:31">
      <c r="A98" t="s">
        <v>1307</v>
      </c>
      <c r="B98" t="s">
        <v>1308</v>
      </c>
      <c r="C98" t="s">
        <v>1309</v>
      </c>
      <c r="D98" t="s">
        <v>7850</v>
      </c>
      <c r="E98" t="s">
        <v>7839</v>
      </c>
      <c r="F98" t="s">
        <v>7888</v>
      </c>
      <c r="G98" t="s">
        <v>8053</v>
      </c>
      <c r="H98" t="s">
        <v>9</v>
      </c>
      <c r="I98">
        <v>7569.175</v>
      </c>
      <c r="J98">
        <v>2.866</v>
      </c>
      <c r="K98">
        <v>0.03</v>
      </c>
      <c r="M98" t="s">
        <v>8030</v>
      </c>
      <c r="N98">
        <v>1169.916</v>
      </c>
      <c r="P98" s="6" t="s">
        <v>8054</v>
      </c>
      <c r="Q98" s="7">
        <v>952.694</v>
      </c>
      <c r="S98" s="16" t="s">
        <v>8055</v>
      </c>
      <c r="T98" s="16">
        <v>81.47</v>
      </c>
      <c r="V98" t="s">
        <v>7850</v>
      </c>
      <c r="W98" t="s">
        <v>7839</v>
      </c>
      <c r="X98" t="s">
        <v>7888</v>
      </c>
      <c r="Y98">
        <v>7569.175</v>
      </c>
      <c r="Z98" t="s">
        <v>8053</v>
      </c>
      <c r="AA98">
        <v>2.866</v>
      </c>
      <c r="AB98">
        <v>0.03</v>
      </c>
      <c r="AC98" s="6" t="s">
        <v>7970</v>
      </c>
      <c r="AD98" s="7">
        <v>20.0038</v>
      </c>
      <c r="AE98" s="7">
        <v>0.294</v>
      </c>
    </row>
    <row r="99" spans="1:31">
      <c r="A99" t="s">
        <v>959</v>
      </c>
      <c r="B99" t="s">
        <v>960</v>
      </c>
      <c r="C99" t="s">
        <v>961</v>
      </c>
      <c r="D99" t="s">
        <v>7844</v>
      </c>
      <c r="E99" t="s">
        <v>7839</v>
      </c>
      <c r="F99" t="s">
        <v>7840</v>
      </c>
      <c r="G99" t="s">
        <v>7893</v>
      </c>
      <c r="H99" t="s">
        <v>9</v>
      </c>
      <c r="I99">
        <v>12.032</v>
      </c>
      <c r="J99">
        <v>29.217</v>
      </c>
      <c r="K99">
        <v>0.29</v>
      </c>
      <c r="M99" t="s">
        <v>7892</v>
      </c>
      <c r="N99">
        <v>312.502</v>
      </c>
      <c r="P99" s="6" t="s">
        <v>8056</v>
      </c>
      <c r="Q99" s="7">
        <v>2369.311</v>
      </c>
      <c r="S99" s="16" t="s">
        <v>8057</v>
      </c>
      <c r="T99" s="16">
        <v>79.49</v>
      </c>
      <c r="V99" t="s">
        <v>7844</v>
      </c>
      <c r="W99" t="s">
        <v>7839</v>
      </c>
      <c r="X99" t="s">
        <v>7840</v>
      </c>
      <c r="Y99">
        <v>12.032</v>
      </c>
      <c r="Z99" t="s">
        <v>7893</v>
      </c>
      <c r="AA99">
        <v>29.217</v>
      </c>
      <c r="AB99">
        <v>0.29</v>
      </c>
      <c r="AC99" s="6" t="s">
        <v>7974</v>
      </c>
      <c r="AD99" s="7">
        <v>14.3582222222222</v>
      </c>
      <c r="AE99" s="7">
        <v>0.594444444444444</v>
      </c>
    </row>
    <row r="100" spans="1:31">
      <c r="A100" t="s">
        <v>914</v>
      </c>
      <c r="B100" t="s">
        <v>915</v>
      </c>
      <c r="C100" t="s">
        <v>916</v>
      </c>
      <c r="D100" t="s">
        <v>7846</v>
      </c>
      <c r="E100" t="s">
        <v>7839</v>
      </c>
      <c r="F100" t="s">
        <v>7853</v>
      </c>
      <c r="G100" t="s">
        <v>7885</v>
      </c>
      <c r="H100" t="s">
        <v>9</v>
      </c>
      <c r="I100">
        <v>998.03</v>
      </c>
      <c r="J100">
        <v>33.958</v>
      </c>
      <c r="K100">
        <v>0.4</v>
      </c>
      <c r="M100" t="s">
        <v>8007</v>
      </c>
      <c r="N100">
        <v>664.99</v>
      </c>
      <c r="P100" s="6" t="s">
        <v>8058</v>
      </c>
      <c r="Q100" s="7">
        <v>27.765</v>
      </c>
      <c r="S100" s="16" t="s">
        <v>8059</v>
      </c>
      <c r="T100" s="16">
        <v>79.11</v>
      </c>
      <c r="V100" t="s">
        <v>7846</v>
      </c>
      <c r="W100" t="s">
        <v>7839</v>
      </c>
      <c r="X100" t="s">
        <v>7853</v>
      </c>
      <c r="Y100">
        <v>998.03</v>
      </c>
      <c r="Z100" t="s">
        <v>7885</v>
      </c>
      <c r="AA100">
        <v>33.958</v>
      </c>
      <c r="AB100">
        <v>0.4</v>
      </c>
      <c r="AC100" s="6" t="s">
        <v>7845</v>
      </c>
      <c r="AD100" s="7">
        <v>31.9206666666667</v>
      </c>
      <c r="AE100" s="7">
        <v>0.631666666666667</v>
      </c>
    </row>
    <row r="101" spans="1:31">
      <c r="A101" t="s">
        <v>692</v>
      </c>
      <c r="B101" t="s">
        <v>693</v>
      </c>
      <c r="C101" t="s">
        <v>694</v>
      </c>
      <c r="D101" t="s">
        <v>7847</v>
      </c>
      <c r="E101" t="s">
        <v>7839</v>
      </c>
      <c r="F101" t="s">
        <v>7840</v>
      </c>
      <c r="G101" t="s">
        <v>8060</v>
      </c>
      <c r="H101" t="s">
        <v>9</v>
      </c>
      <c r="I101">
        <v>8.248</v>
      </c>
      <c r="J101">
        <v>38.117</v>
      </c>
      <c r="K101">
        <v>0.5</v>
      </c>
      <c r="M101" t="s">
        <v>7956</v>
      </c>
      <c r="N101">
        <v>141.543</v>
      </c>
      <c r="P101" s="6" t="s">
        <v>7980</v>
      </c>
      <c r="Q101" s="7">
        <v>38.741</v>
      </c>
      <c r="S101" s="16" t="s">
        <v>8061</v>
      </c>
      <c r="T101" s="16">
        <v>68.97</v>
      </c>
      <c r="V101" t="s">
        <v>7847</v>
      </c>
      <c r="W101" t="s">
        <v>7839</v>
      </c>
      <c r="X101" t="s">
        <v>7840</v>
      </c>
      <c r="Y101">
        <v>8.248</v>
      </c>
      <c r="Z101" t="s">
        <v>8060</v>
      </c>
      <c r="AA101">
        <v>38.117</v>
      </c>
      <c r="AB101">
        <v>0.5</v>
      </c>
      <c r="AC101" s="6" t="s">
        <v>7978</v>
      </c>
      <c r="AD101" s="7">
        <v>26.2725714285714</v>
      </c>
      <c r="AE101" s="7">
        <v>0.612857142857143</v>
      </c>
    </row>
    <row r="102" spans="1:31">
      <c r="A102" t="s">
        <v>532</v>
      </c>
      <c r="B102" t="s">
        <v>533</v>
      </c>
      <c r="C102" t="s">
        <v>534</v>
      </c>
      <c r="D102" t="s">
        <v>7844</v>
      </c>
      <c r="E102" t="s">
        <v>7839</v>
      </c>
      <c r="F102" t="s">
        <v>7840</v>
      </c>
      <c r="G102" t="s">
        <v>8058</v>
      </c>
      <c r="H102" t="s">
        <v>9</v>
      </c>
      <c r="I102">
        <v>27.765</v>
      </c>
      <c r="J102">
        <v>39.946</v>
      </c>
      <c r="K102">
        <v>0.4</v>
      </c>
      <c r="M102" t="s">
        <v>7923</v>
      </c>
      <c r="N102">
        <v>4895.172</v>
      </c>
      <c r="P102" s="6" t="s">
        <v>8006</v>
      </c>
      <c r="Q102" s="7">
        <v>204.093</v>
      </c>
      <c r="S102" s="16" t="s">
        <v>8062</v>
      </c>
      <c r="T102" s="16">
        <v>68.95</v>
      </c>
      <c r="V102" t="s">
        <v>7844</v>
      </c>
      <c r="W102" t="s">
        <v>7839</v>
      </c>
      <c r="X102" t="s">
        <v>7840</v>
      </c>
      <c r="Y102">
        <v>27.765</v>
      </c>
      <c r="Z102" t="s">
        <v>8058</v>
      </c>
      <c r="AA102">
        <v>39.946</v>
      </c>
      <c r="AB102">
        <v>0.4</v>
      </c>
      <c r="AC102" s="6" t="s">
        <v>7938</v>
      </c>
      <c r="AD102" s="7">
        <v>31.1855555555556</v>
      </c>
      <c r="AE102" s="7">
        <v>0.216666666666667</v>
      </c>
    </row>
    <row r="103" spans="1:31">
      <c r="A103" t="s">
        <v>1891</v>
      </c>
      <c r="B103" t="s">
        <v>1892</v>
      </c>
      <c r="C103" t="s">
        <v>1893</v>
      </c>
      <c r="D103" t="s">
        <v>7838</v>
      </c>
      <c r="E103" t="s">
        <v>7839</v>
      </c>
      <c r="F103" t="s">
        <v>7840</v>
      </c>
      <c r="G103" t="s">
        <v>7842</v>
      </c>
      <c r="H103" t="s">
        <v>9</v>
      </c>
      <c r="I103">
        <v>31.534</v>
      </c>
      <c r="J103">
        <v>89.584</v>
      </c>
      <c r="K103">
        <v>0.74</v>
      </c>
      <c r="M103" t="s">
        <v>8053</v>
      </c>
      <c r="N103">
        <v>7569.175</v>
      </c>
      <c r="P103" s="6" t="s">
        <v>8060</v>
      </c>
      <c r="Q103" s="7">
        <v>144.769</v>
      </c>
      <c r="S103" s="16" t="s">
        <v>8063</v>
      </c>
      <c r="T103" s="16">
        <v>51.65</v>
      </c>
      <c r="V103" t="s">
        <v>7838</v>
      </c>
      <c r="W103" t="s">
        <v>7839</v>
      </c>
      <c r="X103" t="s">
        <v>7840</v>
      </c>
      <c r="Y103">
        <v>31.534</v>
      </c>
      <c r="Z103" t="s">
        <v>7842</v>
      </c>
      <c r="AA103">
        <v>89.584</v>
      </c>
      <c r="AB103">
        <v>0.74</v>
      </c>
      <c r="AC103" s="6" t="s">
        <v>7982</v>
      </c>
      <c r="AD103" s="7">
        <v>53.591</v>
      </c>
      <c r="AE103" s="7">
        <v>0.25</v>
      </c>
    </row>
    <row r="104" spans="1:31">
      <c r="A104" t="s">
        <v>1010</v>
      </c>
      <c r="B104" t="s">
        <v>1011</v>
      </c>
      <c r="C104" t="s">
        <v>1012</v>
      </c>
      <c r="D104" t="s">
        <v>7844</v>
      </c>
      <c r="E104" t="s">
        <v>7839</v>
      </c>
      <c r="F104" t="s">
        <v>7888</v>
      </c>
      <c r="G104" t="s">
        <v>7861</v>
      </c>
      <c r="H104" t="s">
        <v>9</v>
      </c>
      <c r="I104">
        <v>5.106</v>
      </c>
      <c r="J104">
        <v>38.941</v>
      </c>
      <c r="K104">
        <v>0.35</v>
      </c>
      <c r="M104" t="s">
        <v>7893</v>
      </c>
      <c r="N104">
        <v>12.032</v>
      </c>
      <c r="P104" s="6" t="s">
        <v>8064</v>
      </c>
      <c r="Q104" s="7">
        <v>236.778</v>
      </c>
      <c r="S104" s="16" t="s">
        <v>8065</v>
      </c>
      <c r="T104" s="16">
        <v>51.1</v>
      </c>
      <c r="V104" t="s">
        <v>7844</v>
      </c>
      <c r="W104" t="s">
        <v>7839</v>
      </c>
      <c r="X104" t="s">
        <v>7888</v>
      </c>
      <c r="Y104">
        <v>5.106</v>
      </c>
      <c r="Z104" t="s">
        <v>7861</v>
      </c>
      <c r="AA104">
        <v>38.941</v>
      </c>
      <c r="AB104">
        <v>0.35</v>
      </c>
      <c r="AC104" s="6" t="s">
        <v>7985</v>
      </c>
      <c r="AD104" s="7">
        <v>64.288</v>
      </c>
      <c r="AE104" s="7">
        <v>0.37</v>
      </c>
    </row>
    <row r="105" spans="1:31">
      <c r="A105" t="s">
        <v>1885</v>
      </c>
      <c r="B105" t="s">
        <v>1886</v>
      </c>
      <c r="C105" t="s">
        <v>1887</v>
      </c>
      <c r="D105" t="s">
        <v>7850</v>
      </c>
      <c r="E105" t="s">
        <v>7839</v>
      </c>
      <c r="F105" t="s">
        <v>7888</v>
      </c>
      <c r="G105" t="s">
        <v>7941</v>
      </c>
      <c r="H105" t="s">
        <v>9</v>
      </c>
      <c r="I105">
        <v>5.103</v>
      </c>
      <c r="J105">
        <v>18.962</v>
      </c>
      <c r="K105">
        <v>0.42</v>
      </c>
      <c r="M105" t="s">
        <v>7885</v>
      </c>
      <c r="N105">
        <v>998.03</v>
      </c>
      <c r="P105" s="6" t="s">
        <v>8066</v>
      </c>
      <c r="Q105" s="7">
        <v>137.307</v>
      </c>
      <c r="S105" s="16" t="s">
        <v>8067</v>
      </c>
      <c r="T105" s="16">
        <v>46.91</v>
      </c>
      <c r="V105" t="s">
        <v>7850</v>
      </c>
      <c r="W105" t="s">
        <v>7839</v>
      </c>
      <c r="X105" t="s">
        <v>7888</v>
      </c>
      <c r="Y105">
        <v>5.103</v>
      </c>
      <c r="Z105" t="s">
        <v>7941</v>
      </c>
      <c r="AA105">
        <v>18.962</v>
      </c>
      <c r="AB105">
        <v>0.42</v>
      </c>
      <c r="AC105" s="6" t="s">
        <v>7988</v>
      </c>
      <c r="AD105" s="7">
        <v>21.19615</v>
      </c>
      <c r="AE105" s="7">
        <v>0.2247</v>
      </c>
    </row>
    <row r="106" spans="1:31">
      <c r="A106" t="s">
        <v>577</v>
      </c>
      <c r="B106" t="s">
        <v>578</v>
      </c>
      <c r="C106" t="s">
        <v>579</v>
      </c>
      <c r="D106" t="s">
        <v>7847</v>
      </c>
      <c r="E106" t="s">
        <v>7839</v>
      </c>
      <c r="F106" t="s">
        <v>7840</v>
      </c>
      <c r="G106" t="s">
        <v>8045</v>
      </c>
      <c r="H106" t="s">
        <v>9</v>
      </c>
      <c r="I106">
        <v>19.484</v>
      </c>
      <c r="J106">
        <v>22.262</v>
      </c>
      <c r="K106">
        <v>0.69</v>
      </c>
      <c r="M106" t="s">
        <v>8060</v>
      </c>
      <c r="N106">
        <v>8.248</v>
      </c>
      <c r="P106" s="6" t="s">
        <v>8068</v>
      </c>
      <c r="Q106" s="7">
        <v>460.019</v>
      </c>
      <c r="S106" s="16" t="s">
        <v>8069</v>
      </c>
      <c r="T106" s="16">
        <v>40.51</v>
      </c>
      <c r="V106" t="s">
        <v>7847</v>
      </c>
      <c r="W106" t="s">
        <v>7839</v>
      </c>
      <c r="X106" t="s">
        <v>7840</v>
      </c>
      <c r="Y106">
        <v>19.484</v>
      </c>
      <c r="Z106" t="s">
        <v>8045</v>
      </c>
      <c r="AA106">
        <v>22.262</v>
      </c>
      <c r="AB106">
        <v>0.69</v>
      </c>
      <c r="AC106" s="6" t="s">
        <v>7991</v>
      </c>
      <c r="AD106" s="7">
        <v>99.629</v>
      </c>
      <c r="AE106" s="7">
        <v>0.6</v>
      </c>
    </row>
    <row r="107" spans="1:31">
      <c r="A107" t="s">
        <v>3006</v>
      </c>
      <c r="B107" t="s">
        <v>3007</v>
      </c>
      <c r="C107" t="s">
        <v>3008</v>
      </c>
      <c r="D107" t="s">
        <v>7844</v>
      </c>
      <c r="E107" t="s">
        <v>7839</v>
      </c>
      <c r="F107" t="s">
        <v>7888</v>
      </c>
      <c r="G107" t="s">
        <v>8070</v>
      </c>
      <c r="H107" t="s">
        <v>9</v>
      </c>
      <c r="I107">
        <v>112.732</v>
      </c>
      <c r="J107">
        <v>11.391</v>
      </c>
      <c r="K107">
        <v>0.35</v>
      </c>
      <c r="M107" t="s">
        <v>8058</v>
      </c>
      <c r="N107">
        <v>27.765</v>
      </c>
      <c r="P107" s="6" t="s">
        <v>7936</v>
      </c>
      <c r="Q107" s="7">
        <v>153.818</v>
      </c>
      <c r="S107" s="16" t="s">
        <v>8071</v>
      </c>
      <c r="T107" s="16">
        <v>38.74</v>
      </c>
      <c r="V107" t="s">
        <v>7844</v>
      </c>
      <c r="W107" t="s">
        <v>7839</v>
      </c>
      <c r="X107" t="s">
        <v>7888</v>
      </c>
      <c r="Y107">
        <v>112.732</v>
      </c>
      <c r="Z107" t="s">
        <v>8070</v>
      </c>
      <c r="AA107">
        <v>11.391</v>
      </c>
      <c r="AB107">
        <v>0.35</v>
      </c>
      <c r="AC107" s="6" t="s">
        <v>7993</v>
      </c>
      <c r="AD107" s="7">
        <v>23.55</v>
      </c>
      <c r="AE107" s="7">
        <v>0.61</v>
      </c>
    </row>
    <row r="108" spans="1:31">
      <c r="A108" t="s">
        <v>1145</v>
      </c>
      <c r="B108" t="s">
        <v>1146</v>
      </c>
      <c r="C108" t="s">
        <v>1147</v>
      </c>
      <c r="D108" t="s">
        <v>7862</v>
      </c>
      <c r="E108" t="s">
        <v>7839</v>
      </c>
      <c r="F108" t="s">
        <v>7853</v>
      </c>
      <c r="G108" t="s">
        <v>7914</v>
      </c>
      <c r="H108" t="s">
        <v>9</v>
      </c>
      <c r="I108">
        <v>751.695</v>
      </c>
      <c r="J108">
        <v>8.92</v>
      </c>
      <c r="K108">
        <v>0.29</v>
      </c>
      <c r="M108" t="s">
        <v>7842</v>
      </c>
      <c r="N108">
        <v>31.534</v>
      </c>
      <c r="P108" s="6" t="s">
        <v>8072</v>
      </c>
      <c r="Q108" s="7">
        <v>512.509</v>
      </c>
      <c r="S108" s="16" t="s">
        <v>8073</v>
      </c>
      <c r="T108" s="16">
        <v>31.63</v>
      </c>
      <c r="V108" t="s">
        <v>7862</v>
      </c>
      <c r="W108" t="s">
        <v>7839</v>
      </c>
      <c r="X108" t="s">
        <v>7853</v>
      </c>
      <c r="Y108">
        <v>751.695</v>
      </c>
      <c r="Z108" t="s">
        <v>7914</v>
      </c>
      <c r="AA108">
        <v>8.92</v>
      </c>
      <c r="AB108">
        <v>0.29</v>
      </c>
      <c r="AC108" s="6" t="s">
        <v>7995</v>
      </c>
      <c r="AD108" s="7">
        <v>22.513</v>
      </c>
      <c r="AE108" s="7">
        <v>0.55</v>
      </c>
    </row>
    <row r="109" spans="1:31">
      <c r="A109" t="s">
        <v>1861</v>
      </c>
      <c r="B109" t="s">
        <v>1862</v>
      </c>
      <c r="C109" t="s">
        <v>1863</v>
      </c>
      <c r="D109" t="s">
        <v>7855</v>
      </c>
      <c r="E109" t="s">
        <v>7839</v>
      </c>
      <c r="F109" t="s">
        <v>7888</v>
      </c>
      <c r="G109" t="s">
        <v>7885</v>
      </c>
      <c r="H109" t="s">
        <v>9</v>
      </c>
      <c r="I109">
        <v>687.065</v>
      </c>
      <c r="J109">
        <v>81.572</v>
      </c>
      <c r="K109">
        <v>0.2</v>
      </c>
      <c r="M109" t="s">
        <v>7861</v>
      </c>
      <c r="N109">
        <v>5.106</v>
      </c>
      <c r="P109" s="6" t="s">
        <v>7975</v>
      </c>
      <c r="Q109" s="7">
        <v>32.746</v>
      </c>
      <c r="S109" s="16" t="s">
        <v>8074</v>
      </c>
      <c r="T109" s="16">
        <v>31.24</v>
      </c>
      <c r="V109" t="s">
        <v>7855</v>
      </c>
      <c r="W109" t="s">
        <v>7839</v>
      </c>
      <c r="X109" t="s">
        <v>7888</v>
      </c>
      <c r="Y109">
        <v>687.065</v>
      </c>
      <c r="Z109" t="s">
        <v>7885</v>
      </c>
      <c r="AA109">
        <v>81.572</v>
      </c>
      <c r="AB109">
        <v>0.2</v>
      </c>
      <c r="AC109" s="6" t="s">
        <v>7860</v>
      </c>
      <c r="AD109" s="7">
        <v>61.5901176470588</v>
      </c>
      <c r="AE109" s="7">
        <v>0.181176470588235</v>
      </c>
    </row>
    <row r="110" spans="1:31">
      <c r="A110" t="s">
        <v>2336</v>
      </c>
      <c r="B110" t="s">
        <v>1938</v>
      </c>
      <c r="C110" t="s">
        <v>2337</v>
      </c>
      <c r="D110" t="s">
        <v>7844</v>
      </c>
      <c r="E110" t="s">
        <v>7839</v>
      </c>
      <c r="F110" t="s">
        <v>7853</v>
      </c>
      <c r="G110" t="s">
        <v>8075</v>
      </c>
      <c r="H110" t="s">
        <v>9</v>
      </c>
      <c r="I110">
        <v>11.793</v>
      </c>
      <c r="J110">
        <v>38.969</v>
      </c>
      <c r="K110">
        <v>0.43</v>
      </c>
      <c r="M110" t="s">
        <v>7941</v>
      </c>
      <c r="N110">
        <v>5.103</v>
      </c>
      <c r="P110" s="6" t="s">
        <v>8070</v>
      </c>
      <c r="Q110" s="7">
        <v>5920.821</v>
      </c>
      <c r="S110" s="16" t="s">
        <v>8076</v>
      </c>
      <c r="T110" s="16">
        <v>30.52</v>
      </c>
      <c r="V110" t="s">
        <v>7844</v>
      </c>
      <c r="W110" t="s">
        <v>7839</v>
      </c>
      <c r="X110" t="s">
        <v>7853</v>
      </c>
      <c r="Y110">
        <v>11.793</v>
      </c>
      <c r="Z110" t="s">
        <v>8075</v>
      </c>
      <c r="AA110">
        <v>38.969</v>
      </c>
      <c r="AB110">
        <v>0.43</v>
      </c>
      <c r="AC110" s="6" t="s">
        <v>8000</v>
      </c>
      <c r="AD110" s="7">
        <v>28.657</v>
      </c>
      <c r="AE110" s="7">
        <v>0.225</v>
      </c>
    </row>
    <row r="111" spans="1:31">
      <c r="A111" t="s">
        <v>3444</v>
      </c>
      <c r="B111" t="s">
        <v>3445</v>
      </c>
      <c r="C111" t="s">
        <v>3446</v>
      </c>
      <c r="D111" t="s">
        <v>7844</v>
      </c>
      <c r="E111" t="s">
        <v>7839</v>
      </c>
      <c r="F111" t="s">
        <v>7840</v>
      </c>
      <c r="G111" t="s">
        <v>7865</v>
      </c>
      <c r="H111" t="s">
        <v>9</v>
      </c>
      <c r="I111">
        <v>47.663</v>
      </c>
      <c r="J111">
        <v>24.361</v>
      </c>
      <c r="K111">
        <v>0.28</v>
      </c>
      <c r="M111" t="s">
        <v>8045</v>
      </c>
      <c r="N111">
        <v>19.484</v>
      </c>
      <c r="P111" s="6" t="s">
        <v>8077</v>
      </c>
      <c r="Q111" s="7">
        <v>729.748</v>
      </c>
      <c r="S111" s="16" t="s">
        <v>8078</v>
      </c>
      <c r="T111" s="16">
        <v>30.31</v>
      </c>
      <c r="V111" t="s">
        <v>7844</v>
      </c>
      <c r="W111" t="s">
        <v>7839</v>
      </c>
      <c r="X111" t="s">
        <v>7840</v>
      </c>
      <c r="Y111">
        <v>47.663</v>
      </c>
      <c r="Z111" t="s">
        <v>7865</v>
      </c>
      <c r="AA111">
        <v>24.361</v>
      </c>
      <c r="AB111">
        <v>0.28</v>
      </c>
      <c r="AC111" s="6" t="s">
        <v>8002</v>
      </c>
      <c r="AD111" s="7">
        <v>20.1023125</v>
      </c>
      <c r="AE111" s="7">
        <v>0.20375</v>
      </c>
    </row>
    <row r="112" spans="1:31">
      <c r="A112" t="s">
        <v>1605</v>
      </c>
      <c r="B112" t="s">
        <v>1606</v>
      </c>
      <c r="C112" t="s">
        <v>1607</v>
      </c>
      <c r="D112" t="s">
        <v>7844</v>
      </c>
      <c r="E112" t="s">
        <v>7839</v>
      </c>
      <c r="F112" t="s">
        <v>7840</v>
      </c>
      <c r="G112" t="s">
        <v>8006</v>
      </c>
      <c r="H112" t="s">
        <v>9</v>
      </c>
      <c r="I112">
        <v>28.934</v>
      </c>
      <c r="J112">
        <v>7.443</v>
      </c>
      <c r="K112">
        <v>0.05</v>
      </c>
      <c r="M112" t="s">
        <v>8070</v>
      </c>
      <c r="N112">
        <v>112.732</v>
      </c>
      <c r="P112" s="6" t="s">
        <v>8079</v>
      </c>
      <c r="Q112" s="7">
        <v>204.731</v>
      </c>
      <c r="S112" s="16" t="s">
        <v>7933</v>
      </c>
      <c r="T112" s="16">
        <v>30.06</v>
      </c>
      <c r="V112" t="s">
        <v>7844</v>
      </c>
      <c r="W112" t="s">
        <v>7839</v>
      </c>
      <c r="X112" t="s">
        <v>7840</v>
      </c>
      <c r="Y112">
        <v>28.934</v>
      </c>
      <c r="Z112" t="s">
        <v>8006</v>
      </c>
      <c r="AA112">
        <v>7.443</v>
      </c>
      <c r="AB112">
        <v>0.05</v>
      </c>
      <c r="AC112" s="6" t="s">
        <v>8004</v>
      </c>
      <c r="AD112" s="7">
        <v>22.6036666666667</v>
      </c>
      <c r="AE112" s="7">
        <v>0.443333333333333</v>
      </c>
    </row>
    <row r="113" spans="1:31">
      <c r="A113" t="s">
        <v>1667</v>
      </c>
      <c r="B113" t="s">
        <v>1668</v>
      </c>
      <c r="C113" t="s">
        <v>1669</v>
      </c>
      <c r="D113" t="s">
        <v>7847</v>
      </c>
      <c r="E113" t="s">
        <v>7839</v>
      </c>
      <c r="F113" t="s">
        <v>7840</v>
      </c>
      <c r="G113" t="s">
        <v>8060</v>
      </c>
      <c r="H113" t="s">
        <v>9</v>
      </c>
      <c r="I113">
        <v>136.521</v>
      </c>
      <c r="J113">
        <v>40.319</v>
      </c>
      <c r="K113">
        <v>0.4</v>
      </c>
      <c r="M113" t="s">
        <v>7914</v>
      </c>
      <c r="N113">
        <v>751.695</v>
      </c>
      <c r="P113" s="6" t="s">
        <v>8080</v>
      </c>
      <c r="Q113" s="7">
        <v>22821.149</v>
      </c>
      <c r="S113" s="16" t="s">
        <v>8081</v>
      </c>
      <c r="T113" s="16">
        <v>29.75</v>
      </c>
      <c r="V113" t="s">
        <v>7847</v>
      </c>
      <c r="W113" t="s">
        <v>7839</v>
      </c>
      <c r="X113" t="s">
        <v>7840</v>
      </c>
      <c r="Y113">
        <v>136.521</v>
      </c>
      <c r="Z113" t="s">
        <v>8060</v>
      </c>
      <c r="AA113">
        <v>40.319</v>
      </c>
      <c r="AB113">
        <v>0.4</v>
      </c>
      <c r="AC113" s="6" t="s">
        <v>8007</v>
      </c>
      <c r="AD113" s="7">
        <v>27.6564285714286</v>
      </c>
      <c r="AE113" s="7">
        <v>0.362857142857143</v>
      </c>
    </row>
    <row r="114" spans="1:31">
      <c r="A114" t="s">
        <v>2447</v>
      </c>
      <c r="B114" t="s">
        <v>2448</v>
      </c>
      <c r="C114" t="s">
        <v>2449</v>
      </c>
      <c r="D114" t="s">
        <v>7862</v>
      </c>
      <c r="E114" t="s">
        <v>7839</v>
      </c>
      <c r="F114" t="s">
        <v>7888</v>
      </c>
      <c r="G114" t="s">
        <v>7854</v>
      </c>
      <c r="H114" t="s">
        <v>9</v>
      </c>
      <c r="I114">
        <v>46642.539</v>
      </c>
      <c r="J114">
        <v>44.484</v>
      </c>
      <c r="K114">
        <v>0.15</v>
      </c>
      <c r="M114" t="s">
        <v>7885</v>
      </c>
      <c r="N114">
        <v>687.065</v>
      </c>
      <c r="P114" s="6" t="s">
        <v>7885</v>
      </c>
      <c r="Q114" s="7">
        <v>46640.875</v>
      </c>
      <c r="S114" s="16" t="s">
        <v>8082</v>
      </c>
      <c r="T114" s="16">
        <v>28.67</v>
      </c>
      <c r="V114" t="s">
        <v>7862</v>
      </c>
      <c r="W114" t="s">
        <v>7839</v>
      </c>
      <c r="X114" t="s">
        <v>7888</v>
      </c>
      <c r="Y114">
        <v>46642.539</v>
      </c>
      <c r="Z114" t="s">
        <v>7854</v>
      </c>
      <c r="AA114">
        <v>44.484</v>
      </c>
      <c r="AB114">
        <v>0.15</v>
      </c>
      <c r="AC114" s="6" t="s">
        <v>8009</v>
      </c>
      <c r="AD114" s="7">
        <v>98.355</v>
      </c>
      <c r="AE114" s="7">
        <v>0.725</v>
      </c>
    </row>
    <row r="115" spans="1:31">
      <c r="A115" t="s">
        <v>911</v>
      </c>
      <c r="B115" t="s">
        <v>912</v>
      </c>
      <c r="C115" t="s">
        <v>913</v>
      </c>
      <c r="D115" t="s">
        <v>7844</v>
      </c>
      <c r="E115" t="s">
        <v>7839</v>
      </c>
      <c r="F115" t="s">
        <v>7840</v>
      </c>
      <c r="G115" t="s">
        <v>7905</v>
      </c>
      <c r="H115" t="s">
        <v>9</v>
      </c>
      <c r="I115">
        <v>443.086</v>
      </c>
      <c r="J115">
        <v>17.159</v>
      </c>
      <c r="K115">
        <v>0.4</v>
      </c>
      <c r="M115" t="s">
        <v>8075</v>
      </c>
      <c r="N115">
        <v>11.793</v>
      </c>
      <c r="P115" s="6" t="s">
        <v>8083</v>
      </c>
      <c r="Q115" s="7">
        <v>836.071</v>
      </c>
      <c r="S115" s="16" t="s">
        <v>8084</v>
      </c>
      <c r="T115" s="16">
        <v>15.83</v>
      </c>
      <c r="V115" t="s">
        <v>7844</v>
      </c>
      <c r="W115" t="s">
        <v>7839</v>
      </c>
      <c r="X115" t="s">
        <v>7840</v>
      </c>
      <c r="Y115">
        <v>443.086</v>
      </c>
      <c r="Z115" t="s">
        <v>7905</v>
      </c>
      <c r="AA115">
        <v>17.159</v>
      </c>
      <c r="AB115">
        <v>0.4</v>
      </c>
      <c r="AC115" s="6" t="s">
        <v>7868</v>
      </c>
      <c r="AD115" s="7">
        <v>70.7425</v>
      </c>
      <c r="AE115" s="7">
        <v>0.71</v>
      </c>
    </row>
    <row r="116" spans="1:31">
      <c r="A116" t="s">
        <v>893</v>
      </c>
      <c r="B116" t="s">
        <v>894</v>
      </c>
      <c r="C116" t="s">
        <v>895</v>
      </c>
      <c r="D116" t="s">
        <v>7844</v>
      </c>
      <c r="E116" t="s">
        <v>7839</v>
      </c>
      <c r="F116" t="s">
        <v>7840</v>
      </c>
      <c r="G116" t="s">
        <v>7890</v>
      </c>
      <c r="H116" t="s">
        <v>9</v>
      </c>
      <c r="I116">
        <v>60.335</v>
      </c>
      <c r="J116">
        <v>12.886</v>
      </c>
      <c r="K116">
        <v>0.27</v>
      </c>
      <c r="M116" t="s">
        <v>7865</v>
      </c>
      <c r="N116">
        <v>47.663</v>
      </c>
      <c r="P116" s="6" t="s">
        <v>8085</v>
      </c>
      <c r="Q116" s="7">
        <v>2124.367</v>
      </c>
      <c r="S116" s="16" t="s">
        <v>8086</v>
      </c>
      <c r="T116" s="16">
        <v>12.08</v>
      </c>
      <c r="V116" t="s">
        <v>7844</v>
      </c>
      <c r="W116" t="s">
        <v>7839</v>
      </c>
      <c r="X116" t="s">
        <v>7840</v>
      </c>
      <c r="Y116">
        <v>60.335</v>
      </c>
      <c r="Z116" t="s">
        <v>7890</v>
      </c>
      <c r="AA116">
        <v>12.886</v>
      </c>
      <c r="AB116">
        <v>0.27</v>
      </c>
      <c r="AC116" s="6" t="s">
        <v>8012</v>
      </c>
      <c r="AD116" s="7">
        <v>19.3095</v>
      </c>
      <c r="AE116" s="7">
        <v>0.31</v>
      </c>
    </row>
    <row r="117" spans="1:31">
      <c r="A117" t="s">
        <v>2561</v>
      </c>
      <c r="B117" t="s">
        <v>2562</v>
      </c>
      <c r="C117" t="s">
        <v>2563</v>
      </c>
      <c r="D117" t="s">
        <v>7862</v>
      </c>
      <c r="E117" t="s">
        <v>7848</v>
      </c>
      <c r="F117" t="s">
        <v>7888</v>
      </c>
      <c r="G117" t="s">
        <v>8051</v>
      </c>
      <c r="H117" t="s">
        <v>9</v>
      </c>
      <c r="I117">
        <v>9.721</v>
      </c>
      <c r="J117">
        <v>0.012</v>
      </c>
      <c r="K117">
        <v>0.58</v>
      </c>
      <c r="M117" t="s">
        <v>8006</v>
      </c>
      <c r="N117">
        <v>28.934</v>
      </c>
      <c r="P117" s="6" t="s">
        <v>8087</v>
      </c>
      <c r="Q117" s="7">
        <v>361.272</v>
      </c>
      <c r="S117" s="16" t="s">
        <v>8088</v>
      </c>
      <c r="T117" s="16">
        <v>12.03</v>
      </c>
      <c r="V117" t="s">
        <v>7862</v>
      </c>
      <c r="W117" t="s">
        <v>7848</v>
      </c>
      <c r="X117" t="s">
        <v>7888</v>
      </c>
      <c r="Y117">
        <v>9.721</v>
      </c>
      <c r="Z117" t="s">
        <v>8051</v>
      </c>
      <c r="AA117">
        <v>0.012</v>
      </c>
      <c r="AB117">
        <v>0.58</v>
      </c>
      <c r="AC117" s="6" t="s">
        <v>8014</v>
      </c>
      <c r="AD117" s="7">
        <v>11.687</v>
      </c>
      <c r="AE117" s="7">
        <v>0.0915</v>
      </c>
    </row>
    <row r="118" spans="1:31">
      <c r="A118" t="s">
        <v>2518</v>
      </c>
      <c r="B118" t="s">
        <v>2519</v>
      </c>
      <c r="C118" t="s">
        <v>2520</v>
      </c>
      <c r="D118" t="s">
        <v>7847</v>
      </c>
      <c r="E118" t="s">
        <v>7839</v>
      </c>
      <c r="F118" t="s">
        <v>7840</v>
      </c>
      <c r="G118" t="s">
        <v>8070</v>
      </c>
      <c r="H118" t="s">
        <v>9</v>
      </c>
      <c r="I118">
        <v>2839.158</v>
      </c>
      <c r="J118">
        <v>4.479</v>
      </c>
      <c r="K118">
        <v>0.07</v>
      </c>
      <c r="M118" t="s">
        <v>8060</v>
      </c>
      <c r="N118">
        <v>136.521</v>
      </c>
      <c r="P118" s="6" t="s">
        <v>7925</v>
      </c>
      <c r="Q118" s="7">
        <v>988.077</v>
      </c>
      <c r="S118" s="16" t="s">
        <v>7886</v>
      </c>
      <c r="T118" s="16">
        <v>10.4</v>
      </c>
      <c r="V118" t="s">
        <v>7847</v>
      </c>
      <c r="W118" t="s">
        <v>7839</v>
      </c>
      <c r="X118" t="s">
        <v>7840</v>
      </c>
      <c r="Y118">
        <v>2839.158</v>
      </c>
      <c r="Z118" t="s">
        <v>8070</v>
      </c>
      <c r="AA118">
        <v>4.479</v>
      </c>
      <c r="AB118">
        <v>0.07</v>
      </c>
      <c r="AC118" s="6" t="s">
        <v>7922</v>
      </c>
      <c r="AD118" s="7">
        <v>21.198</v>
      </c>
      <c r="AE118" s="7">
        <v>0.5</v>
      </c>
    </row>
    <row r="119" spans="1:31">
      <c r="A119" t="s">
        <v>318</v>
      </c>
      <c r="B119" t="s">
        <v>319</v>
      </c>
      <c r="C119" t="s">
        <v>320</v>
      </c>
      <c r="D119" t="s">
        <v>7847</v>
      </c>
      <c r="E119" t="s">
        <v>7839</v>
      </c>
      <c r="F119" t="s">
        <v>7840</v>
      </c>
      <c r="G119" t="s">
        <v>8054</v>
      </c>
      <c r="H119" t="s">
        <v>9</v>
      </c>
      <c r="I119">
        <v>109.865</v>
      </c>
      <c r="J119">
        <v>28.65</v>
      </c>
      <c r="K119">
        <v>0.5</v>
      </c>
      <c r="M119" t="s">
        <v>7854</v>
      </c>
      <c r="N119">
        <v>46642.539</v>
      </c>
      <c r="P119" s="6" t="s">
        <v>8089</v>
      </c>
      <c r="Q119" s="7">
        <v>1347.671</v>
      </c>
      <c r="S119" s="16" t="s">
        <v>8090</v>
      </c>
      <c r="T119" s="16">
        <v>6.05</v>
      </c>
      <c r="V119" t="s">
        <v>7847</v>
      </c>
      <c r="W119" t="s">
        <v>7839</v>
      </c>
      <c r="X119" t="s">
        <v>7840</v>
      </c>
      <c r="Y119">
        <v>109.865</v>
      </c>
      <c r="Z119" t="s">
        <v>8054</v>
      </c>
      <c r="AA119">
        <v>28.65</v>
      </c>
      <c r="AB119">
        <v>0.5</v>
      </c>
      <c r="AC119" s="6" t="s">
        <v>7943</v>
      </c>
      <c r="AD119" s="7">
        <v>16.0301875</v>
      </c>
      <c r="AE119" s="7">
        <v>0.336875</v>
      </c>
    </row>
    <row r="120" spans="1:31">
      <c r="A120" t="s">
        <v>1961</v>
      </c>
      <c r="B120" t="s">
        <v>1962</v>
      </c>
      <c r="C120" t="s">
        <v>1963</v>
      </c>
      <c r="D120" t="s">
        <v>7844</v>
      </c>
      <c r="E120" t="s">
        <v>7839</v>
      </c>
      <c r="F120" t="s">
        <v>7888</v>
      </c>
      <c r="G120" t="s">
        <v>7988</v>
      </c>
      <c r="H120" t="s">
        <v>9</v>
      </c>
      <c r="I120">
        <v>629.137</v>
      </c>
      <c r="J120">
        <v>19.244</v>
      </c>
      <c r="K120">
        <v>0.003</v>
      </c>
      <c r="M120" t="s">
        <v>7905</v>
      </c>
      <c r="N120">
        <v>443.086</v>
      </c>
      <c r="P120" s="6" t="s">
        <v>8091</v>
      </c>
      <c r="Q120" s="7">
        <v>113.092</v>
      </c>
      <c r="S120" s="16" t="s">
        <v>8047</v>
      </c>
      <c r="T120" s="16">
        <v>5.3</v>
      </c>
      <c r="V120" t="s">
        <v>7844</v>
      </c>
      <c r="W120" t="s">
        <v>7839</v>
      </c>
      <c r="X120" t="s">
        <v>7888</v>
      </c>
      <c r="Y120">
        <v>629.137</v>
      </c>
      <c r="Z120" t="s">
        <v>7988</v>
      </c>
      <c r="AA120">
        <v>19.244</v>
      </c>
      <c r="AB120">
        <v>0.003</v>
      </c>
      <c r="AC120" s="6" t="s">
        <v>7941</v>
      </c>
      <c r="AD120" s="7">
        <v>10.5481071428571</v>
      </c>
      <c r="AE120" s="7">
        <v>0.218214285714286</v>
      </c>
    </row>
    <row r="121" spans="1:31">
      <c r="A121" t="s">
        <v>559</v>
      </c>
      <c r="B121" t="s">
        <v>560</v>
      </c>
      <c r="C121" t="s">
        <v>561</v>
      </c>
      <c r="D121" t="s">
        <v>7838</v>
      </c>
      <c r="E121" t="s">
        <v>7848</v>
      </c>
      <c r="F121" t="s">
        <v>7840</v>
      </c>
      <c r="G121" t="s">
        <v>7963</v>
      </c>
      <c r="H121" t="s">
        <v>9</v>
      </c>
      <c r="I121">
        <v>77.556</v>
      </c>
      <c r="J121">
        <v>19.24</v>
      </c>
      <c r="K121">
        <v>0.59</v>
      </c>
      <c r="M121" t="s">
        <v>7890</v>
      </c>
      <c r="N121">
        <v>60.335</v>
      </c>
      <c r="P121" s="6" t="s">
        <v>8092</v>
      </c>
      <c r="Q121" s="7">
        <v>8364.919</v>
      </c>
      <c r="S121" s="16" t="s">
        <v>8093</v>
      </c>
      <c r="T121" s="16">
        <v>5.14</v>
      </c>
      <c r="V121" t="s">
        <v>7838</v>
      </c>
      <c r="W121" t="s">
        <v>7848</v>
      </c>
      <c r="X121" t="s">
        <v>7840</v>
      </c>
      <c r="Y121">
        <v>77.556</v>
      </c>
      <c r="Z121" t="s">
        <v>7963</v>
      </c>
      <c r="AA121">
        <v>19.24</v>
      </c>
      <c r="AB121">
        <v>0.59</v>
      </c>
      <c r="AC121" s="6" t="s">
        <v>8020</v>
      </c>
      <c r="AD121" s="7">
        <v>43.665</v>
      </c>
      <c r="AE121" s="7">
        <v>0.25</v>
      </c>
    </row>
    <row r="122" spans="1:31">
      <c r="A122" t="s">
        <v>1310</v>
      </c>
      <c r="B122" t="s">
        <v>1311</v>
      </c>
      <c r="C122" t="s">
        <v>1312</v>
      </c>
      <c r="D122" t="s">
        <v>7862</v>
      </c>
      <c r="E122" t="s">
        <v>7839</v>
      </c>
      <c r="F122" t="s">
        <v>7888</v>
      </c>
      <c r="G122" t="s">
        <v>7854</v>
      </c>
      <c r="H122" t="s">
        <v>9</v>
      </c>
      <c r="I122">
        <v>1667.713</v>
      </c>
      <c r="J122">
        <v>99.777</v>
      </c>
      <c r="K122">
        <v>0.2</v>
      </c>
      <c r="M122" t="s">
        <v>8051</v>
      </c>
      <c r="N122">
        <v>9.721</v>
      </c>
      <c r="P122" s="6" t="s">
        <v>8094</v>
      </c>
      <c r="Q122" s="7">
        <v>374.641</v>
      </c>
      <c r="S122" s="16" t="s">
        <v>8095</v>
      </c>
      <c r="T122" s="16">
        <v>3.55</v>
      </c>
      <c r="V122" t="s">
        <v>7862</v>
      </c>
      <c r="W122" t="s">
        <v>7839</v>
      </c>
      <c r="X122" t="s">
        <v>7888</v>
      </c>
      <c r="Y122">
        <v>1667.713</v>
      </c>
      <c r="Z122" t="s">
        <v>7854</v>
      </c>
      <c r="AA122">
        <v>99.777</v>
      </c>
      <c r="AB122">
        <v>0.2</v>
      </c>
      <c r="AC122" s="6" t="s">
        <v>8022</v>
      </c>
      <c r="AD122" s="7">
        <v>98.612</v>
      </c>
      <c r="AE122" s="7">
        <v>0.25</v>
      </c>
    </row>
    <row r="123" spans="1:31">
      <c r="A123" t="s">
        <v>983</v>
      </c>
      <c r="B123" t="s">
        <v>984</v>
      </c>
      <c r="C123" t="s">
        <v>985</v>
      </c>
      <c r="D123" t="s">
        <v>7844</v>
      </c>
      <c r="E123" t="s">
        <v>7839</v>
      </c>
      <c r="F123" t="s">
        <v>7840</v>
      </c>
      <c r="G123" t="s">
        <v>7890</v>
      </c>
      <c r="H123" t="s">
        <v>9</v>
      </c>
      <c r="I123">
        <v>150.948</v>
      </c>
      <c r="J123">
        <v>14.244</v>
      </c>
      <c r="K123">
        <v>0.15</v>
      </c>
      <c r="M123" t="s">
        <v>8070</v>
      </c>
      <c r="N123">
        <v>2839.158</v>
      </c>
      <c r="P123" s="6" t="s">
        <v>7898</v>
      </c>
      <c r="Q123" s="7">
        <v>28.404</v>
      </c>
      <c r="S123" s="16" t="s">
        <v>8096</v>
      </c>
      <c r="T123" s="16">
        <v>1.96</v>
      </c>
      <c r="V123" t="s">
        <v>7844</v>
      </c>
      <c r="W123" t="s">
        <v>7839</v>
      </c>
      <c r="X123" t="s">
        <v>7840</v>
      </c>
      <c r="Y123">
        <v>150.948</v>
      </c>
      <c r="Z123" t="s">
        <v>7890</v>
      </c>
      <c r="AA123">
        <v>14.244</v>
      </c>
      <c r="AB123">
        <v>0.15</v>
      </c>
      <c r="AC123" s="6" t="s">
        <v>8024</v>
      </c>
      <c r="AD123" s="7">
        <v>56.409</v>
      </c>
      <c r="AE123" s="7">
        <v>0.295</v>
      </c>
    </row>
    <row r="124" spans="1:31">
      <c r="A124" t="s">
        <v>3902</v>
      </c>
      <c r="B124" t="s">
        <v>3903</v>
      </c>
      <c r="C124" t="s">
        <v>3904</v>
      </c>
      <c r="D124" t="s">
        <v>7850</v>
      </c>
      <c r="E124" t="s">
        <v>7839</v>
      </c>
      <c r="F124" t="s">
        <v>7840</v>
      </c>
      <c r="G124" t="s">
        <v>8097</v>
      </c>
      <c r="H124" t="s">
        <v>9</v>
      </c>
      <c r="I124">
        <v>159.178</v>
      </c>
      <c r="J124">
        <v>12.831</v>
      </c>
      <c r="K124">
        <v>0.02</v>
      </c>
      <c r="M124" t="s">
        <v>8054</v>
      </c>
      <c r="N124">
        <v>109.865</v>
      </c>
      <c r="P124" s="6" t="s">
        <v>7841</v>
      </c>
      <c r="Q124" s="7">
        <v>6.078</v>
      </c>
      <c r="S124" s="16" t="s">
        <v>45</v>
      </c>
      <c r="U124" s="8">
        <f>1-SUM(U14:U24)</f>
        <v>0.117789154435324</v>
      </c>
      <c r="V124" t="s">
        <v>7850</v>
      </c>
      <c r="W124" t="s">
        <v>7839</v>
      </c>
      <c r="X124" t="s">
        <v>7840</v>
      </c>
      <c r="Y124">
        <v>159.178</v>
      </c>
      <c r="Z124" t="s">
        <v>8097</v>
      </c>
      <c r="AA124">
        <v>12.831</v>
      </c>
      <c r="AB124">
        <v>0.02</v>
      </c>
      <c r="AC124" s="6" t="s">
        <v>7999</v>
      </c>
      <c r="AD124" s="7">
        <v>6.2482</v>
      </c>
      <c r="AE124" s="7">
        <v>0.41</v>
      </c>
    </row>
    <row r="125" spans="1:31">
      <c r="A125" t="s">
        <v>786</v>
      </c>
      <c r="B125" t="s">
        <v>787</v>
      </c>
      <c r="C125" t="s">
        <v>788</v>
      </c>
      <c r="D125" t="s">
        <v>7850</v>
      </c>
      <c r="E125" t="s">
        <v>7839</v>
      </c>
      <c r="F125" t="s">
        <v>7840</v>
      </c>
      <c r="G125" t="s">
        <v>8077</v>
      </c>
      <c r="H125" t="s">
        <v>9</v>
      </c>
      <c r="I125">
        <v>6.906</v>
      </c>
      <c r="J125">
        <v>10.385</v>
      </c>
      <c r="K125">
        <v>0.49</v>
      </c>
      <c r="M125" t="s">
        <v>7988</v>
      </c>
      <c r="N125">
        <v>629.137</v>
      </c>
      <c r="P125" s="6" t="s">
        <v>8098</v>
      </c>
      <c r="Q125" s="7">
        <v>146.79</v>
      </c>
      <c r="V125" t="s">
        <v>7850</v>
      </c>
      <c r="W125" t="s">
        <v>7839</v>
      </c>
      <c r="X125" t="s">
        <v>7840</v>
      </c>
      <c r="Y125">
        <v>6.906</v>
      </c>
      <c r="Z125" t="s">
        <v>8077</v>
      </c>
      <c r="AA125">
        <v>10.385</v>
      </c>
      <c r="AB125">
        <v>0.49</v>
      </c>
      <c r="AC125" s="6" t="s">
        <v>7854</v>
      </c>
      <c r="AD125" s="7">
        <v>34.8635217391304</v>
      </c>
      <c r="AE125" s="7">
        <v>0.146434782608696</v>
      </c>
    </row>
    <row r="126" spans="1:31">
      <c r="A126" t="s">
        <v>1575</v>
      </c>
      <c r="B126" t="s">
        <v>1576</v>
      </c>
      <c r="C126" t="s">
        <v>1577</v>
      </c>
      <c r="D126" t="s">
        <v>7846</v>
      </c>
      <c r="E126" t="s">
        <v>7839</v>
      </c>
      <c r="F126" t="s">
        <v>7840</v>
      </c>
      <c r="G126" t="s">
        <v>8030</v>
      </c>
      <c r="H126" t="s">
        <v>9</v>
      </c>
      <c r="I126">
        <v>7146.353</v>
      </c>
      <c r="J126">
        <v>82.045</v>
      </c>
      <c r="K126">
        <v>0.21</v>
      </c>
      <c r="M126" t="s">
        <v>7963</v>
      </c>
      <c r="N126">
        <v>77.556</v>
      </c>
      <c r="P126" s="6" t="s">
        <v>8033</v>
      </c>
      <c r="Q126" s="7">
        <v>72274.486</v>
      </c>
      <c r="V126" t="s">
        <v>7846</v>
      </c>
      <c r="W126" t="s">
        <v>7839</v>
      </c>
      <c r="X126" t="s">
        <v>7840</v>
      </c>
      <c r="Y126">
        <v>7146.353</v>
      </c>
      <c r="Z126" t="s">
        <v>8030</v>
      </c>
      <c r="AA126">
        <v>82.045</v>
      </c>
      <c r="AB126">
        <v>0.21</v>
      </c>
      <c r="AC126" s="6" t="s">
        <v>8028</v>
      </c>
      <c r="AD126" s="7">
        <v>60.9441428571429</v>
      </c>
      <c r="AE126" s="7">
        <v>0.297142857142857</v>
      </c>
    </row>
    <row r="127" spans="1:31">
      <c r="A127" t="s">
        <v>686</v>
      </c>
      <c r="B127" t="s">
        <v>687</v>
      </c>
      <c r="C127" t="s">
        <v>688</v>
      </c>
      <c r="D127" t="s">
        <v>7847</v>
      </c>
      <c r="E127" t="s">
        <v>7839</v>
      </c>
      <c r="F127" t="s">
        <v>7888</v>
      </c>
      <c r="G127" t="s">
        <v>8028</v>
      </c>
      <c r="H127" t="s">
        <v>9</v>
      </c>
      <c r="I127">
        <v>161.939</v>
      </c>
      <c r="J127">
        <v>92.394</v>
      </c>
      <c r="K127">
        <v>0.35</v>
      </c>
      <c r="M127" t="s">
        <v>7854</v>
      </c>
      <c r="N127">
        <v>1667.713</v>
      </c>
      <c r="P127" s="6" t="s">
        <v>8099</v>
      </c>
      <c r="Q127" s="7">
        <v>1054.045</v>
      </c>
      <c r="V127" t="s">
        <v>7847</v>
      </c>
      <c r="W127" t="s">
        <v>7839</v>
      </c>
      <c r="X127" t="s">
        <v>7888</v>
      </c>
      <c r="Y127">
        <v>161.939</v>
      </c>
      <c r="Z127" t="s">
        <v>8028</v>
      </c>
      <c r="AA127">
        <v>92.394</v>
      </c>
      <c r="AB127">
        <v>0.35</v>
      </c>
      <c r="AC127" s="6" t="s">
        <v>8030</v>
      </c>
      <c r="AD127" s="7">
        <v>23.2098888888889</v>
      </c>
      <c r="AE127" s="7">
        <v>0.373333333333333</v>
      </c>
    </row>
    <row r="128" spans="1:31">
      <c r="A128" t="s">
        <v>1931</v>
      </c>
      <c r="B128" t="s">
        <v>1932</v>
      </c>
      <c r="C128" t="s">
        <v>1933</v>
      </c>
      <c r="D128" t="s">
        <v>7850</v>
      </c>
      <c r="E128" t="s">
        <v>7839</v>
      </c>
      <c r="F128" t="s">
        <v>7840</v>
      </c>
      <c r="G128" t="s">
        <v>8033</v>
      </c>
      <c r="H128" t="s">
        <v>9</v>
      </c>
      <c r="I128">
        <v>2130.031</v>
      </c>
      <c r="J128">
        <v>2.893</v>
      </c>
      <c r="K128">
        <v>0.03</v>
      </c>
      <c r="M128" t="s">
        <v>7890</v>
      </c>
      <c r="N128">
        <v>150.948</v>
      </c>
      <c r="P128" s="6" t="s">
        <v>7984</v>
      </c>
      <c r="Q128" s="7">
        <v>34.167</v>
      </c>
      <c r="V128" t="s">
        <v>7850</v>
      </c>
      <c r="W128" t="s">
        <v>7839</v>
      </c>
      <c r="X128" t="s">
        <v>7840</v>
      </c>
      <c r="Y128">
        <v>2130.031</v>
      </c>
      <c r="Z128" t="s">
        <v>8033</v>
      </c>
      <c r="AA128">
        <v>2.893</v>
      </c>
      <c r="AB128">
        <v>0.03</v>
      </c>
      <c r="AC128" s="6" t="s">
        <v>7956</v>
      </c>
      <c r="AD128" s="7">
        <v>12.7242857142857</v>
      </c>
      <c r="AE128" s="7">
        <v>0.29875</v>
      </c>
    </row>
    <row r="129" spans="1:31">
      <c r="A129" t="s">
        <v>1004</v>
      </c>
      <c r="B129" t="s">
        <v>1005</v>
      </c>
      <c r="C129" t="s">
        <v>1006</v>
      </c>
      <c r="D129" t="s">
        <v>7844</v>
      </c>
      <c r="E129" t="s">
        <v>7839</v>
      </c>
      <c r="F129" t="s">
        <v>7853</v>
      </c>
      <c r="G129" t="s">
        <v>7969</v>
      </c>
      <c r="H129" t="s">
        <v>9</v>
      </c>
      <c r="I129">
        <v>151.97</v>
      </c>
      <c r="J129">
        <v>18.773</v>
      </c>
      <c r="K129">
        <v>0.29</v>
      </c>
      <c r="M129" t="s">
        <v>8097</v>
      </c>
      <c r="N129">
        <v>159.178</v>
      </c>
      <c r="P129" s="6" t="s">
        <v>7892</v>
      </c>
      <c r="Q129" s="7">
        <v>4379.92</v>
      </c>
      <c r="V129" t="s">
        <v>7844</v>
      </c>
      <c r="W129" t="s">
        <v>7839</v>
      </c>
      <c r="X129" t="s">
        <v>7853</v>
      </c>
      <c r="Y129">
        <v>151.97</v>
      </c>
      <c r="Z129" t="s">
        <v>7969</v>
      </c>
      <c r="AA129">
        <v>18.773</v>
      </c>
      <c r="AB129">
        <v>0.29</v>
      </c>
      <c r="AC129" s="6" t="s">
        <v>8034</v>
      </c>
      <c r="AD129" s="7">
        <v>18.8238181818182</v>
      </c>
      <c r="AE129" s="7">
        <v>0.222727272727273</v>
      </c>
    </row>
    <row r="130" spans="1:31">
      <c r="A130" t="s">
        <v>1814</v>
      </c>
      <c r="B130" t="s">
        <v>1815</v>
      </c>
      <c r="C130" t="s">
        <v>1816</v>
      </c>
      <c r="D130" t="s">
        <v>7850</v>
      </c>
      <c r="E130" t="s">
        <v>7839</v>
      </c>
      <c r="F130" t="s">
        <v>7840</v>
      </c>
      <c r="G130" t="s">
        <v>8083</v>
      </c>
      <c r="H130" t="s">
        <v>9</v>
      </c>
      <c r="I130">
        <v>7.975</v>
      </c>
      <c r="J130">
        <v>15.945</v>
      </c>
      <c r="K130">
        <v>0.48</v>
      </c>
      <c r="M130" t="s">
        <v>8077</v>
      </c>
      <c r="N130">
        <v>6.906</v>
      </c>
      <c r="P130" s="6" t="s">
        <v>7852</v>
      </c>
      <c r="Q130" s="7">
        <v>160707.319</v>
      </c>
      <c r="V130" t="s">
        <v>7850</v>
      </c>
      <c r="W130" t="s">
        <v>7839</v>
      </c>
      <c r="X130" t="s">
        <v>7840</v>
      </c>
      <c r="Y130">
        <v>7.975</v>
      </c>
      <c r="Z130" t="s">
        <v>8083</v>
      </c>
      <c r="AA130">
        <v>15.945</v>
      </c>
      <c r="AB130">
        <v>0.48</v>
      </c>
      <c r="AC130" s="6" t="s">
        <v>8036</v>
      </c>
      <c r="AD130" s="7">
        <v>100.022</v>
      </c>
      <c r="AE130" s="7">
        <v>0.85</v>
      </c>
    </row>
    <row r="131" spans="1:31">
      <c r="A131" t="s">
        <v>348</v>
      </c>
      <c r="B131" t="s">
        <v>349</v>
      </c>
      <c r="C131" t="s">
        <v>350</v>
      </c>
      <c r="D131" t="s">
        <v>7847</v>
      </c>
      <c r="E131" t="s">
        <v>7839</v>
      </c>
      <c r="F131" t="s">
        <v>7840</v>
      </c>
      <c r="G131" t="s">
        <v>7882</v>
      </c>
      <c r="H131" t="s">
        <v>9</v>
      </c>
      <c r="I131">
        <v>64.827</v>
      </c>
      <c r="J131">
        <v>41.759</v>
      </c>
      <c r="K131">
        <v>0.97</v>
      </c>
      <c r="M131" t="s">
        <v>8030</v>
      </c>
      <c r="N131">
        <v>7146.353</v>
      </c>
      <c r="P131" s="6" t="s">
        <v>8100</v>
      </c>
      <c r="Q131" s="7">
        <v>374.915</v>
      </c>
      <c r="V131" t="s">
        <v>7847</v>
      </c>
      <c r="W131" t="s">
        <v>7839</v>
      </c>
      <c r="X131" t="s">
        <v>7840</v>
      </c>
      <c r="Y131">
        <v>64.827</v>
      </c>
      <c r="Z131" t="s">
        <v>7882</v>
      </c>
      <c r="AA131">
        <v>41.759</v>
      </c>
      <c r="AB131">
        <v>0.97</v>
      </c>
      <c r="AC131" s="6" t="s">
        <v>7910</v>
      </c>
      <c r="AD131" s="7">
        <v>50.09675</v>
      </c>
      <c r="AE131" s="7">
        <v>0.7375</v>
      </c>
    </row>
    <row r="132" spans="1:31">
      <c r="A132" t="s">
        <v>1065</v>
      </c>
      <c r="B132" t="s">
        <v>1066</v>
      </c>
      <c r="C132" t="s">
        <v>1067</v>
      </c>
      <c r="D132" t="s">
        <v>7844</v>
      </c>
      <c r="E132" t="s">
        <v>7839</v>
      </c>
      <c r="F132" t="s">
        <v>7853</v>
      </c>
      <c r="G132" t="s">
        <v>7988</v>
      </c>
      <c r="H132" t="s">
        <v>9</v>
      </c>
      <c r="I132">
        <v>1483.185</v>
      </c>
      <c r="J132">
        <v>11.617</v>
      </c>
      <c r="K132">
        <v>0.3</v>
      </c>
      <c r="M132" t="s">
        <v>8028</v>
      </c>
      <c r="N132">
        <v>161.939</v>
      </c>
      <c r="P132" s="6" t="s">
        <v>8017</v>
      </c>
      <c r="Q132" s="7">
        <v>169.875</v>
      </c>
      <c r="V132" t="s">
        <v>7844</v>
      </c>
      <c r="W132" t="s">
        <v>7839</v>
      </c>
      <c r="X132" t="s">
        <v>7853</v>
      </c>
      <c r="Y132">
        <v>1483.185</v>
      </c>
      <c r="Z132" t="s">
        <v>7988</v>
      </c>
      <c r="AA132">
        <v>11.617</v>
      </c>
      <c r="AB132">
        <v>0.3</v>
      </c>
      <c r="AC132" s="6" t="s">
        <v>7919</v>
      </c>
      <c r="AD132" s="7">
        <v>99.353</v>
      </c>
      <c r="AE132" s="7">
        <v>0.75</v>
      </c>
    </row>
    <row r="133" spans="1:31">
      <c r="A133" t="s">
        <v>1952</v>
      </c>
      <c r="B133" t="s">
        <v>1953</v>
      </c>
      <c r="C133" t="s">
        <v>1954</v>
      </c>
      <c r="D133" t="s">
        <v>7844</v>
      </c>
      <c r="E133" t="s">
        <v>7839</v>
      </c>
      <c r="F133" t="s">
        <v>7840</v>
      </c>
      <c r="G133" t="s">
        <v>7852</v>
      </c>
      <c r="H133" t="s">
        <v>9</v>
      </c>
      <c r="I133">
        <v>2914.921</v>
      </c>
      <c r="J133">
        <v>9.202</v>
      </c>
      <c r="K133">
        <v>0.35</v>
      </c>
      <c r="M133" t="s">
        <v>8033</v>
      </c>
      <c r="N133">
        <v>2130.031</v>
      </c>
      <c r="P133" s="6" t="s">
        <v>8101</v>
      </c>
      <c r="Q133" s="7">
        <v>71.789</v>
      </c>
      <c r="V133" t="s">
        <v>7844</v>
      </c>
      <c r="W133" t="s">
        <v>7839</v>
      </c>
      <c r="X133" t="s">
        <v>7840</v>
      </c>
      <c r="Y133">
        <v>2914.921</v>
      </c>
      <c r="Z133" t="s">
        <v>7852</v>
      </c>
      <c r="AA133">
        <v>9.202</v>
      </c>
      <c r="AB133">
        <v>0.35</v>
      </c>
      <c r="AC133" s="6" t="s">
        <v>8039</v>
      </c>
      <c r="AD133" s="7">
        <v>61.697</v>
      </c>
      <c r="AE133" s="7">
        <v>0.4</v>
      </c>
    </row>
    <row r="134" spans="1:31">
      <c r="A134" t="s">
        <v>3665</v>
      </c>
      <c r="B134" t="s">
        <v>3666</v>
      </c>
      <c r="C134" t="s">
        <v>3667</v>
      </c>
      <c r="D134" t="s">
        <v>7862</v>
      </c>
      <c r="E134" t="s">
        <v>7839</v>
      </c>
      <c r="F134" t="s">
        <v>7840</v>
      </c>
      <c r="G134" t="s">
        <v>7854</v>
      </c>
      <c r="H134" t="s">
        <v>9</v>
      </c>
      <c r="I134">
        <v>87.055</v>
      </c>
      <c r="J134">
        <v>99.985</v>
      </c>
      <c r="K134">
        <v>0.07</v>
      </c>
      <c r="M134" t="s">
        <v>7969</v>
      </c>
      <c r="N134">
        <v>151.97</v>
      </c>
      <c r="P134" s="6" t="s">
        <v>8075</v>
      </c>
      <c r="Q134" s="7">
        <v>13108.07</v>
      </c>
      <c r="V134" t="s">
        <v>7862</v>
      </c>
      <c r="W134" t="s">
        <v>7839</v>
      </c>
      <c r="X134" t="s">
        <v>7840</v>
      </c>
      <c r="Y134">
        <v>87.055</v>
      </c>
      <c r="Z134" t="s">
        <v>7854</v>
      </c>
      <c r="AA134">
        <v>99.985</v>
      </c>
      <c r="AB134">
        <v>0.07</v>
      </c>
      <c r="AC134" s="6" t="s">
        <v>8041</v>
      </c>
      <c r="AD134" s="7">
        <v>100.065</v>
      </c>
      <c r="AE134" s="7">
        <v>1.1</v>
      </c>
    </row>
    <row r="135" spans="1:31">
      <c r="A135" t="s">
        <v>783</v>
      </c>
      <c r="B135" t="s">
        <v>784</v>
      </c>
      <c r="C135" t="s">
        <v>785</v>
      </c>
      <c r="D135" t="s">
        <v>7844</v>
      </c>
      <c r="E135" t="s">
        <v>7839</v>
      </c>
      <c r="F135" t="s">
        <v>7840</v>
      </c>
      <c r="G135" t="s">
        <v>7943</v>
      </c>
      <c r="H135" t="s">
        <v>9</v>
      </c>
      <c r="I135">
        <v>3327.923</v>
      </c>
      <c r="J135">
        <v>1.43</v>
      </c>
      <c r="K135">
        <v>0.28</v>
      </c>
      <c r="M135" t="s">
        <v>8083</v>
      </c>
      <c r="N135">
        <v>7.975</v>
      </c>
      <c r="P135" s="6" t="s">
        <v>7997</v>
      </c>
      <c r="Q135" s="7">
        <v>148.753</v>
      </c>
      <c r="V135" t="s">
        <v>7844</v>
      </c>
      <c r="W135" t="s">
        <v>7839</v>
      </c>
      <c r="X135" t="s">
        <v>7840</v>
      </c>
      <c r="Y135">
        <v>3327.923</v>
      </c>
      <c r="Z135" t="s">
        <v>7943</v>
      </c>
      <c r="AA135">
        <v>1.43</v>
      </c>
      <c r="AB135">
        <v>0.28</v>
      </c>
      <c r="AC135" s="6" t="s">
        <v>8043</v>
      </c>
      <c r="AD135" s="7">
        <v>22.243</v>
      </c>
      <c r="AE135" s="7">
        <v>0.4</v>
      </c>
    </row>
    <row r="136" spans="1:31">
      <c r="A136" t="s">
        <v>1219</v>
      </c>
      <c r="B136" t="s">
        <v>1220</v>
      </c>
      <c r="C136" t="s">
        <v>1221</v>
      </c>
      <c r="D136" t="s">
        <v>7844</v>
      </c>
      <c r="E136" t="s">
        <v>7839</v>
      </c>
      <c r="F136" t="s">
        <v>7840</v>
      </c>
      <c r="G136" t="s">
        <v>7939</v>
      </c>
      <c r="H136" t="s">
        <v>9</v>
      </c>
      <c r="I136">
        <v>1956.567</v>
      </c>
      <c r="J136">
        <v>6.313</v>
      </c>
      <c r="K136">
        <v>0.16</v>
      </c>
      <c r="M136" t="s">
        <v>7882</v>
      </c>
      <c r="N136">
        <v>64.827</v>
      </c>
      <c r="P136" s="6" t="s">
        <v>8102</v>
      </c>
      <c r="Q136" s="7">
        <v>81.468</v>
      </c>
      <c r="V136" t="s">
        <v>7844</v>
      </c>
      <c r="W136" t="s">
        <v>7839</v>
      </c>
      <c r="X136" t="s">
        <v>7840</v>
      </c>
      <c r="Y136">
        <v>1956.567</v>
      </c>
      <c r="Z136" t="s">
        <v>7939</v>
      </c>
      <c r="AA136">
        <v>6.313</v>
      </c>
      <c r="AB136">
        <v>0.16</v>
      </c>
      <c r="AC136" s="6" t="s">
        <v>8045</v>
      </c>
      <c r="AD136" s="7">
        <v>25.7435</v>
      </c>
      <c r="AE136" s="7">
        <v>0.77</v>
      </c>
    </row>
    <row r="137" spans="1:31">
      <c r="A137" t="s">
        <v>2552</v>
      </c>
      <c r="B137" t="s">
        <v>2553</v>
      </c>
      <c r="C137" t="s">
        <v>2554</v>
      </c>
      <c r="D137" t="s">
        <v>7862</v>
      </c>
      <c r="E137" t="s">
        <v>7839</v>
      </c>
      <c r="F137" t="s">
        <v>7888</v>
      </c>
      <c r="G137" t="s">
        <v>7885</v>
      </c>
      <c r="H137" t="s">
        <v>9</v>
      </c>
      <c r="I137">
        <v>1596.985</v>
      </c>
      <c r="J137">
        <v>55.279</v>
      </c>
      <c r="K137">
        <v>0.15</v>
      </c>
      <c r="M137" t="s">
        <v>7988</v>
      </c>
      <c r="N137">
        <v>1483.185</v>
      </c>
      <c r="P137" s="6" t="s">
        <v>8103</v>
      </c>
      <c r="Q137" s="7">
        <v>30.307</v>
      </c>
      <c r="V137" t="s">
        <v>7862</v>
      </c>
      <c r="W137" t="s">
        <v>7839</v>
      </c>
      <c r="X137" t="s">
        <v>7888</v>
      </c>
      <c r="Y137">
        <v>1596.985</v>
      </c>
      <c r="Z137" t="s">
        <v>7885</v>
      </c>
      <c r="AA137">
        <v>55.279</v>
      </c>
      <c r="AB137">
        <v>0.15</v>
      </c>
      <c r="AC137" s="6" t="s">
        <v>8047</v>
      </c>
      <c r="AD137" s="7">
        <v>94.4385</v>
      </c>
      <c r="AE137" s="7">
        <v>0.5</v>
      </c>
    </row>
    <row r="138" spans="1:31">
      <c r="A138" t="s">
        <v>6821</v>
      </c>
      <c r="B138" t="s">
        <v>6822</v>
      </c>
      <c r="C138" t="s">
        <v>6823</v>
      </c>
      <c r="D138" t="s">
        <v>7844</v>
      </c>
      <c r="E138" t="s">
        <v>7839</v>
      </c>
      <c r="F138" t="s">
        <v>7840</v>
      </c>
      <c r="G138" t="s">
        <v>7892</v>
      </c>
      <c r="H138" t="s">
        <v>9</v>
      </c>
      <c r="I138">
        <v>46.509</v>
      </c>
      <c r="J138">
        <v>44.732</v>
      </c>
      <c r="K138">
        <v>0.5</v>
      </c>
      <c r="M138" t="s">
        <v>7852</v>
      </c>
      <c r="N138">
        <v>2914.921</v>
      </c>
      <c r="P138" s="6" t="s">
        <v>7990</v>
      </c>
      <c r="Q138" s="7">
        <v>4425.093</v>
      </c>
      <c r="V138" t="s">
        <v>7844</v>
      </c>
      <c r="W138" t="s">
        <v>7839</v>
      </c>
      <c r="X138" t="s">
        <v>7840</v>
      </c>
      <c r="Y138">
        <v>46.509</v>
      </c>
      <c r="Z138" t="s">
        <v>7892</v>
      </c>
      <c r="AA138">
        <v>44.732</v>
      </c>
      <c r="AB138">
        <v>0.5</v>
      </c>
      <c r="AC138" s="6" t="s">
        <v>8048</v>
      </c>
      <c r="AD138" s="7">
        <v>21.8855</v>
      </c>
      <c r="AE138" s="7">
        <v>0.34</v>
      </c>
    </row>
    <row r="139" spans="1:31">
      <c r="A139" t="s">
        <v>2846</v>
      </c>
      <c r="B139" t="s">
        <v>2847</v>
      </c>
      <c r="C139" t="s">
        <v>2848</v>
      </c>
      <c r="D139" t="s">
        <v>7864</v>
      </c>
      <c r="E139" t="s">
        <v>7839</v>
      </c>
      <c r="F139" t="s">
        <v>7840</v>
      </c>
      <c r="G139" t="s">
        <v>7899</v>
      </c>
      <c r="H139" t="s">
        <v>9</v>
      </c>
      <c r="I139">
        <v>19.022</v>
      </c>
      <c r="J139">
        <v>32.177</v>
      </c>
      <c r="K139">
        <v>0.59</v>
      </c>
      <c r="M139" t="s">
        <v>7854</v>
      </c>
      <c r="N139">
        <v>87.055</v>
      </c>
      <c r="P139" s="6" t="s">
        <v>7987</v>
      </c>
      <c r="Q139" s="7">
        <v>3410.546</v>
      </c>
      <c r="V139" t="s">
        <v>7864</v>
      </c>
      <c r="W139" t="s">
        <v>7839</v>
      </c>
      <c r="X139" t="s">
        <v>7840</v>
      </c>
      <c r="Y139">
        <v>19.022</v>
      </c>
      <c r="Z139" t="s">
        <v>7899</v>
      </c>
      <c r="AA139">
        <v>32.177</v>
      </c>
      <c r="AB139">
        <v>0.59</v>
      </c>
      <c r="AC139" s="6" t="s">
        <v>7969</v>
      </c>
      <c r="AD139" s="7">
        <v>21.1064545454545</v>
      </c>
      <c r="AE139" s="7">
        <v>0.356363636363636</v>
      </c>
    </row>
    <row r="140" spans="1:31">
      <c r="A140" t="s">
        <v>1337</v>
      </c>
      <c r="B140" t="s">
        <v>1338</v>
      </c>
      <c r="C140" t="s">
        <v>1339</v>
      </c>
      <c r="D140" t="s">
        <v>7844</v>
      </c>
      <c r="E140" t="s">
        <v>7839</v>
      </c>
      <c r="F140" t="s">
        <v>7888</v>
      </c>
      <c r="G140" t="s">
        <v>8070</v>
      </c>
      <c r="H140" t="s">
        <v>9</v>
      </c>
      <c r="I140">
        <v>76.277</v>
      </c>
      <c r="J140">
        <v>12.268</v>
      </c>
      <c r="K140">
        <v>0.29</v>
      </c>
      <c r="M140" t="s">
        <v>7943</v>
      </c>
      <c r="N140">
        <v>3327.923</v>
      </c>
      <c r="P140" s="6" t="s">
        <v>8104</v>
      </c>
      <c r="Q140" s="7">
        <v>94.624</v>
      </c>
      <c r="V140" t="s">
        <v>7844</v>
      </c>
      <c r="W140" t="s">
        <v>7839</v>
      </c>
      <c r="X140" t="s">
        <v>7888</v>
      </c>
      <c r="Y140">
        <v>76.277</v>
      </c>
      <c r="Z140" t="s">
        <v>8070</v>
      </c>
      <c r="AA140">
        <v>12.268</v>
      </c>
      <c r="AB140">
        <v>0.29</v>
      </c>
      <c r="AC140" s="6" t="s">
        <v>8051</v>
      </c>
      <c r="AD140" s="7">
        <v>68.5455</v>
      </c>
      <c r="AE140" s="7">
        <v>0.5475</v>
      </c>
    </row>
    <row r="141" spans="1:31">
      <c r="A141" t="s">
        <v>1540</v>
      </c>
      <c r="B141" t="s">
        <v>1541</v>
      </c>
      <c r="C141" t="s">
        <v>1542</v>
      </c>
      <c r="D141" t="s">
        <v>7846</v>
      </c>
      <c r="E141" t="s">
        <v>7839</v>
      </c>
      <c r="F141" t="s">
        <v>7840</v>
      </c>
      <c r="G141" t="s">
        <v>7852</v>
      </c>
      <c r="H141" t="s">
        <v>9</v>
      </c>
      <c r="I141">
        <v>6703.88</v>
      </c>
      <c r="J141">
        <v>15.298</v>
      </c>
      <c r="K141">
        <v>0.04</v>
      </c>
      <c r="M141" t="s">
        <v>7939</v>
      </c>
      <c r="N141">
        <v>1956.567</v>
      </c>
      <c r="P141" s="6" t="s">
        <v>8105</v>
      </c>
      <c r="Q141" s="7">
        <v>567.791</v>
      </c>
      <c r="V141" t="s">
        <v>7846</v>
      </c>
      <c r="W141" t="s">
        <v>7839</v>
      </c>
      <c r="X141" t="s">
        <v>7840</v>
      </c>
      <c r="Y141">
        <v>6703.88</v>
      </c>
      <c r="Z141" t="s">
        <v>7852</v>
      </c>
      <c r="AA141">
        <v>15.298</v>
      </c>
      <c r="AB141">
        <v>0.04</v>
      </c>
      <c r="AC141" s="6" t="s">
        <v>8054</v>
      </c>
      <c r="AD141" s="7">
        <v>35.4436666666667</v>
      </c>
      <c r="AE141" s="7">
        <v>0.335</v>
      </c>
    </row>
    <row r="142" spans="1:31">
      <c r="A142" t="s">
        <v>1723</v>
      </c>
      <c r="B142" t="s">
        <v>1724</v>
      </c>
      <c r="C142" t="s">
        <v>1725</v>
      </c>
      <c r="D142" t="s">
        <v>7844</v>
      </c>
      <c r="E142" t="s">
        <v>7839</v>
      </c>
      <c r="F142" t="s">
        <v>7840</v>
      </c>
      <c r="G142" t="s">
        <v>7854</v>
      </c>
      <c r="H142" t="s">
        <v>9</v>
      </c>
      <c r="I142">
        <v>3850.066</v>
      </c>
      <c r="J142">
        <v>4.536</v>
      </c>
      <c r="K142">
        <v>0.08</v>
      </c>
      <c r="M142" t="s">
        <v>7885</v>
      </c>
      <c r="N142">
        <v>1596.985</v>
      </c>
      <c r="P142" s="6" t="s">
        <v>7851</v>
      </c>
      <c r="Q142" s="7">
        <v>830.655</v>
      </c>
      <c r="V142" t="s">
        <v>7844</v>
      </c>
      <c r="W142" t="s">
        <v>7839</v>
      </c>
      <c r="X142" t="s">
        <v>7840</v>
      </c>
      <c r="Y142">
        <v>3850.066</v>
      </c>
      <c r="Z142" t="s">
        <v>7854</v>
      </c>
      <c r="AA142">
        <v>4.536</v>
      </c>
      <c r="AB142">
        <v>0.08</v>
      </c>
      <c r="AC142" s="6" t="s">
        <v>8056</v>
      </c>
      <c r="AD142" s="7">
        <v>15.2258333333333</v>
      </c>
      <c r="AE142" s="7">
        <v>0.378571428571429</v>
      </c>
    </row>
    <row r="143" spans="1:31">
      <c r="A143" t="s">
        <v>140</v>
      </c>
      <c r="B143" t="s">
        <v>141</v>
      </c>
      <c r="C143" t="s">
        <v>142</v>
      </c>
      <c r="D143" t="s">
        <v>7847</v>
      </c>
      <c r="E143" t="s">
        <v>7839</v>
      </c>
      <c r="F143" t="s">
        <v>7840</v>
      </c>
      <c r="G143" t="s">
        <v>7858</v>
      </c>
      <c r="H143" t="s">
        <v>9</v>
      </c>
      <c r="I143">
        <v>114.108</v>
      </c>
      <c r="J143">
        <v>24.604</v>
      </c>
      <c r="K143">
        <v>0.75</v>
      </c>
      <c r="M143" t="s">
        <v>7892</v>
      </c>
      <c r="N143">
        <v>46.509</v>
      </c>
      <c r="P143" s="6" t="s">
        <v>7849</v>
      </c>
      <c r="Q143" s="7">
        <v>215.359</v>
      </c>
      <c r="V143" t="s">
        <v>7847</v>
      </c>
      <c r="W143" t="s">
        <v>7839</v>
      </c>
      <c r="X143" t="s">
        <v>7840</v>
      </c>
      <c r="Y143">
        <v>114.108</v>
      </c>
      <c r="Z143" t="s">
        <v>7858</v>
      </c>
      <c r="AA143">
        <v>24.604</v>
      </c>
      <c r="AB143">
        <v>0.75</v>
      </c>
      <c r="AC143" s="6" t="s">
        <v>8058</v>
      </c>
      <c r="AD143" s="7">
        <v>39.946</v>
      </c>
      <c r="AE143" s="7">
        <v>0.4</v>
      </c>
    </row>
    <row r="144" spans="1:31">
      <c r="A144" t="s">
        <v>1104</v>
      </c>
      <c r="B144" t="s">
        <v>1105</v>
      </c>
      <c r="C144" t="s">
        <v>1106</v>
      </c>
      <c r="D144" t="s">
        <v>7850</v>
      </c>
      <c r="E144" t="s">
        <v>7839</v>
      </c>
      <c r="F144" t="s">
        <v>7888</v>
      </c>
      <c r="G144" t="s">
        <v>7914</v>
      </c>
      <c r="H144" t="s">
        <v>9</v>
      </c>
      <c r="I144">
        <v>4.86</v>
      </c>
      <c r="J144">
        <v>5.411</v>
      </c>
      <c r="K144">
        <v>0.19</v>
      </c>
      <c r="M144" t="s">
        <v>7899</v>
      </c>
      <c r="N144">
        <v>19.022</v>
      </c>
      <c r="P144" s="6" t="s">
        <v>8106</v>
      </c>
      <c r="Q144" s="7">
        <v>310.432</v>
      </c>
      <c r="V144" t="s">
        <v>7850</v>
      </c>
      <c r="W144" t="s">
        <v>7839</v>
      </c>
      <c r="X144" t="s">
        <v>7888</v>
      </c>
      <c r="Y144">
        <v>4.86</v>
      </c>
      <c r="Z144" t="s">
        <v>7914</v>
      </c>
      <c r="AA144">
        <v>5.411</v>
      </c>
      <c r="AB144">
        <v>0.19</v>
      </c>
      <c r="AC144" s="6" t="s">
        <v>7980</v>
      </c>
      <c r="AD144" s="7">
        <v>26.7825</v>
      </c>
      <c r="AE144" s="7">
        <v>0.39</v>
      </c>
    </row>
    <row r="145" spans="1:31">
      <c r="A145" t="s">
        <v>1744</v>
      </c>
      <c r="B145" t="s">
        <v>1745</v>
      </c>
      <c r="C145" t="s">
        <v>1746</v>
      </c>
      <c r="D145" t="s">
        <v>7844</v>
      </c>
      <c r="E145" t="s">
        <v>7839</v>
      </c>
      <c r="F145" t="s">
        <v>7840</v>
      </c>
      <c r="G145" t="s">
        <v>7885</v>
      </c>
      <c r="H145" t="s">
        <v>9</v>
      </c>
      <c r="I145">
        <v>478.011</v>
      </c>
      <c r="J145">
        <v>11.083</v>
      </c>
      <c r="K145">
        <v>0.49</v>
      </c>
      <c r="M145" t="s">
        <v>8070</v>
      </c>
      <c r="N145">
        <v>76.277</v>
      </c>
      <c r="P145" s="6" t="s">
        <v>8107</v>
      </c>
      <c r="Q145" s="7">
        <v>330.97</v>
      </c>
      <c r="V145" t="s">
        <v>7844</v>
      </c>
      <c r="W145" t="s">
        <v>7839</v>
      </c>
      <c r="X145" t="s">
        <v>7840</v>
      </c>
      <c r="Y145">
        <v>478.011</v>
      </c>
      <c r="Z145" t="s">
        <v>7885</v>
      </c>
      <c r="AA145">
        <v>11.083</v>
      </c>
      <c r="AB145">
        <v>0.49</v>
      </c>
      <c r="AC145" s="6" t="s">
        <v>8006</v>
      </c>
      <c r="AD145" s="7">
        <v>39.9798181818182</v>
      </c>
      <c r="AE145" s="7">
        <v>0.115454545454545</v>
      </c>
    </row>
    <row r="146" spans="1:31">
      <c r="A146" t="s">
        <v>1937</v>
      </c>
      <c r="B146" t="s">
        <v>1938</v>
      </c>
      <c r="C146" t="s">
        <v>1939</v>
      </c>
      <c r="D146" t="s">
        <v>7844</v>
      </c>
      <c r="E146" t="s">
        <v>7839</v>
      </c>
      <c r="F146" t="s">
        <v>7853</v>
      </c>
      <c r="G146" t="s">
        <v>8075</v>
      </c>
      <c r="H146" t="s">
        <v>9</v>
      </c>
      <c r="I146">
        <v>27.671</v>
      </c>
      <c r="J146">
        <v>25.64</v>
      </c>
      <c r="K146">
        <v>0.4</v>
      </c>
      <c r="M146" t="s">
        <v>7852</v>
      </c>
      <c r="N146">
        <v>6703.88</v>
      </c>
      <c r="P146" s="6" t="s">
        <v>7977</v>
      </c>
      <c r="Q146" s="7">
        <v>655.453</v>
      </c>
      <c r="V146" t="s">
        <v>7844</v>
      </c>
      <c r="W146" t="s">
        <v>7839</v>
      </c>
      <c r="X146" t="s">
        <v>7853</v>
      </c>
      <c r="Y146">
        <v>27.671</v>
      </c>
      <c r="Z146" t="s">
        <v>8075</v>
      </c>
      <c r="AA146">
        <v>25.64</v>
      </c>
      <c r="AB146">
        <v>0.4</v>
      </c>
      <c r="AC146" s="6" t="s">
        <v>8060</v>
      </c>
      <c r="AD146" s="7">
        <v>39.218</v>
      </c>
      <c r="AE146" s="7">
        <v>0.45</v>
      </c>
    </row>
    <row r="147" spans="1:31">
      <c r="A147" t="s">
        <v>2217</v>
      </c>
      <c r="B147" t="s">
        <v>2218</v>
      </c>
      <c r="C147" t="s">
        <v>2219</v>
      </c>
      <c r="D147" t="s">
        <v>7847</v>
      </c>
      <c r="E147" t="s">
        <v>7839</v>
      </c>
      <c r="F147" t="s">
        <v>7853</v>
      </c>
      <c r="G147" t="s">
        <v>7885</v>
      </c>
      <c r="H147" t="s">
        <v>9</v>
      </c>
      <c r="I147">
        <v>6986.879</v>
      </c>
      <c r="J147">
        <v>40.4</v>
      </c>
      <c r="K147">
        <v>0.45</v>
      </c>
      <c r="M147" t="s">
        <v>7854</v>
      </c>
      <c r="N147">
        <v>3850.066</v>
      </c>
      <c r="P147" s="6" t="s">
        <v>8038</v>
      </c>
      <c r="Q147" s="7">
        <v>1107.327</v>
      </c>
      <c r="V147" t="s">
        <v>7847</v>
      </c>
      <c r="W147" t="s">
        <v>7839</v>
      </c>
      <c r="X147" t="s">
        <v>7853</v>
      </c>
      <c r="Y147">
        <v>6986.879</v>
      </c>
      <c r="Z147" t="s">
        <v>7885</v>
      </c>
      <c r="AA147">
        <v>40.4</v>
      </c>
      <c r="AB147">
        <v>0.45</v>
      </c>
      <c r="AC147" s="6" t="s">
        <v>8064</v>
      </c>
      <c r="AD147" s="7">
        <v>99.46</v>
      </c>
      <c r="AE147" s="7">
        <v>0.5</v>
      </c>
    </row>
    <row r="148" spans="1:31">
      <c r="A148" t="s">
        <v>707</v>
      </c>
      <c r="B148" t="s">
        <v>708</v>
      </c>
      <c r="C148" t="s">
        <v>709</v>
      </c>
      <c r="D148" t="s">
        <v>7847</v>
      </c>
      <c r="E148" t="s">
        <v>7839</v>
      </c>
      <c r="F148" t="s">
        <v>7853</v>
      </c>
      <c r="G148" t="s">
        <v>8034</v>
      </c>
      <c r="H148" t="s">
        <v>9</v>
      </c>
      <c r="I148">
        <v>1546.402</v>
      </c>
      <c r="J148">
        <v>21.505</v>
      </c>
      <c r="K148">
        <v>0.5</v>
      </c>
      <c r="M148" t="s">
        <v>7858</v>
      </c>
      <c r="N148">
        <v>114.108</v>
      </c>
      <c r="P148" s="6" t="s">
        <v>8108</v>
      </c>
      <c r="Q148" s="7">
        <v>36.24</v>
      </c>
      <c r="V148" t="s">
        <v>7847</v>
      </c>
      <c r="W148" t="s">
        <v>7839</v>
      </c>
      <c r="X148" t="s">
        <v>7853</v>
      </c>
      <c r="Y148">
        <v>1546.402</v>
      </c>
      <c r="Z148" t="s">
        <v>8034</v>
      </c>
      <c r="AA148">
        <v>21.505</v>
      </c>
      <c r="AB148">
        <v>0.5</v>
      </c>
      <c r="AC148" s="6" t="s">
        <v>8066</v>
      </c>
      <c r="AD148" s="7">
        <v>99.3735</v>
      </c>
      <c r="AE148" s="7">
        <v>0.65</v>
      </c>
    </row>
    <row r="149" spans="1:31">
      <c r="A149" t="s">
        <v>151</v>
      </c>
      <c r="B149" t="s">
        <v>152</v>
      </c>
      <c r="C149" t="s">
        <v>153</v>
      </c>
      <c r="D149" t="s">
        <v>7862</v>
      </c>
      <c r="E149" t="s">
        <v>7839</v>
      </c>
      <c r="F149" t="s">
        <v>7840</v>
      </c>
      <c r="G149" t="s">
        <v>7858</v>
      </c>
      <c r="H149" t="s">
        <v>9</v>
      </c>
      <c r="I149">
        <v>4225.526</v>
      </c>
      <c r="J149">
        <v>7.588</v>
      </c>
      <c r="K149">
        <v>0.27</v>
      </c>
      <c r="M149" t="s">
        <v>7914</v>
      </c>
      <c r="N149">
        <v>4.86</v>
      </c>
      <c r="P149" s="6" t="s">
        <v>8109</v>
      </c>
      <c r="Q149" s="7">
        <v>35.499</v>
      </c>
      <c r="V149" t="s">
        <v>7862</v>
      </c>
      <c r="W149" t="s">
        <v>7839</v>
      </c>
      <c r="X149" t="s">
        <v>7840</v>
      </c>
      <c r="Y149">
        <v>4225.526</v>
      </c>
      <c r="Z149" t="s">
        <v>7858</v>
      </c>
      <c r="AA149">
        <v>7.588</v>
      </c>
      <c r="AB149">
        <v>0.27</v>
      </c>
      <c r="AC149" s="6" t="s">
        <v>8068</v>
      </c>
      <c r="AD149" s="7">
        <v>21.282</v>
      </c>
      <c r="AE149" s="7">
        <v>0.3</v>
      </c>
    </row>
    <row r="150" spans="1:31">
      <c r="A150" t="s">
        <v>1765</v>
      </c>
      <c r="B150" t="s">
        <v>1766</v>
      </c>
      <c r="C150" t="s">
        <v>1767</v>
      </c>
      <c r="D150" t="s">
        <v>7844</v>
      </c>
      <c r="E150" t="s">
        <v>7839</v>
      </c>
      <c r="F150" t="s">
        <v>7840</v>
      </c>
      <c r="G150" t="s">
        <v>7854</v>
      </c>
      <c r="H150" t="s">
        <v>9</v>
      </c>
      <c r="I150">
        <v>1092.885</v>
      </c>
      <c r="J150">
        <v>5.887</v>
      </c>
      <c r="K150">
        <v>0.09</v>
      </c>
      <c r="M150" t="s">
        <v>7885</v>
      </c>
      <c r="N150">
        <v>478.011</v>
      </c>
      <c r="P150" s="6" t="s">
        <v>8110</v>
      </c>
      <c r="Q150" s="7">
        <v>253.26</v>
      </c>
      <c r="V150" t="s">
        <v>7844</v>
      </c>
      <c r="W150" t="s">
        <v>7839</v>
      </c>
      <c r="X150" t="s">
        <v>7840</v>
      </c>
      <c r="Y150">
        <v>1092.885</v>
      </c>
      <c r="Z150" t="s">
        <v>7854</v>
      </c>
      <c r="AA150">
        <v>5.887</v>
      </c>
      <c r="AB150">
        <v>0.09</v>
      </c>
      <c r="AC150" s="6" t="s">
        <v>7936</v>
      </c>
      <c r="AD150" s="7">
        <v>99.585</v>
      </c>
      <c r="AE150" s="7">
        <v>0.85</v>
      </c>
    </row>
    <row r="151" spans="1:31">
      <c r="A151" t="s">
        <v>2619</v>
      </c>
      <c r="B151" t="s">
        <v>2620</v>
      </c>
      <c r="C151" t="s">
        <v>2621</v>
      </c>
      <c r="D151" t="s">
        <v>7844</v>
      </c>
      <c r="E151" t="s">
        <v>7839</v>
      </c>
      <c r="F151" t="s">
        <v>7840</v>
      </c>
      <c r="G151" t="s">
        <v>7907</v>
      </c>
      <c r="H151" t="s">
        <v>9</v>
      </c>
      <c r="I151">
        <v>21.37</v>
      </c>
      <c r="J151">
        <v>15.054</v>
      </c>
      <c r="K151">
        <v>0.07</v>
      </c>
      <c r="M151" t="s">
        <v>8075</v>
      </c>
      <c r="N151">
        <v>27.671</v>
      </c>
      <c r="P151" s="6" t="s">
        <v>8111</v>
      </c>
      <c r="Q151" s="7">
        <v>41.929</v>
      </c>
      <c r="V151" t="s">
        <v>7844</v>
      </c>
      <c r="W151" t="s">
        <v>7839</v>
      </c>
      <c r="X151" t="s">
        <v>7840</v>
      </c>
      <c r="Y151">
        <v>21.37</v>
      </c>
      <c r="Z151" t="s">
        <v>7907</v>
      </c>
      <c r="AA151">
        <v>15.054</v>
      </c>
      <c r="AB151">
        <v>0.07</v>
      </c>
      <c r="AC151" s="6" t="s">
        <v>8072</v>
      </c>
      <c r="AD151" s="7">
        <v>24.5433333333333</v>
      </c>
      <c r="AE151" s="7">
        <v>0.43</v>
      </c>
    </row>
    <row r="152" spans="1:31">
      <c r="A152" t="s">
        <v>1693</v>
      </c>
      <c r="B152" t="s">
        <v>1694</v>
      </c>
      <c r="C152" t="s">
        <v>1695</v>
      </c>
      <c r="D152" t="s">
        <v>7850</v>
      </c>
      <c r="E152" t="s">
        <v>7839</v>
      </c>
      <c r="F152" t="s">
        <v>7840</v>
      </c>
      <c r="G152" t="s">
        <v>7938</v>
      </c>
      <c r="H152" t="s">
        <v>9</v>
      </c>
      <c r="I152">
        <v>1181.77</v>
      </c>
      <c r="J152">
        <v>6.935</v>
      </c>
      <c r="K152">
        <v>0.37</v>
      </c>
      <c r="M152" t="s">
        <v>7885</v>
      </c>
      <c r="N152">
        <v>6986.879</v>
      </c>
      <c r="P152" s="6" t="s">
        <v>8112</v>
      </c>
      <c r="Q152" s="7">
        <v>221.294</v>
      </c>
      <c r="V152" t="s">
        <v>7850</v>
      </c>
      <c r="W152" t="s">
        <v>7839</v>
      </c>
      <c r="X152" t="s">
        <v>7840</v>
      </c>
      <c r="Y152">
        <v>1181.77</v>
      </c>
      <c r="Z152" t="s">
        <v>7938</v>
      </c>
      <c r="AA152">
        <v>6.935</v>
      </c>
      <c r="AB152">
        <v>0.37</v>
      </c>
      <c r="AC152" s="6" t="s">
        <v>7975</v>
      </c>
      <c r="AD152" s="7">
        <v>97.001</v>
      </c>
      <c r="AE152" s="7">
        <v>0.65</v>
      </c>
    </row>
    <row r="153" spans="1:31">
      <c r="A153" t="s">
        <v>1849</v>
      </c>
      <c r="B153" t="s">
        <v>1850</v>
      </c>
      <c r="C153" t="s">
        <v>1851</v>
      </c>
      <c r="D153" t="s">
        <v>7847</v>
      </c>
      <c r="E153" t="s">
        <v>7839</v>
      </c>
      <c r="F153" t="s">
        <v>7853</v>
      </c>
      <c r="G153" t="s">
        <v>7854</v>
      </c>
      <c r="H153" t="s">
        <v>9</v>
      </c>
      <c r="I153">
        <v>11523.702</v>
      </c>
      <c r="J153">
        <v>5.368</v>
      </c>
      <c r="K153">
        <v>0.07</v>
      </c>
      <c r="M153" t="s">
        <v>8034</v>
      </c>
      <c r="N153">
        <v>1546.402</v>
      </c>
      <c r="P153" s="6" t="s">
        <v>8113</v>
      </c>
      <c r="Q153" s="7">
        <v>173.184</v>
      </c>
      <c r="V153" t="s">
        <v>7847</v>
      </c>
      <c r="W153" t="s">
        <v>7839</v>
      </c>
      <c r="X153" t="s">
        <v>7853</v>
      </c>
      <c r="Y153">
        <v>11523.702</v>
      </c>
      <c r="Z153" t="s">
        <v>7854</v>
      </c>
      <c r="AA153">
        <v>5.368</v>
      </c>
      <c r="AB153">
        <v>0.07</v>
      </c>
      <c r="AC153" s="6" t="s">
        <v>8070</v>
      </c>
      <c r="AD153" s="7">
        <v>13.9399230769231</v>
      </c>
      <c r="AE153" s="7">
        <v>0.247692307692308</v>
      </c>
    </row>
    <row r="154" spans="1:31">
      <c r="A154" t="s">
        <v>2043</v>
      </c>
      <c r="B154" t="s">
        <v>2044</v>
      </c>
      <c r="C154" t="s">
        <v>2045</v>
      </c>
      <c r="D154" t="s">
        <v>7844</v>
      </c>
      <c r="E154" t="s">
        <v>7839</v>
      </c>
      <c r="F154" t="s">
        <v>7840</v>
      </c>
      <c r="G154" t="s">
        <v>8114</v>
      </c>
      <c r="H154" t="s">
        <v>9</v>
      </c>
      <c r="I154">
        <v>1823.738</v>
      </c>
      <c r="J154">
        <v>3.341</v>
      </c>
      <c r="K154">
        <v>0.03</v>
      </c>
      <c r="M154" t="s">
        <v>7858</v>
      </c>
      <c r="N154">
        <v>4225.526</v>
      </c>
      <c r="P154" s="6" t="s">
        <v>7858</v>
      </c>
      <c r="Q154" s="7">
        <v>22131.159</v>
      </c>
      <c r="V154" t="s">
        <v>7844</v>
      </c>
      <c r="W154" t="s">
        <v>7839</v>
      </c>
      <c r="X154" t="s">
        <v>7840</v>
      </c>
      <c r="Y154">
        <v>1823.738</v>
      </c>
      <c r="Z154" t="s">
        <v>8114</v>
      </c>
      <c r="AA154">
        <v>3.341</v>
      </c>
      <c r="AB154">
        <v>0.03</v>
      </c>
      <c r="AC154" s="6" t="s">
        <v>8077</v>
      </c>
      <c r="AD154" s="7">
        <v>7.917</v>
      </c>
      <c r="AE154" s="7">
        <v>0.563333333333333</v>
      </c>
    </row>
    <row r="155" spans="1:31">
      <c r="A155" t="s">
        <v>1411</v>
      </c>
      <c r="B155" t="s">
        <v>1412</v>
      </c>
      <c r="C155" t="s">
        <v>1413</v>
      </c>
      <c r="D155" t="s">
        <v>7847</v>
      </c>
      <c r="E155" t="s">
        <v>7839</v>
      </c>
      <c r="F155" t="s">
        <v>7840</v>
      </c>
      <c r="G155" t="s">
        <v>8115</v>
      </c>
      <c r="H155" t="s">
        <v>9</v>
      </c>
      <c r="I155">
        <v>74969.891</v>
      </c>
      <c r="J155">
        <v>4.052</v>
      </c>
      <c r="K155">
        <v>0.06</v>
      </c>
      <c r="M155" t="s">
        <v>7854</v>
      </c>
      <c r="N155">
        <v>1092.885</v>
      </c>
      <c r="P155" s="6" t="s">
        <v>8116</v>
      </c>
      <c r="Q155" s="7">
        <v>230536.655</v>
      </c>
      <c r="V155" t="s">
        <v>7847</v>
      </c>
      <c r="W155" t="s">
        <v>7839</v>
      </c>
      <c r="X155" t="s">
        <v>7840</v>
      </c>
      <c r="Y155">
        <v>74969.891</v>
      </c>
      <c r="Z155" t="s">
        <v>8115</v>
      </c>
      <c r="AA155">
        <v>4.052</v>
      </c>
      <c r="AB155">
        <v>0.06</v>
      </c>
      <c r="AC155" s="6" t="s">
        <v>8079</v>
      </c>
      <c r="AD155" s="7">
        <v>24.951</v>
      </c>
      <c r="AE155" s="7">
        <v>0.35</v>
      </c>
    </row>
    <row r="156" spans="1:31">
      <c r="A156" t="s">
        <v>755</v>
      </c>
      <c r="B156" t="s">
        <v>756</v>
      </c>
      <c r="C156" t="s">
        <v>757</v>
      </c>
      <c r="D156" t="s">
        <v>7856</v>
      </c>
      <c r="E156" t="s">
        <v>7839</v>
      </c>
      <c r="F156" t="s">
        <v>7935</v>
      </c>
      <c r="G156" t="s">
        <v>7929</v>
      </c>
      <c r="H156" t="s">
        <v>9</v>
      </c>
      <c r="I156">
        <v>16.34</v>
      </c>
      <c r="J156">
        <v>19.599</v>
      </c>
      <c r="K156">
        <v>0.65</v>
      </c>
      <c r="M156" t="s">
        <v>7907</v>
      </c>
      <c r="N156">
        <v>21.37</v>
      </c>
      <c r="P156" s="6" t="s">
        <v>8114</v>
      </c>
      <c r="Q156" s="7">
        <v>1823.738</v>
      </c>
      <c r="V156" t="s">
        <v>7856</v>
      </c>
      <c r="W156" t="s">
        <v>7839</v>
      </c>
      <c r="X156" t="s">
        <v>7935</v>
      </c>
      <c r="Y156">
        <v>16.34</v>
      </c>
      <c r="Z156" t="s">
        <v>7929</v>
      </c>
      <c r="AA156">
        <v>19.599</v>
      </c>
      <c r="AB156">
        <v>0.65</v>
      </c>
      <c r="AC156" s="6" t="s">
        <v>8080</v>
      </c>
      <c r="AD156" s="7">
        <v>25.6476923076923</v>
      </c>
      <c r="AE156" s="7">
        <v>0.313846153846154</v>
      </c>
    </row>
    <row r="157" spans="1:31">
      <c r="A157" t="s">
        <v>2902</v>
      </c>
      <c r="B157" t="s">
        <v>2903</v>
      </c>
      <c r="C157" t="s">
        <v>2904</v>
      </c>
      <c r="D157" t="s">
        <v>7844</v>
      </c>
      <c r="E157" t="s">
        <v>7839</v>
      </c>
      <c r="F157" t="s">
        <v>7853</v>
      </c>
      <c r="G157" t="s">
        <v>8026</v>
      </c>
      <c r="H157" t="s">
        <v>9</v>
      </c>
      <c r="I157">
        <v>43182.23</v>
      </c>
      <c r="J157">
        <v>1.166</v>
      </c>
      <c r="K157">
        <v>0.02</v>
      </c>
      <c r="M157" t="s">
        <v>7938</v>
      </c>
      <c r="N157">
        <v>1181.77</v>
      </c>
      <c r="P157" s="6" t="s">
        <v>8115</v>
      </c>
      <c r="Q157" s="7">
        <v>74969.891</v>
      </c>
      <c r="V157" t="s">
        <v>7844</v>
      </c>
      <c r="W157" t="s">
        <v>7839</v>
      </c>
      <c r="X157" t="s">
        <v>7853</v>
      </c>
      <c r="Y157">
        <v>43182.23</v>
      </c>
      <c r="Z157" t="s">
        <v>8026</v>
      </c>
      <c r="AA157">
        <v>1.166</v>
      </c>
      <c r="AB157">
        <v>0.02</v>
      </c>
      <c r="AC157" s="6" t="s">
        <v>7885</v>
      </c>
      <c r="AD157" s="7">
        <v>35.9842777777778</v>
      </c>
      <c r="AE157" s="7">
        <v>0.391111111111111</v>
      </c>
    </row>
    <row r="158" spans="1:31">
      <c r="A158" t="s">
        <v>5354</v>
      </c>
      <c r="B158" t="s">
        <v>5355</v>
      </c>
      <c r="C158" t="s">
        <v>5356</v>
      </c>
      <c r="D158" t="s">
        <v>7846</v>
      </c>
      <c r="E158" t="s">
        <v>7839</v>
      </c>
      <c r="F158" t="s">
        <v>7840</v>
      </c>
      <c r="G158" t="s">
        <v>7845</v>
      </c>
      <c r="H158" t="s">
        <v>9</v>
      </c>
      <c r="I158">
        <v>27.713</v>
      </c>
      <c r="J158">
        <v>35.059</v>
      </c>
      <c r="K158">
        <v>0.45</v>
      </c>
      <c r="M158" t="s">
        <v>7854</v>
      </c>
      <c r="N158">
        <v>11523.702</v>
      </c>
      <c r="P158" s="6" t="s">
        <v>8097</v>
      </c>
      <c r="Q158" s="7">
        <v>159.178</v>
      </c>
      <c r="V158" t="s">
        <v>7846</v>
      </c>
      <c r="W158" t="s">
        <v>7839</v>
      </c>
      <c r="X158" t="s">
        <v>7840</v>
      </c>
      <c r="Y158">
        <v>27.713</v>
      </c>
      <c r="Z158" t="s">
        <v>7845</v>
      </c>
      <c r="AA158">
        <v>35.059</v>
      </c>
      <c r="AB158">
        <v>0.45</v>
      </c>
      <c r="AC158" s="6" t="s">
        <v>8083</v>
      </c>
      <c r="AD158" s="7">
        <v>32.243</v>
      </c>
      <c r="AE158" s="7">
        <v>0.2724</v>
      </c>
    </row>
    <row r="159" spans="1:31">
      <c r="A159" t="s">
        <v>1363</v>
      </c>
      <c r="B159" t="s">
        <v>1364</v>
      </c>
      <c r="C159" t="s">
        <v>1365</v>
      </c>
      <c r="D159" t="s">
        <v>7850</v>
      </c>
      <c r="E159" t="s">
        <v>7839</v>
      </c>
      <c r="F159" t="s">
        <v>7888</v>
      </c>
      <c r="G159" t="s">
        <v>7854</v>
      </c>
      <c r="H159" t="s">
        <v>9</v>
      </c>
      <c r="I159">
        <v>2808.657</v>
      </c>
      <c r="J159">
        <v>2.2</v>
      </c>
      <c r="K159">
        <v>0.04</v>
      </c>
      <c r="M159" t="s">
        <v>8114</v>
      </c>
      <c r="N159">
        <v>1823.738</v>
      </c>
      <c r="P159" s="6" t="s">
        <v>8117</v>
      </c>
      <c r="Q159" s="7">
        <v>5398.475</v>
      </c>
      <c r="V159" t="s">
        <v>7850</v>
      </c>
      <c r="W159" t="s">
        <v>7839</v>
      </c>
      <c r="X159" t="s">
        <v>7888</v>
      </c>
      <c r="Y159">
        <v>2808.657</v>
      </c>
      <c r="Z159" t="s">
        <v>7854</v>
      </c>
      <c r="AA159">
        <v>2.2</v>
      </c>
      <c r="AB159">
        <v>0.04</v>
      </c>
      <c r="AC159" s="6" t="s">
        <v>8085</v>
      </c>
      <c r="AD159" s="7">
        <v>20.635</v>
      </c>
      <c r="AE159" s="7">
        <v>0.4325</v>
      </c>
    </row>
    <row r="160" spans="1:31">
      <c r="A160" t="s">
        <v>1319</v>
      </c>
      <c r="B160" t="s">
        <v>1320</v>
      </c>
      <c r="C160" t="s">
        <v>1321</v>
      </c>
      <c r="D160" t="s">
        <v>7844</v>
      </c>
      <c r="E160" t="s">
        <v>7839</v>
      </c>
      <c r="F160" t="s">
        <v>7853</v>
      </c>
      <c r="G160" t="s">
        <v>8006</v>
      </c>
      <c r="H160" t="s">
        <v>9</v>
      </c>
      <c r="I160">
        <v>58.758</v>
      </c>
      <c r="J160">
        <v>3.565</v>
      </c>
      <c r="K160">
        <v>0.05</v>
      </c>
      <c r="M160" t="s">
        <v>8115</v>
      </c>
      <c r="N160">
        <v>74969.891</v>
      </c>
      <c r="P160" s="6" t="s">
        <v>8118</v>
      </c>
      <c r="Q160" s="7">
        <v>24271.959</v>
      </c>
      <c r="V160" t="s">
        <v>7844</v>
      </c>
      <c r="W160" t="s">
        <v>7839</v>
      </c>
      <c r="X160" t="s">
        <v>7853</v>
      </c>
      <c r="Y160">
        <v>58.758</v>
      </c>
      <c r="Z160" t="s">
        <v>8006</v>
      </c>
      <c r="AA160">
        <v>3.565</v>
      </c>
      <c r="AB160">
        <v>0.05</v>
      </c>
      <c r="AC160" s="6" t="s">
        <v>8087</v>
      </c>
      <c r="AD160" s="7">
        <v>36.914</v>
      </c>
      <c r="AE160" s="7">
        <v>0.35</v>
      </c>
    </row>
    <row r="161" spans="1:31">
      <c r="A161" t="s">
        <v>1426</v>
      </c>
      <c r="B161" t="s">
        <v>1427</v>
      </c>
      <c r="C161" t="s">
        <v>1428</v>
      </c>
      <c r="D161" t="s">
        <v>7850</v>
      </c>
      <c r="E161" t="s">
        <v>7839</v>
      </c>
      <c r="F161" t="s">
        <v>7888</v>
      </c>
      <c r="G161" t="s">
        <v>8080</v>
      </c>
      <c r="H161" t="s">
        <v>9</v>
      </c>
      <c r="I161">
        <v>75.884</v>
      </c>
      <c r="J161">
        <v>34.97</v>
      </c>
      <c r="K161">
        <v>0.25</v>
      </c>
      <c r="M161" t="s">
        <v>7929</v>
      </c>
      <c r="N161">
        <v>16.34</v>
      </c>
      <c r="P161" s="6" t="s">
        <v>8026</v>
      </c>
      <c r="Q161" s="7">
        <v>45746.054</v>
      </c>
      <c r="V161" t="s">
        <v>7850</v>
      </c>
      <c r="W161" t="s">
        <v>7839</v>
      </c>
      <c r="X161" t="s">
        <v>7888</v>
      </c>
      <c r="Y161">
        <v>75.884</v>
      </c>
      <c r="Z161" t="s">
        <v>8080</v>
      </c>
      <c r="AA161">
        <v>34.97</v>
      </c>
      <c r="AB161">
        <v>0.25</v>
      </c>
      <c r="AC161" s="6" t="s">
        <v>7925</v>
      </c>
      <c r="AD161" s="7">
        <v>45.38375</v>
      </c>
      <c r="AE161" s="7">
        <v>0.675</v>
      </c>
    </row>
    <row r="162" spans="1:31">
      <c r="A162" t="s">
        <v>3347</v>
      </c>
      <c r="B162" t="s">
        <v>3348</v>
      </c>
      <c r="C162" t="s">
        <v>3349</v>
      </c>
      <c r="D162" t="s">
        <v>7850</v>
      </c>
      <c r="E162" t="s">
        <v>7839</v>
      </c>
      <c r="F162" t="s">
        <v>7840</v>
      </c>
      <c r="G162" t="s">
        <v>8070</v>
      </c>
      <c r="H162" t="s">
        <v>9</v>
      </c>
      <c r="I162">
        <v>115.922</v>
      </c>
      <c r="J162">
        <v>9.868</v>
      </c>
      <c r="K162">
        <v>0.3</v>
      </c>
      <c r="M162" t="s">
        <v>8026</v>
      </c>
      <c r="N162">
        <v>43182.23</v>
      </c>
      <c r="P162" s="6" t="s">
        <v>8119</v>
      </c>
      <c r="Q162" s="7">
        <v>235.622</v>
      </c>
      <c r="V162" t="s">
        <v>7850</v>
      </c>
      <c r="W162" t="s">
        <v>7839</v>
      </c>
      <c r="X162" t="s">
        <v>7840</v>
      </c>
      <c r="Y162">
        <v>115.922</v>
      </c>
      <c r="Z162" t="s">
        <v>8070</v>
      </c>
      <c r="AA162">
        <v>9.868</v>
      </c>
      <c r="AB162">
        <v>0.3</v>
      </c>
      <c r="AC162" s="6" t="s">
        <v>8089</v>
      </c>
      <c r="AD162" s="7">
        <v>15.3336666666667</v>
      </c>
      <c r="AE162" s="7">
        <v>0.383333333333333</v>
      </c>
    </row>
    <row r="163" spans="1:31">
      <c r="A163" t="s">
        <v>1301</v>
      </c>
      <c r="B163" t="s">
        <v>1302</v>
      </c>
      <c r="C163" t="s">
        <v>1303</v>
      </c>
      <c r="D163" t="s">
        <v>7850</v>
      </c>
      <c r="E163" t="s">
        <v>7839</v>
      </c>
      <c r="F163" t="s">
        <v>7888</v>
      </c>
      <c r="G163" t="s">
        <v>7852</v>
      </c>
      <c r="H163" t="s">
        <v>9</v>
      </c>
      <c r="I163">
        <v>1246.567</v>
      </c>
      <c r="J163">
        <v>2.737</v>
      </c>
      <c r="K163">
        <v>0.04</v>
      </c>
      <c r="M163" t="s">
        <v>7845</v>
      </c>
      <c r="N163">
        <v>27.713</v>
      </c>
      <c r="P163" s="6" t="s">
        <v>8120</v>
      </c>
      <c r="Q163" s="7">
        <v>101.317</v>
      </c>
      <c r="V163" t="s">
        <v>7850</v>
      </c>
      <c r="W163" t="s">
        <v>7839</v>
      </c>
      <c r="X163" t="s">
        <v>7888</v>
      </c>
      <c r="Y163">
        <v>1246.567</v>
      </c>
      <c r="Z163" t="s">
        <v>7852</v>
      </c>
      <c r="AA163">
        <v>2.737</v>
      </c>
      <c r="AB163">
        <v>0.04</v>
      </c>
      <c r="AC163" s="6" t="s">
        <v>8091</v>
      </c>
      <c r="AD163" s="7">
        <v>25.588</v>
      </c>
      <c r="AE163" s="7">
        <v>0.3</v>
      </c>
    </row>
    <row r="164" spans="1:31">
      <c r="A164" t="s">
        <v>1804</v>
      </c>
      <c r="B164" t="s">
        <v>1805</v>
      </c>
      <c r="C164" t="s">
        <v>1806</v>
      </c>
      <c r="D164" t="s">
        <v>7844</v>
      </c>
      <c r="E164" t="s">
        <v>7839</v>
      </c>
      <c r="F164" t="s">
        <v>7840</v>
      </c>
      <c r="G164" t="s">
        <v>7865</v>
      </c>
      <c r="H164" t="s">
        <v>9</v>
      </c>
      <c r="I164">
        <v>458.628</v>
      </c>
      <c r="J164">
        <v>9.096</v>
      </c>
      <c r="K164">
        <v>0.28</v>
      </c>
      <c r="M164" t="s">
        <v>7854</v>
      </c>
      <c r="N164">
        <v>2808.657</v>
      </c>
      <c r="P164" s="6" t="s">
        <v>8053</v>
      </c>
      <c r="Q164" s="7">
        <v>199232.381</v>
      </c>
      <c r="V164" t="s">
        <v>7844</v>
      </c>
      <c r="W164" t="s">
        <v>7839</v>
      </c>
      <c r="X164" t="s">
        <v>7840</v>
      </c>
      <c r="Y164">
        <v>458.628</v>
      </c>
      <c r="Z164" t="s">
        <v>7865</v>
      </c>
      <c r="AA164">
        <v>9.096</v>
      </c>
      <c r="AB164">
        <v>0.28</v>
      </c>
      <c r="AC164" s="6" t="s">
        <v>8092</v>
      </c>
      <c r="AD164" s="7">
        <v>72.9725263157895</v>
      </c>
      <c r="AE164" s="7">
        <v>0.21</v>
      </c>
    </row>
    <row r="165" spans="1:31">
      <c r="A165" t="s">
        <v>1999</v>
      </c>
      <c r="B165" t="s">
        <v>2000</v>
      </c>
      <c r="C165" t="s">
        <v>2001</v>
      </c>
      <c r="D165" t="s">
        <v>7850</v>
      </c>
      <c r="E165" t="s">
        <v>7839</v>
      </c>
      <c r="F165" t="s">
        <v>7935</v>
      </c>
      <c r="G165" t="s">
        <v>7861</v>
      </c>
      <c r="H165" t="s">
        <v>9</v>
      </c>
      <c r="I165">
        <v>203.34</v>
      </c>
      <c r="J165">
        <v>42.86</v>
      </c>
      <c r="K165">
        <v>0.43</v>
      </c>
      <c r="M165" t="s">
        <v>8006</v>
      </c>
      <c r="N165">
        <v>58.758</v>
      </c>
      <c r="P165" s="6" t="s">
        <v>8121</v>
      </c>
      <c r="Q165" s="7">
        <v>1621.005</v>
      </c>
      <c r="V165" t="s">
        <v>7850</v>
      </c>
      <c r="W165" t="s">
        <v>7839</v>
      </c>
      <c r="X165" t="s">
        <v>7935</v>
      </c>
      <c r="Y165">
        <v>203.34</v>
      </c>
      <c r="Z165" t="s">
        <v>7861</v>
      </c>
      <c r="AA165">
        <v>42.86</v>
      </c>
      <c r="AB165">
        <v>0.43</v>
      </c>
      <c r="AC165" s="6" t="s">
        <v>8094</v>
      </c>
      <c r="AD165" s="7">
        <v>6.724</v>
      </c>
      <c r="AE165" s="7">
        <v>0.98</v>
      </c>
    </row>
    <row r="166" spans="1:31">
      <c r="A166" t="s">
        <v>2152</v>
      </c>
      <c r="B166" t="s">
        <v>2153</v>
      </c>
      <c r="C166" t="s">
        <v>2154</v>
      </c>
      <c r="D166" t="s">
        <v>7862</v>
      </c>
      <c r="E166" t="s">
        <v>7839</v>
      </c>
      <c r="F166" t="s">
        <v>7888</v>
      </c>
      <c r="G166" t="s">
        <v>7914</v>
      </c>
      <c r="H166" t="s">
        <v>9</v>
      </c>
      <c r="I166">
        <v>210.113</v>
      </c>
      <c r="J166">
        <v>49.646</v>
      </c>
      <c r="K166">
        <v>0.125</v>
      </c>
      <c r="M166" t="s">
        <v>8080</v>
      </c>
      <c r="N166">
        <v>75.884</v>
      </c>
      <c r="P166" s="6" t="s">
        <v>8122</v>
      </c>
      <c r="Q166" s="7">
        <v>5720.142</v>
      </c>
      <c r="V166" t="s">
        <v>7862</v>
      </c>
      <c r="W166" t="s">
        <v>7839</v>
      </c>
      <c r="X166" t="s">
        <v>7888</v>
      </c>
      <c r="Y166">
        <v>210.113</v>
      </c>
      <c r="Z166" t="s">
        <v>7914</v>
      </c>
      <c r="AA166">
        <v>49.646</v>
      </c>
      <c r="AB166">
        <v>0.125</v>
      </c>
      <c r="AC166" s="6" t="s">
        <v>7898</v>
      </c>
      <c r="AD166" s="7">
        <v>27.845</v>
      </c>
      <c r="AE166" s="7">
        <v>0.8</v>
      </c>
    </row>
    <row r="167" spans="1:31">
      <c r="A167" t="s">
        <v>668</v>
      </c>
      <c r="B167" t="s">
        <v>669</v>
      </c>
      <c r="C167" t="s">
        <v>670</v>
      </c>
      <c r="D167" t="s">
        <v>7850</v>
      </c>
      <c r="E167" t="s">
        <v>7839</v>
      </c>
      <c r="F167" t="s">
        <v>7935</v>
      </c>
      <c r="G167" t="s">
        <v>7943</v>
      </c>
      <c r="H167" t="s">
        <v>9</v>
      </c>
      <c r="I167">
        <v>193.53</v>
      </c>
      <c r="J167">
        <v>7.153</v>
      </c>
      <c r="K167">
        <v>0.35</v>
      </c>
      <c r="M167" t="s">
        <v>8070</v>
      </c>
      <c r="N167">
        <v>115.922</v>
      </c>
      <c r="P167" s="6" t="s">
        <v>7967</v>
      </c>
      <c r="Q167" s="7">
        <v>5017.766</v>
      </c>
      <c r="V167" t="s">
        <v>7850</v>
      </c>
      <c r="W167" t="s">
        <v>7839</v>
      </c>
      <c r="X167" t="s">
        <v>7935</v>
      </c>
      <c r="Y167">
        <v>193.53</v>
      </c>
      <c r="Z167" t="s">
        <v>7943</v>
      </c>
      <c r="AA167">
        <v>7.153</v>
      </c>
      <c r="AB167">
        <v>0.35</v>
      </c>
      <c r="AC167" s="6" t="s">
        <v>7841</v>
      </c>
      <c r="AD167" s="7">
        <v>98.234</v>
      </c>
      <c r="AE167" s="7">
        <v>0.85</v>
      </c>
    </row>
    <row r="168" spans="1:31">
      <c r="A168" t="s">
        <v>1572</v>
      </c>
      <c r="B168" t="s">
        <v>1573</v>
      </c>
      <c r="C168" t="s">
        <v>1574</v>
      </c>
      <c r="D168" t="s">
        <v>7850</v>
      </c>
      <c r="E168" t="s">
        <v>7839</v>
      </c>
      <c r="F168" t="s">
        <v>7840</v>
      </c>
      <c r="G168" t="s">
        <v>8004</v>
      </c>
      <c r="H168" t="s">
        <v>9</v>
      </c>
      <c r="I168">
        <v>171.197</v>
      </c>
      <c r="J168">
        <v>9.97</v>
      </c>
      <c r="K168">
        <v>0.48</v>
      </c>
      <c r="M168" t="s">
        <v>7852</v>
      </c>
      <c r="N168">
        <v>1246.567</v>
      </c>
      <c r="P168" s="6" t="s">
        <v>8123</v>
      </c>
      <c r="Q168" s="7">
        <v>6385.426</v>
      </c>
      <c r="V168" t="s">
        <v>7850</v>
      </c>
      <c r="W168" t="s">
        <v>7839</v>
      </c>
      <c r="X168" t="s">
        <v>7840</v>
      </c>
      <c r="Y168">
        <v>171.197</v>
      </c>
      <c r="Z168" t="s">
        <v>8004</v>
      </c>
      <c r="AA168">
        <v>9.97</v>
      </c>
      <c r="AB168">
        <v>0.48</v>
      </c>
      <c r="AC168" s="6" t="s">
        <v>8098</v>
      </c>
      <c r="AD168" s="7">
        <v>83.025</v>
      </c>
      <c r="AE168" s="7">
        <v>0.59</v>
      </c>
    </row>
    <row r="169" spans="1:31">
      <c r="A169" t="s">
        <v>2417</v>
      </c>
      <c r="B169" t="s">
        <v>2418</v>
      </c>
      <c r="C169" t="s">
        <v>2419</v>
      </c>
      <c r="D169" t="s">
        <v>7844</v>
      </c>
      <c r="E169" t="s">
        <v>7839</v>
      </c>
      <c r="F169" t="s">
        <v>7888</v>
      </c>
      <c r="G169" t="s">
        <v>7941</v>
      </c>
      <c r="H169" t="s">
        <v>9</v>
      </c>
      <c r="I169">
        <v>114.118</v>
      </c>
      <c r="J169">
        <v>4.937</v>
      </c>
      <c r="K169">
        <v>0.18</v>
      </c>
      <c r="M169" t="s">
        <v>7865</v>
      </c>
      <c r="N169">
        <v>458.628</v>
      </c>
      <c r="P169" s="6" t="s">
        <v>7913</v>
      </c>
      <c r="Q169" s="7">
        <v>789.037</v>
      </c>
      <c r="V169" t="s">
        <v>7844</v>
      </c>
      <c r="W169" t="s">
        <v>7839</v>
      </c>
      <c r="X169" t="s">
        <v>7888</v>
      </c>
      <c r="Y169">
        <v>114.118</v>
      </c>
      <c r="Z169" t="s">
        <v>7941</v>
      </c>
      <c r="AA169">
        <v>4.937</v>
      </c>
      <c r="AB169">
        <v>0.18</v>
      </c>
      <c r="AC169" s="6" t="s">
        <v>8033</v>
      </c>
      <c r="AD169" s="7">
        <v>12.1934166666667</v>
      </c>
      <c r="AE169" s="7">
        <v>0.05</v>
      </c>
    </row>
    <row r="170" spans="1:31">
      <c r="A170" t="s">
        <v>1501</v>
      </c>
      <c r="B170" t="s">
        <v>1502</v>
      </c>
      <c r="C170" t="s">
        <v>1503</v>
      </c>
      <c r="D170" t="s">
        <v>7850</v>
      </c>
      <c r="E170" t="s">
        <v>7839</v>
      </c>
      <c r="F170" t="s">
        <v>7888</v>
      </c>
      <c r="G170" t="s">
        <v>7938</v>
      </c>
      <c r="H170" t="s">
        <v>9</v>
      </c>
      <c r="I170">
        <v>44.776</v>
      </c>
      <c r="J170">
        <v>7.585</v>
      </c>
      <c r="K170">
        <v>0.15</v>
      </c>
      <c r="M170" t="s">
        <v>7861</v>
      </c>
      <c r="N170">
        <v>203.34</v>
      </c>
      <c r="P170" s="6" t="s">
        <v>8124</v>
      </c>
      <c r="Q170" s="7">
        <v>3.549</v>
      </c>
      <c r="V170" t="s">
        <v>7850</v>
      </c>
      <c r="W170" t="s">
        <v>7839</v>
      </c>
      <c r="X170" t="s">
        <v>7888</v>
      </c>
      <c r="Y170">
        <v>44.776</v>
      </c>
      <c r="Z170" t="s">
        <v>7938</v>
      </c>
      <c r="AA170">
        <v>7.585</v>
      </c>
      <c r="AB170">
        <v>0.15</v>
      </c>
      <c r="AC170" s="6" t="s">
        <v>8099</v>
      </c>
      <c r="AD170" s="7">
        <v>14.2595</v>
      </c>
      <c r="AE170" s="7">
        <v>0.35</v>
      </c>
    </row>
    <row r="171" spans="1:31">
      <c r="A171" t="s">
        <v>2109</v>
      </c>
      <c r="B171" t="s">
        <v>2110</v>
      </c>
      <c r="C171" t="s">
        <v>2111</v>
      </c>
      <c r="D171" t="s">
        <v>7850</v>
      </c>
      <c r="E171" t="s">
        <v>7839</v>
      </c>
      <c r="F171" t="s">
        <v>7840</v>
      </c>
      <c r="G171" t="s">
        <v>7854</v>
      </c>
      <c r="H171" t="s">
        <v>9</v>
      </c>
      <c r="I171">
        <v>25649.197</v>
      </c>
      <c r="J171">
        <v>2.944</v>
      </c>
      <c r="K171">
        <v>0.08</v>
      </c>
      <c r="M171" t="s">
        <v>7914</v>
      </c>
      <c r="N171">
        <v>210.113</v>
      </c>
      <c r="P171" s="6" t="s">
        <v>7861</v>
      </c>
      <c r="Q171" s="7">
        <v>19792.27</v>
      </c>
      <c r="V171" t="s">
        <v>7850</v>
      </c>
      <c r="W171" t="s">
        <v>7839</v>
      </c>
      <c r="X171" t="s">
        <v>7840</v>
      </c>
      <c r="Y171">
        <v>25649.197</v>
      </c>
      <c r="Z171" t="s">
        <v>7854</v>
      </c>
      <c r="AA171">
        <v>2.944</v>
      </c>
      <c r="AB171">
        <v>0.08</v>
      </c>
      <c r="AC171" s="6" t="s">
        <v>7984</v>
      </c>
      <c r="AD171" s="7">
        <v>32.888</v>
      </c>
      <c r="AE171" s="7">
        <v>0.8</v>
      </c>
    </row>
    <row r="172" spans="1:31">
      <c r="A172" t="s">
        <v>1741</v>
      </c>
      <c r="B172" t="s">
        <v>1742</v>
      </c>
      <c r="C172" t="s">
        <v>1743</v>
      </c>
      <c r="D172" t="s">
        <v>7844</v>
      </c>
      <c r="E172" t="s">
        <v>7839</v>
      </c>
      <c r="F172" t="s">
        <v>7853</v>
      </c>
      <c r="G172" t="s">
        <v>8002</v>
      </c>
      <c r="H172" t="s">
        <v>9</v>
      </c>
      <c r="I172">
        <v>28.837</v>
      </c>
      <c r="J172">
        <v>17.264</v>
      </c>
      <c r="K172">
        <v>0.35</v>
      </c>
      <c r="M172" t="s">
        <v>7943</v>
      </c>
      <c r="N172">
        <v>193.53</v>
      </c>
      <c r="P172" s="6" t="s">
        <v>7916</v>
      </c>
      <c r="Q172" s="7">
        <v>5.143</v>
      </c>
      <c r="V172" t="s">
        <v>7844</v>
      </c>
      <c r="W172" t="s">
        <v>7839</v>
      </c>
      <c r="X172" t="s">
        <v>7853</v>
      </c>
      <c r="Y172">
        <v>28.837</v>
      </c>
      <c r="Z172" t="s">
        <v>8002</v>
      </c>
      <c r="AA172">
        <v>17.264</v>
      </c>
      <c r="AB172">
        <v>0.35</v>
      </c>
      <c r="AC172" s="6" t="s">
        <v>7892</v>
      </c>
      <c r="AD172" s="7">
        <v>146.035</v>
      </c>
      <c r="AE172" s="7">
        <v>0.5625</v>
      </c>
    </row>
    <row r="173" spans="1:31">
      <c r="A173" t="s">
        <v>1420</v>
      </c>
      <c r="B173" t="s">
        <v>1421</v>
      </c>
      <c r="C173" t="s">
        <v>1422</v>
      </c>
      <c r="D173" t="s">
        <v>7844</v>
      </c>
      <c r="E173" t="s">
        <v>7839</v>
      </c>
      <c r="F173" t="s">
        <v>7840</v>
      </c>
      <c r="G173" t="s">
        <v>7974</v>
      </c>
      <c r="H173" t="s">
        <v>9</v>
      </c>
      <c r="I173">
        <v>1966.981</v>
      </c>
      <c r="J173">
        <v>5.4</v>
      </c>
      <c r="K173">
        <v>0.39</v>
      </c>
      <c r="M173" t="s">
        <v>8004</v>
      </c>
      <c r="N173">
        <v>171.197</v>
      </c>
      <c r="P173" s="6" t="s">
        <v>8125</v>
      </c>
      <c r="Q173" s="7">
        <v>26.411</v>
      </c>
      <c r="V173" t="s">
        <v>7844</v>
      </c>
      <c r="W173" t="s">
        <v>7839</v>
      </c>
      <c r="X173" t="s">
        <v>7840</v>
      </c>
      <c r="Y173">
        <v>1966.981</v>
      </c>
      <c r="Z173" t="s">
        <v>7974</v>
      </c>
      <c r="AA173">
        <v>5.4</v>
      </c>
      <c r="AB173">
        <v>0.39</v>
      </c>
      <c r="AC173" s="6" t="s">
        <v>7852</v>
      </c>
      <c r="AD173" s="7">
        <v>13.6695</v>
      </c>
      <c r="AE173" s="7">
        <v>0.194266666666667</v>
      </c>
    </row>
    <row r="174" spans="1:31">
      <c r="A174" t="s">
        <v>1119</v>
      </c>
      <c r="B174" t="s">
        <v>1120</v>
      </c>
      <c r="C174" t="s">
        <v>1121</v>
      </c>
      <c r="D174" t="s">
        <v>7847</v>
      </c>
      <c r="E174" t="s">
        <v>7839</v>
      </c>
      <c r="F174" t="s">
        <v>7840</v>
      </c>
      <c r="G174" t="s">
        <v>7939</v>
      </c>
      <c r="H174" t="s">
        <v>9</v>
      </c>
      <c r="I174">
        <v>2156.326</v>
      </c>
      <c r="J174">
        <v>13.855</v>
      </c>
      <c r="K174">
        <v>0.2</v>
      </c>
      <c r="M174" t="s">
        <v>7941</v>
      </c>
      <c r="N174">
        <v>114.118</v>
      </c>
      <c r="P174" s="6" t="s">
        <v>162</v>
      </c>
      <c r="Q174" s="7">
        <v>2292826.528</v>
      </c>
      <c r="V174" t="s">
        <v>7847</v>
      </c>
      <c r="W174" t="s">
        <v>7839</v>
      </c>
      <c r="X174" t="s">
        <v>7840</v>
      </c>
      <c r="Y174">
        <v>2156.326</v>
      </c>
      <c r="Z174" t="s">
        <v>7939</v>
      </c>
      <c r="AA174">
        <v>13.855</v>
      </c>
      <c r="AB174">
        <v>0.2</v>
      </c>
      <c r="AC174" s="6" t="s">
        <v>8100</v>
      </c>
      <c r="AD174" s="7">
        <v>20.38</v>
      </c>
      <c r="AE174" s="7">
        <v>0.4</v>
      </c>
    </row>
    <row r="175" spans="1:31">
      <c r="A175" t="s">
        <v>2056</v>
      </c>
      <c r="B175" t="s">
        <v>2057</v>
      </c>
      <c r="C175" t="s">
        <v>2058</v>
      </c>
      <c r="D175" t="s">
        <v>7844</v>
      </c>
      <c r="E175" t="s">
        <v>7839</v>
      </c>
      <c r="F175" t="s">
        <v>7888</v>
      </c>
      <c r="G175" t="s">
        <v>8026</v>
      </c>
      <c r="H175" t="s">
        <v>9</v>
      </c>
      <c r="I175">
        <v>849.456</v>
      </c>
      <c r="J175">
        <v>6.082</v>
      </c>
      <c r="K175">
        <v>0.1</v>
      </c>
      <c r="M175" t="s">
        <v>7938</v>
      </c>
      <c r="N175">
        <v>44.776</v>
      </c>
      <c r="V175" t="s">
        <v>7844</v>
      </c>
      <c r="W175" t="s">
        <v>7839</v>
      </c>
      <c r="X175" t="s">
        <v>7888</v>
      </c>
      <c r="Y175">
        <v>849.456</v>
      </c>
      <c r="Z175" t="s">
        <v>8026</v>
      </c>
      <c r="AA175">
        <v>6.082</v>
      </c>
      <c r="AB175">
        <v>0.1</v>
      </c>
      <c r="AC175" s="6" t="s">
        <v>8017</v>
      </c>
      <c r="AD175" s="7">
        <v>32.03025</v>
      </c>
      <c r="AE175" s="7">
        <v>0.2875</v>
      </c>
    </row>
    <row r="176" spans="1:31">
      <c r="A176" t="s">
        <v>3047</v>
      </c>
      <c r="B176" t="s">
        <v>3048</v>
      </c>
      <c r="C176" t="s">
        <v>3049</v>
      </c>
      <c r="D176" t="s">
        <v>7844</v>
      </c>
      <c r="E176" t="s">
        <v>7839</v>
      </c>
      <c r="F176" t="s">
        <v>7888</v>
      </c>
      <c r="G176" t="s">
        <v>7854</v>
      </c>
      <c r="H176" t="s">
        <v>9</v>
      </c>
      <c r="I176">
        <v>29.082</v>
      </c>
      <c r="J176">
        <v>8.798</v>
      </c>
      <c r="K176">
        <v>0.09</v>
      </c>
      <c r="M176" t="s">
        <v>7854</v>
      </c>
      <c r="N176">
        <v>25649.197</v>
      </c>
      <c r="V176" t="s">
        <v>7844</v>
      </c>
      <c r="W176" t="s">
        <v>7839</v>
      </c>
      <c r="X176" t="s">
        <v>7888</v>
      </c>
      <c r="Y176">
        <v>29.082</v>
      </c>
      <c r="Z176" t="s">
        <v>7854</v>
      </c>
      <c r="AA176">
        <v>8.798</v>
      </c>
      <c r="AB176">
        <v>0.09</v>
      </c>
      <c r="AC176" s="6" t="s">
        <v>8101</v>
      </c>
      <c r="AD176" s="7">
        <v>18.708</v>
      </c>
      <c r="AE176" s="7">
        <v>0.586666666666667</v>
      </c>
    </row>
    <row r="177" spans="1:31">
      <c r="A177" t="s">
        <v>1817</v>
      </c>
      <c r="B177" t="s">
        <v>1818</v>
      </c>
      <c r="C177" t="s">
        <v>1819</v>
      </c>
      <c r="D177" t="s">
        <v>7847</v>
      </c>
      <c r="E177" t="s">
        <v>7839</v>
      </c>
      <c r="F177" t="s">
        <v>7840</v>
      </c>
      <c r="G177" t="s">
        <v>8051</v>
      </c>
      <c r="H177" t="s">
        <v>9</v>
      </c>
      <c r="I177">
        <v>199.806</v>
      </c>
      <c r="J177">
        <v>94.999</v>
      </c>
      <c r="K177">
        <v>0.65</v>
      </c>
      <c r="M177" t="s">
        <v>8002</v>
      </c>
      <c r="N177">
        <v>28.837</v>
      </c>
      <c r="V177" t="s">
        <v>7847</v>
      </c>
      <c r="W177" t="s">
        <v>7839</v>
      </c>
      <c r="X177" t="s">
        <v>7840</v>
      </c>
      <c r="Y177">
        <v>199.806</v>
      </c>
      <c r="Z177" t="s">
        <v>8051</v>
      </c>
      <c r="AA177">
        <v>94.999</v>
      </c>
      <c r="AB177">
        <v>0.65</v>
      </c>
      <c r="AC177" s="6" t="s">
        <v>8075</v>
      </c>
      <c r="AD177" s="7">
        <v>30.05816</v>
      </c>
      <c r="AE177" s="7">
        <v>0.3272</v>
      </c>
    </row>
    <row r="178" spans="1:31">
      <c r="A178" t="s">
        <v>1162</v>
      </c>
      <c r="B178" t="s">
        <v>1163</v>
      </c>
      <c r="C178" t="s">
        <v>1164</v>
      </c>
      <c r="D178" t="s">
        <v>7844</v>
      </c>
      <c r="E178" t="s">
        <v>7839</v>
      </c>
      <c r="F178" t="s">
        <v>7853</v>
      </c>
      <c r="G178" t="s">
        <v>8056</v>
      </c>
      <c r="H178" t="s">
        <v>9</v>
      </c>
      <c r="I178">
        <v>1330.338</v>
      </c>
      <c r="J178">
        <v>10.262</v>
      </c>
      <c r="K178">
        <v>0.4</v>
      </c>
      <c r="M178" t="s">
        <v>7974</v>
      </c>
      <c r="N178">
        <v>1966.981</v>
      </c>
      <c r="V178" t="s">
        <v>7844</v>
      </c>
      <c r="W178" t="s">
        <v>7839</v>
      </c>
      <c r="X178" t="s">
        <v>7853</v>
      </c>
      <c r="Y178">
        <v>1330.338</v>
      </c>
      <c r="Z178" t="s">
        <v>8056</v>
      </c>
      <c r="AA178">
        <v>10.262</v>
      </c>
      <c r="AB178">
        <v>0.4</v>
      </c>
      <c r="AC178" s="6" t="s">
        <v>7997</v>
      </c>
      <c r="AD178" s="7">
        <v>38.6682</v>
      </c>
      <c r="AE178" s="7">
        <v>0.278</v>
      </c>
    </row>
    <row r="179" spans="1:31">
      <c r="A179" t="s">
        <v>3080</v>
      </c>
      <c r="B179" t="s">
        <v>3081</v>
      </c>
      <c r="C179" t="s">
        <v>3082</v>
      </c>
      <c r="D179" t="s">
        <v>7844</v>
      </c>
      <c r="E179" t="s">
        <v>7839</v>
      </c>
      <c r="F179" t="s">
        <v>7840</v>
      </c>
      <c r="G179" t="s">
        <v>7923</v>
      </c>
      <c r="H179" t="s">
        <v>9</v>
      </c>
      <c r="I179">
        <v>2521.249</v>
      </c>
      <c r="J179">
        <v>5.194</v>
      </c>
      <c r="K179">
        <v>0.3</v>
      </c>
      <c r="M179" t="s">
        <v>7939</v>
      </c>
      <c r="N179">
        <v>2156.326</v>
      </c>
      <c r="V179" t="s">
        <v>7844</v>
      </c>
      <c r="W179" t="s">
        <v>7839</v>
      </c>
      <c r="X179" t="s">
        <v>7840</v>
      </c>
      <c r="Y179">
        <v>2521.249</v>
      </c>
      <c r="Z179" t="s">
        <v>7923</v>
      </c>
      <c r="AA179">
        <v>5.194</v>
      </c>
      <c r="AB179">
        <v>0.3</v>
      </c>
      <c r="AC179" s="6" t="s">
        <v>8102</v>
      </c>
      <c r="AD179" s="7">
        <v>89.6314166666667</v>
      </c>
      <c r="AE179" s="7">
        <v>0.25</v>
      </c>
    </row>
    <row r="180" spans="1:31">
      <c r="A180" t="s">
        <v>2661</v>
      </c>
      <c r="B180" t="s">
        <v>2662</v>
      </c>
      <c r="C180" t="s">
        <v>2663</v>
      </c>
      <c r="D180" t="s">
        <v>7850</v>
      </c>
      <c r="E180" t="s">
        <v>7839</v>
      </c>
      <c r="F180" t="s">
        <v>7840</v>
      </c>
      <c r="G180" t="s">
        <v>7854</v>
      </c>
      <c r="H180" t="s">
        <v>9</v>
      </c>
      <c r="I180">
        <v>18821.848</v>
      </c>
      <c r="J180">
        <v>3.437</v>
      </c>
      <c r="K180">
        <v>0.49</v>
      </c>
      <c r="M180" t="s">
        <v>8026</v>
      </c>
      <c r="N180">
        <v>849.456</v>
      </c>
      <c r="V180" t="s">
        <v>7850</v>
      </c>
      <c r="W180" t="s">
        <v>7839</v>
      </c>
      <c r="X180" t="s">
        <v>7840</v>
      </c>
      <c r="Y180">
        <v>18821.848</v>
      </c>
      <c r="Z180" t="s">
        <v>7854</v>
      </c>
      <c r="AA180">
        <v>3.437</v>
      </c>
      <c r="AB180">
        <v>0.49</v>
      </c>
      <c r="AC180" s="6" t="s">
        <v>8103</v>
      </c>
      <c r="AD180" s="7">
        <v>100</v>
      </c>
      <c r="AE180" s="7">
        <v>0.68</v>
      </c>
    </row>
    <row r="181" spans="1:31">
      <c r="A181" t="s">
        <v>1829</v>
      </c>
      <c r="B181" t="s">
        <v>1830</v>
      </c>
      <c r="C181" t="s">
        <v>1831</v>
      </c>
      <c r="D181" t="s">
        <v>7844</v>
      </c>
      <c r="E181" t="s">
        <v>7839</v>
      </c>
      <c r="F181" t="s">
        <v>7853</v>
      </c>
      <c r="G181" t="s">
        <v>8002</v>
      </c>
      <c r="H181" t="s">
        <v>9</v>
      </c>
      <c r="I181">
        <v>179.748</v>
      </c>
      <c r="J181">
        <v>12.697</v>
      </c>
      <c r="K181">
        <v>0.18</v>
      </c>
      <c r="M181" t="s">
        <v>7854</v>
      </c>
      <c r="N181">
        <v>29.082</v>
      </c>
      <c r="V181" t="s">
        <v>7844</v>
      </c>
      <c r="W181" t="s">
        <v>7839</v>
      </c>
      <c r="X181" t="s">
        <v>7853</v>
      </c>
      <c r="Y181">
        <v>179.748</v>
      </c>
      <c r="Z181" t="s">
        <v>8002</v>
      </c>
      <c r="AA181">
        <v>12.697</v>
      </c>
      <c r="AB181">
        <v>0.18</v>
      </c>
      <c r="AC181" s="6" t="s">
        <v>7990</v>
      </c>
      <c r="AD181" s="7">
        <v>23.6111428571429</v>
      </c>
      <c r="AE181" s="7">
        <v>0.302</v>
      </c>
    </row>
    <row r="182" spans="1:31">
      <c r="A182" t="s">
        <v>2590</v>
      </c>
      <c r="B182" t="s">
        <v>2591</v>
      </c>
      <c r="C182" t="s">
        <v>2592</v>
      </c>
      <c r="D182" t="s">
        <v>7850</v>
      </c>
      <c r="E182" t="s">
        <v>7839</v>
      </c>
      <c r="F182" t="s">
        <v>7840</v>
      </c>
      <c r="G182" t="s">
        <v>7852</v>
      </c>
      <c r="H182" t="s">
        <v>9</v>
      </c>
      <c r="I182">
        <v>10730.684</v>
      </c>
      <c r="J182">
        <v>3.425</v>
      </c>
      <c r="K182">
        <v>0.05</v>
      </c>
      <c r="M182" t="s">
        <v>8051</v>
      </c>
      <c r="N182">
        <v>199.806</v>
      </c>
      <c r="V182" t="s">
        <v>7850</v>
      </c>
      <c r="W182" t="s">
        <v>7839</v>
      </c>
      <c r="X182" t="s">
        <v>7840</v>
      </c>
      <c r="Y182">
        <v>10730.684</v>
      </c>
      <c r="Z182" t="s">
        <v>7852</v>
      </c>
      <c r="AA182">
        <v>3.425</v>
      </c>
      <c r="AB182">
        <v>0.05</v>
      </c>
      <c r="AC182" s="6" t="s">
        <v>7987</v>
      </c>
      <c r="AD182" s="7">
        <v>24.5384285714286</v>
      </c>
      <c r="AE182" s="7">
        <v>0.437142857142857</v>
      </c>
    </row>
    <row r="183" spans="1:31">
      <c r="A183" t="s">
        <v>114</v>
      </c>
      <c r="B183" t="s">
        <v>115</v>
      </c>
      <c r="C183" t="s">
        <v>116</v>
      </c>
      <c r="D183" t="s">
        <v>7862</v>
      </c>
      <c r="E183" t="s">
        <v>7839</v>
      </c>
      <c r="F183" t="s">
        <v>7840</v>
      </c>
      <c r="G183" t="s">
        <v>7861</v>
      </c>
      <c r="H183" t="s">
        <v>9</v>
      </c>
      <c r="I183">
        <v>88.947</v>
      </c>
      <c r="J183">
        <v>12.586</v>
      </c>
      <c r="K183">
        <v>0.55</v>
      </c>
      <c r="M183" t="s">
        <v>8056</v>
      </c>
      <c r="N183">
        <v>1330.338</v>
      </c>
      <c r="V183" t="s">
        <v>7862</v>
      </c>
      <c r="W183" t="s">
        <v>7839</v>
      </c>
      <c r="X183" t="s">
        <v>7840</v>
      </c>
      <c r="Y183">
        <v>88.947</v>
      </c>
      <c r="Z183" t="s">
        <v>7861</v>
      </c>
      <c r="AA183">
        <v>12.586</v>
      </c>
      <c r="AB183">
        <v>0.55</v>
      </c>
      <c r="AC183" s="6" t="s">
        <v>8104</v>
      </c>
      <c r="AD183" s="7">
        <v>24.3855</v>
      </c>
      <c r="AE183" s="7">
        <v>0.5</v>
      </c>
    </row>
    <row r="184" spans="1:31">
      <c r="A184" t="s">
        <v>2243</v>
      </c>
      <c r="B184" t="s">
        <v>2244</v>
      </c>
      <c r="C184" t="s">
        <v>2245</v>
      </c>
      <c r="D184" t="s">
        <v>7855</v>
      </c>
      <c r="E184" t="s">
        <v>7839</v>
      </c>
      <c r="F184" t="s">
        <v>7888</v>
      </c>
      <c r="G184" t="s">
        <v>8102</v>
      </c>
      <c r="H184" t="s">
        <v>9</v>
      </c>
      <c r="I184">
        <v>4.33</v>
      </c>
      <c r="J184">
        <v>93.961</v>
      </c>
      <c r="K184">
        <v>0.25</v>
      </c>
      <c r="M184" t="s">
        <v>7923</v>
      </c>
      <c r="N184">
        <v>2521.249</v>
      </c>
      <c r="V184" t="s">
        <v>7855</v>
      </c>
      <c r="W184" t="s">
        <v>7839</v>
      </c>
      <c r="X184" t="s">
        <v>7888</v>
      </c>
      <c r="Y184">
        <v>4.33</v>
      </c>
      <c r="Z184" t="s">
        <v>8102</v>
      </c>
      <c r="AA184">
        <v>93.961</v>
      </c>
      <c r="AB184">
        <v>0.25</v>
      </c>
      <c r="AC184" s="6" t="s">
        <v>8105</v>
      </c>
      <c r="AD184" s="7">
        <v>18.334</v>
      </c>
      <c r="AE184" s="7">
        <v>0.295</v>
      </c>
    </row>
    <row r="185" spans="1:31">
      <c r="A185" t="s">
        <v>1243</v>
      </c>
      <c r="B185" t="s">
        <v>1244</v>
      </c>
      <c r="C185" t="s">
        <v>1245</v>
      </c>
      <c r="D185" t="s">
        <v>7844</v>
      </c>
      <c r="E185" t="s">
        <v>7839</v>
      </c>
      <c r="F185" t="s">
        <v>7853</v>
      </c>
      <c r="G185" t="s">
        <v>8056</v>
      </c>
      <c r="H185" t="s">
        <v>9</v>
      </c>
      <c r="I185">
        <v>69.059</v>
      </c>
      <c r="J185">
        <v>22.358</v>
      </c>
      <c r="K185">
        <v>0.45</v>
      </c>
      <c r="M185" t="s">
        <v>7854</v>
      </c>
      <c r="N185">
        <v>18821.848</v>
      </c>
      <c r="V185" t="s">
        <v>7844</v>
      </c>
      <c r="W185" t="s">
        <v>7839</v>
      </c>
      <c r="X185" t="s">
        <v>7853</v>
      </c>
      <c r="Y185">
        <v>69.059</v>
      </c>
      <c r="Z185" t="s">
        <v>8056</v>
      </c>
      <c r="AA185">
        <v>22.358</v>
      </c>
      <c r="AB185">
        <v>0.45</v>
      </c>
      <c r="AC185" s="6" t="s">
        <v>7851</v>
      </c>
      <c r="AD185" s="7">
        <v>53.3553333333333</v>
      </c>
      <c r="AE185" s="7">
        <v>0.652222222222222</v>
      </c>
    </row>
    <row r="186" spans="1:31">
      <c r="A186" t="s">
        <v>2920</v>
      </c>
      <c r="B186" t="s">
        <v>2921</v>
      </c>
      <c r="C186" t="s">
        <v>2922</v>
      </c>
      <c r="D186" t="s">
        <v>7850</v>
      </c>
      <c r="E186" t="s">
        <v>7839</v>
      </c>
      <c r="F186" t="s">
        <v>7840</v>
      </c>
      <c r="G186" t="s">
        <v>8002</v>
      </c>
      <c r="H186" t="s">
        <v>9</v>
      </c>
      <c r="I186">
        <v>109.28</v>
      </c>
      <c r="J186">
        <v>4.172</v>
      </c>
      <c r="K186">
        <v>0.15</v>
      </c>
      <c r="M186" t="s">
        <v>8002</v>
      </c>
      <c r="N186">
        <v>179.748</v>
      </c>
      <c r="V186" t="s">
        <v>7850</v>
      </c>
      <c r="W186" t="s">
        <v>7839</v>
      </c>
      <c r="X186" t="s">
        <v>7840</v>
      </c>
      <c r="Y186">
        <v>109.28</v>
      </c>
      <c r="Z186" t="s">
        <v>8002</v>
      </c>
      <c r="AA186">
        <v>4.172</v>
      </c>
      <c r="AB186">
        <v>0.15</v>
      </c>
      <c r="AC186" s="6" t="s">
        <v>7849</v>
      </c>
      <c r="AD186" s="7">
        <v>114.587333333333</v>
      </c>
      <c r="AE186" s="7">
        <v>0.613333333333333</v>
      </c>
    </row>
    <row r="187" spans="1:31">
      <c r="A187" t="s">
        <v>514</v>
      </c>
      <c r="B187" t="s">
        <v>515</v>
      </c>
      <c r="C187" t="s">
        <v>516</v>
      </c>
      <c r="D187" t="s">
        <v>7850</v>
      </c>
      <c r="E187" t="s">
        <v>7839</v>
      </c>
      <c r="F187" t="s">
        <v>7840</v>
      </c>
      <c r="G187" t="s">
        <v>7861</v>
      </c>
      <c r="H187" t="s">
        <v>9</v>
      </c>
      <c r="I187">
        <v>90.355</v>
      </c>
      <c r="J187">
        <v>28.534</v>
      </c>
      <c r="K187">
        <v>0.6</v>
      </c>
      <c r="M187" t="s">
        <v>7852</v>
      </c>
      <c r="N187">
        <v>10730.684</v>
      </c>
      <c r="V187" t="s">
        <v>7850</v>
      </c>
      <c r="W187" t="s">
        <v>7839</v>
      </c>
      <c r="X187" t="s">
        <v>7840</v>
      </c>
      <c r="Y187">
        <v>90.355</v>
      </c>
      <c r="Z187" t="s">
        <v>7861</v>
      </c>
      <c r="AA187">
        <v>28.534</v>
      </c>
      <c r="AB187">
        <v>0.6</v>
      </c>
      <c r="AC187" s="6" t="s">
        <v>8106</v>
      </c>
      <c r="AD187" s="7">
        <v>30.8846666666667</v>
      </c>
      <c r="AE187" s="7">
        <v>0.55</v>
      </c>
    </row>
    <row r="188" spans="1:31">
      <c r="A188" t="s">
        <v>4009</v>
      </c>
      <c r="B188" t="s">
        <v>4010</v>
      </c>
      <c r="C188" t="s">
        <v>4011</v>
      </c>
      <c r="D188" t="s">
        <v>7847</v>
      </c>
      <c r="E188" t="s">
        <v>7839</v>
      </c>
      <c r="F188" t="s">
        <v>7888</v>
      </c>
      <c r="G188" t="s">
        <v>7845</v>
      </c>
      <c r="H188" t="s">
        <v>9</v>
      </c>
      <c r="I188">
        <v>675.953</v>
      </c>
      <c r="J188">
        <v>70.567</v>
      </c>
      <c r="K188">
        <v>0.65</v>
      </c>
      <c r="M188" t="s">
        <v>7861</v>
      </c>
      <c r="N188">
        <v>88.947</v>
      </c>
      <c r="V188" t="s">
        <v>7847</v>
      </c>
      <c r="W188" t="s">
        <v>7839</v>
      </c>
      <c r="X188" t="s">
        <v>7888</v>
      </c>
      <c r="Y188">
        <v>675.953</v>
      </c>
      <c r="Z188" t="s">
        <v>7845</v>
      </c>
      <c r="AA188">
        <v>70.567</v>
      </c>
      <c r="AB188">
        <v>0.65</v>
      </c>
      <c r="AC188" s="6" t="s">
        <v>8107</v>
      </c>
      <c r="AD188" s="7">
        <v>25.6446666666667</v>
      </c>
      <c r="AE188" s="7">
        <v>0.316666666666667</v>
      </c>
    </row>
    <row r="189" spans="1:31">
      <c r="A189" t="s">
        <v>2467</v>
      </c>
      <c r="B189" t="s">
        <v>2468</v>
      </c>
      <c r="C189" t="s">
        <v>2469</v>
      </c>
      <c r="D189" t="s">
        <v>7844</v>
      </c>
      <c r="E189" t="s">
        <v>7839</v>
      </c>
      <c r="F189" t="s">
        <v>7853</v>
      </c>
      <c r="G189" t="s">
        <v>8014</v>
      </c>
      <c r="H189" t="s">
        <v>9</v>
      </c>
      <c r="I189">
        <v>99.866</v>
      </c>
      <c r="J189">
        <v>17.509</v>
      </c>
      <c r="K189">
        <v>0.003</v>
      </c>
      <c r="M189" t="s">
        <v>8102</v>
      </c>
      <c r="N189">
        <v>4.33</v>
      </c>
      <c r="V189" t="s">
        <v>7844</v>
      </c>
      <c r="W189" t="s">
        <v>7839</v>
      </c>
      <c r="X189" t="s">
        <v>7853</v>
      </c>
      <c r="Y189">
        <v>99.866</v>
      </c>
      <c r="Z189" t="s">
        <v>8014</v>
      </c>
      <c r="AA189">
        <v>17.509</v>
      </c>
      <c r="AB189">
        <v>0.003</v>
      </c>
      <c r="AC189" s="6" t="s">
        <v>7977</v>
      </c>
      <c r="AD189" s="7">
        <v>23.8503333333333</v>
      </c>
      <c r="AE189" s="7">
        <v>0.356666666666667</v>
      </c>
    </row>
    <row r="190" spans="1:31">
      <c r="A190" t="s">
        <v>1546</v>
      </c>
      <c r="B190" t="s">
        <v>1547</v>
      </c>
      <c r="C190" t="s">
        <v>1548</v>
      </c>
      <c r="D190" t="s">
        <v>7844</v>
      </c>
      <c r="E190" t="s">
        <v>7839</v>
      </c>
      <c r="F190" t="s">
        <v>7853</v>
      </c>
      <c r="G190" t="s">
        <v>8056</v>
      </c>
      <c r="H190" t="s">
        <v>9</v>
      </c>
      <c r="I190">
        <v>367.022</v>
      </c>
      <c r="J190">
        <v>13.433</v>
      </c>
      <c r="K190">
        <v>0.4</v>
      </c>
      <c r="M190" t="s">
        <v>8056</v>
      </c>
      <c r="N190">
        <v>69.059</v>
      </c>
      <c r="V190" t="s">
        <v>7844</v>
      </c>
      <c r="W190" t="s">
        <v>7839</v>
      </c>
      <c r="X190" t="s">
        <v>7853</v>
      </c>
      <c r="Y190">
        <v>367.022</v>
      </c>
      <c r="Z190" t="s">
        <v>8056</v>
      </c>
      <c r="AA190">
        <v>13.433</v>
      </c>
      <c r="AB190">
        <v>0.4</v>
      </c>
      <c r="AC190" s="6" t="s">
        <v>8038</v>
      </c>
      <c r="AD190" s="7">
        <v>22.4575</v>
      </c>
      <c r="AE190" s="7">
        <v>0.35</v>
      </c>
    </row>
    <row r="191" spans="1:31">
      <c r="A191" t="s">
        <v>1322</v>
      </c>
      <c r="B191" t="s">
        <v>1323</v>
      </c>
      <c r="C191" t="s">
        <v>1324</v>
      </c>
      <c r="D191" t="s">
        <v>7844</v>
      </c>
      <c r="E191" t="s">
        <v>7839</v>
      </c>
      <c r="F191" t="s">
        <v>7888</v>
      </c>
      <c r="G191" t="s">
        <v>7854</v>
      </c>
      <c r="H191" t="s">
        <v>9</v>
      </c>
      <c r="I191">
        <v>232.648</v>
      </c>
      <c r="J191">
        <v>4.865</v>
      </c>
      <c r="K191">
        <v>0.18</v>
      </c>
      <c r="M191" t="s">
        <v>8002</v>
      </c>
      <c r="N191">
        <v>109.28</v>
      </c>
      <c r="V191" t="s">
        <v>7844</v>
      </c>
      <c r="W191" t="s">
        <v>7839</v>
      </c>
      <c r="X191" t="s">
        <v>7888</v>
      </c>
      <c r="Y191">
        <v>232.648</v>
      </c>
      <c r="Z191" t="s">
        <v>7854</v>
      </c>
      <c r="AA191">
        <v>4.865</v>
      </c>
      <c r="AB191">
        <v>0.18</v>
      </c>
      <c r="AC191" s="6" t="s">
        <v>8108</v>
      </c>
      <c r="AD191" s="7">
        <v>23.705</v>
      </c>
      <c r="AE191" s="7">
        <v>0.25</v>
      </c>
    </row>
    <row r="192" spans="1:31">
      <c r="A192" t="s">
        <v>2599</v>
      </c>
      <c r="B192" t="s">
        <v>2600</v>
      </c>
      <c r="C192" t="s">
        <v>2601</v>
      </c>
      <c r="D192" t="s">
        <v>7844</v>
      </c>
      <c r="E192" t="s">
        <v>7839</v>
      </c>
      <c r="F192" t="s">
        <v>7840</v>
      </c>
      <c r="G192" t="s">
        <v>7970</v>
      </c>
      <c r="H192" t="s">
        <v>9</v>
      </c>
      <c r="I192">
        <v>154.808</v>
      </c>
      <c r="J192">
        <v>16.598</v>
      </c>
      <c r="K192">
        <v>0.3</v>
      </c>
      <c r="M192" t="s">
        <v>7861</v>
      </c>
      <c r="N192">
        <v>90.355</v>
      </c>
      <c r="V192" t="s">
        <v>7844</v>
      </c>
      <c r="W192" t="s">
        <v>7839</v>
      </c>
      <c r="X192" t="s">
        <v>7840</v>
      </c>
      <c r="Y192">
        <v>154.808</v>
      </c>
      <c r="Z192" t="s">
        <v>7970</v>
      </c>
      <c r="AA192">
        <v>16.598</v>
      </c>
      <c r="AB192">
        <v>0.3</v>
      </c>
      <c r="AC192" s="6" t="s">
        <v>8109</v>
      </c>
      <c r="AD192" s="7">
        <v>18.163</v>
      </c>
      <c r="AE192" s="7">
        <v>0.65</v>
      </c>
    </row>
    <row r="193" spans="1:31">
      <c r="A193" t="s">
        <v>1614</v>
      </c>
      <c r="B193" t="s">
        <v>1615</v>
      </c>
      <c r="C193" t="s">
        <v>1616</v>
      </c>
      <c r="D193" t="s">
        <v>7844</v>
      </c>
      <c r="E193" t="s">
        <v>7839</v>
      </c>
      <c r="F193" t="s">
        <v>7840</v>
      </c>
      <c r="G193" t="s">
        <v>7941</v>
      </c>
      <c r="H193" t="s">
        <v>9</v>
      </c>
      <c r="I193">
        <v>231.999</v>
      </c>
      <c r="J193">
        <v>4.531</v>
      </c>
      <c r="K193">
        <v>0.18</v>
      </c>
      <c r="M193" t="s">
        <v>7845</v>
      </c>
      <c r="N193">
        <v>675.953</v>
      </c>
      <c r="V193" t="s">
        <v>7844</v>
      </c>
      <c r="W193" t="s">
        <v>7839</v>
      </c>
      <c r="X193" t="s">
        <v>7840</v>
      </c>
      <c r="Y193">
        <v>231.999</v>
      </c>
      <c r="Z193" t="s">
        <v>7941</v>
      </c>
      <c r="AA193">
        <v>4.531</v>
      </c>
      <c r="AB193">
        <v>0.18</v>
      </c>
      <c r="AC193" s="6" t="s">
        <v>8110</v>
      </c>
      <c r="AD193" s="7">
        <v>53.2525</v>
      </c>
      <c r="AE193" s="7">
        <v>0.725</v>
      </c>
    </row>
    <row r="194" spans="1:31">
      <c r="A194" t="s">
        <v>1483</v>
      </c>
      <c r="B194" t="s">
        <v>1484</v>
      </c>
      <c r="C194" t="s">
        <v>1485</v>
      </c>
      <c r="D194" t="s">
        <v>7844</v>
      </c>
      <c r="E194" t="s">
        <v>7839</v>
      </c>
      <c r="F194" t="s">
        <v>7840</v>
      </c>
      <c r="G194" t="s">
        <v>7939</v>
      </c>
      <c r="H194" t="s">
        <v>9</v>
      </c>
      <c r="I194">
        <v>607.967</v>
      </c>
      <c r="J194">
        <v>12.387</v>
      </c>
      <c r="K194">
        <v>0.16</v>
      </c>
      <c r="M194" t="s">
        <v>8014</v>
      </c>
      <c r="N194">
        <v>99.866</v>
      </c>
      <c r="V194" t="s">
        <v>7844</v>
      </c>
      <c r="W194" t="s">
        <v>7839</v>
      </c>
      <c r="X194" t="s">
        <v>7840</v>
      </c>
      <c r="Y194">
        <v>607.967</v>
      </c>
      <c r="Z194" t="s">
        <v>7939</v>
      </c>
      <c r="AA194">
        <v>12.387</v>
      </c>
      <c r="AB194">
        <v>0.16</v>
      </c>
      <c r="AC194" s="6" t="s">
        <v>8111</v>
      </c>
      <c r="AD194" s="7">
        <v>52.734</v>
      </c>
      <c r="AE194" s="7">
        <v>0.75</v>
      </c>
    </row>
    <row r="195" spans="1:31">
      <c r="A195" t="s">
        <v>2766</v>
      </c>
      <c r="B195" t="s">
        <v>2767</v>
      </c>
      <c r="C195" t="s">
        <v>2768</v>
      </c>
      <c r="D195" t="s">
        <v>7846</v>
      </c>
      <c r="E195" t="s">
        <v>7839</v>
      </c>
      <c r="F195" t="s">
        <v>7840</v>
      </c>
      <c r="G195" t="s">
        <v>7970</v>
      </c>
      <c r="H195" t="s">
        <v>9</v>
      </c>
      <c r="I195">
        <v>4307.986</v>
      </c>
      <c r="J195">
        <v>27.319</v>
      </c>
      <c r="K195">
        <v>0.36</v>
      </c>
      <c r="M195" t="s">
        <v>8056</v>
      </c>
      <c r="N195">
        <v>367.022</v>
      </c>
      <c r="V195" t="s">
        <v>7846</v>
      </c>
      <c r="W195" t="s">
        <v>7839</v>
      </c>
      <c r="X195" t="s">
        <v>7840</v>
      </c>
      <c r="Y195">
        <v>4307.986</v>
      </c>
      <c r="Z195" t="s">
        <v>7970</v>
      </c>
      <c r="AA195">
        <v>27.319</v>
      </c>
      <c r="AB195">
        <v>0.36</v>
      </c>
      <c r="AC195" s="6" t="s">
        <v>8112</v>
      </c>
      <c r="AD195" s="7">
        <v>17.002</v>
      </c>
      <c r="AE195" s="7">
        <v>0.5</v>
      </c>
    </row>
    <row r="196" spans="1:31">
      <c r="A196" t="s">
        <v>884</v>
      </c>
      <c r="B196" t="s">
        <v>885</v>
      </c>
      <c r="C196" t="s">
        <v>886</v>
      </c>
      <c r="D196" t="s">
        <v>7847</v>
      </c>
      <c r="E196" t="s">
        <v>7839</v>
      </c>
      <c r="F196" t="s">
        <v>7840</v>
      </c>
      <c r="G196" t="s">
        <v>8034</v>
      </c>
      <c r="H196" t="s">
        <v>9</v>
      </c>
      <c r="I196">
        <v>1234.823</v>
      </c>
      <c r="J196">
        <v>20.903</v>
      </c>
      <c r="K196">
        <v>0</v>
      </c>
      <c r="M196" t="s">
        <v>7854</v>
      </c>
      <c r="N196">
        <v>232.648</v>
      </c>
      <c r="V196" t="s">
        <v>7847</v>
      </c>
      <c r="W196" t="s">
        <v>7839</v>
      </c>
      <c r="X196" t="s">
        <v>7840</v>
      </c>
      <c r="Y196">
        <v>1234.823</v>
      </c>
      <c r="Z196" t="s">
        <v>8034</v>
      </c>
      <c r="AA196">
        <v>20.903</v>
      </c>
      <c r="AB196">
        <v>0</v>
      </c>
      <c r="AC196" s="6" t="s">
        <v>8113</v>
      </c>
      <c r="AD196" s="7">
        <v>23.323</v>
      </c>
      <c r="AE196" s="7">
        <v>0.49</v>
      </c>
    </row>
    <row r="197" spans="1:31">
      <c r="A197" t="s">
        <v>4003</v>
      </c>
      <c r="B197" t="s">
        <v>4004</v>
      </c>
      <c r="C197" t="s">
        <v>4005</v>
      </c>
      <c r="D197" t="s">
        <v>7859</v>
      </c>
      <c r="E197" t="s">
        <v>7839</v>
      </c>
      <c r="F197" t="s">
        <v>7840</v>
      </c>
      <c r="G197" t="s">
        <v>7885</v>
      </c>
      <c r="H197" t="s">
        <v>9</v>
      </c>
      <c r="I197">
        <v>479.558</v>
      </c>
      <c r="J197">
        <v>13.78</v>
      </c>
      <c r="K197">
        <v>0.7</v>
      </c>
      <c r="M197" t="s">
        <v>7970</v>
      </c>
      <c r="N197">
        <v>154.808</v>
      </c>
      <c r="V197" t="s">
        <v>7859</v>
      </c>
      <c r="W197" t="s">
        <v>7839</v>
      </c>
      <c r="X197" t="s">
        <v>7840</v>
      </c>
      <c r="Y197">
        <v>479.558</v>
      </c>
      <c r="Z197" t="s">
        <v>7885</v>
      </c>
      <c r="AA197">
        <v>13.78</v>
      </c>
      <c r="AB197">
        <v>0.7</v>
      </c>
      <c r="AC197" s="6" t="s">
        <v>7858</v>
      </c>
      <c r="AD197" s="7">
        <v>18.4153684210526</v>
      </c>
      <c r="AE197" s="7">
        <v>0.315789473684211</v>
      </c>
    </row>
    <row r="198" spans="1:31">
      <c r="A198" t="s">
        <v>1165</v>
      </c>
      <c r="B198" t="s">
        <v>1166</v>
      </c>
      <c r="C198" t="s">
        <v>1167</v>
      </c>
      <c r="D198" t="s">
        <v>7844</v>
      </c>
      <c r="E198" t="s">
        <v>7839</v>
      </c>
      <c r="F198" t="s">
        <v>7853</v>
      </c>
      <c r="G198" t="s">
        <v>7885</v>
      </c>
      <c r="H198" t="s">
        <v>9</v>
      </c>
      <c r="I198">
        <v>2573.465</v>
      </c>
      <c r="J198">
        <v>11.365</v>
      </c>
      <c r="K198">
        <v>0.35</v>
      </c>
      <c r="M198" t="s">
        <v>7941</v>
      </c>
      <c r="N198">
        <v>231.999</v>
      </c>
      <c r="V198" t="s">
        <v>7844</v>
      </c>
      <c r="W198" t="s">
        <v>7839</v>
      </c>
      <c r="X198" t="s">
        <v>7853</v>
      </c>
      <c r="Y198">
        <v>2573.465</v>
      </c>
      <c r="Z198" t="s">
        <v>7885</v>
      </c>
      <c r="AA198">
        <v>11.365</v>
      </c>
      <c r="AB198">
        <v>0.35</v>
      </c>
      <c r="AC198" s="6" t="s">
        <v>8116</v>
      </c>
      <c r="AD198" s="7">
        <v>11.5732</v>
      </c>
      <c r="AE198" s="7">
        <v>0.034</v>
      </c>
    </row>
    <row r="199" spans="1:31">
      <c r="A199" t="s">
        <v>2209</v>
      </c>
      <c r="B199" t="s">
        <v>2210</v>
      </c>
      <c r="C199" t="s">
        <v>2211</v>
      </c>
      <c r="D199" t="s">
        <v>7850</v>
      </c>
      <c r="E199" t="s">
        <v>7839</v>
      </c>
      <c r="F199" t="s">
        <v>7840</v>
      </c>
      <c r="G199" t="s">
        <v>8034</v>
      </c>
      <c r="H199" t="s">
        <v>9</v>
      </c>
      <c r="I199">
        <v>699.381</v>
      </c>
      <c r="J199">
        <v>3.45</v>
      </c>
      <c r="K199">
        <v>0.07</v>
      </c>
      <c r="M199" t="s">
        <v>7939</v>
      </c>
      <c r="N199">
        <v>607.967</v>
      </c>
      <c r="V199" t="s">
        <v>7850</v>
      </c>
      <c r="W199" t="s">
        <v>7839</v>
      </c>
      <c r="X199" t="s">
        <v>7840</v>
      </c>
      <c r="Y199">
        <v>699.381</v>
      </c>
      <c r="Z199" t="s">
        <v>8034</v>
      </c>
      <c r="AA199">
        <v>3.45</v>
      </c>
      <c r="AB199">
        <v>0.07</v>
      </c>
      <c r="AC199" s="6" t="s">
        <v>8114</v>
      </c>
      <c r="AD199" s="7">
        <v>3.341</v>
      </c>
      <c r="AE199" s="7">
        <v>0.03</v>
      </c>
    </row>
    <row r="200" spans="1:31">
      <c r="A200" t="s">
        <v>2255</v>
      </c>
      <c r="B200" t="s">
        <v>2256</v>
      </c>
      <c r="C200" t="s">
        <v>2257</v>
      </c>
      <c r="D200" t="s">
        <v>7844</v>
      </c>
      <c r="E200" t="s">
        <v>7839</v>
      </c>
      <c r="F200" t="s">
        <v>7888</v>
      </c>
      <c r="G200" t="s">
        <v>8119</v>
      </c>
      <c r="H200" t="s">
        <v>9</v>
      </c>
      <c r="I200">
        <v>235.622</v>
      </c>
      <c r="J200">
        <v>2.446</v>
      </c>
      <c r="K200">
        <v>0.05</v>
      </c>
      <c r="M200" t="s">
        <v>7970</v>
      </c>
      <c r="N200">
        <v>4307.986</v>
      </c>
      <c r="V200" t="s">
        <v>7844</v>
      </c>
      <c r="W200" t="s">
        <v>7839</v>
      </c>
      <c r="X200" t="s">
        <v>7888</v>
      </c>
      <c r="Y200">
        <v>235.622</v>
      </c>
      <c r="Z200" t="s">
        <v>8119</v>
      </c>
      <c r="AA200">
        <v>2.446</v>
      </c>
      <c r="AB200">
        <v>0.05</v>
      </c>
      <c r="AC200" s="6" t="s">
        <v>8115</v>
      </c>
      <c r="AD200" s="7">
        <v>4.052</v>
      </c>
      <c r="AE200" s="7">
        <v>0.06</v>
      </c>
    </row>
    <row r="201" spans="1:31">
      <c r="A201" t="s">
        <v>327</v>
      </c>
      <c r="B201" t="s">
        <v>328</v>
      </c>
      <c r="C201" t="s">
        <v>329</v>
      </c>
      <c r="D201" t="s">
        <v>7856</v>
      </c>
      <c r="E201" t="s">
        <v>7848</v>
      </c>
      <c r="F201" t="s">
        <v>7840</v>
      </c>
      <c r="G201" t="s">
        <v>8002</v>
      </c>
      <c r="H201" t="s">
        <v>9</v>
      </c>
      <c r="I201">
        <v>116.994</v>
      </c>
      <c r="J201">
        <v>8.182</v>
      </c>
      <c r="K201">
        <v>0.45</v>
      </c>
      <c r="M201" t="s">
        <v>8034</v>
      </c>
      <c r="N201">
        <v>1234.823</v>
      </c>
      <c r="V201" t="s">
        <v>7856</v>
      </c>
      <c r="W201" t="s">
        <v>7848</v>
      </c>
      <c r="X201" t="s">
        <v>7840</v>
      </c>
      <c r="Y201">
        <v>116.994</v>
      </c>
      <c r="Z201" t="s">
        <v>8002</v>
      </c>
      <c r="AA201">
        <v>8.182</v>
      </c>
      <c r="AB201">
        <v>0.45</v>
      </c>
      <c r="AC201" s="6" t="s">
        <v>8097</v>
      </c>
      <c r="AD201" s="7">
        <v>12.831</v>
      </c>
      <c r="AE201" s="7">
        <v>0.02</v>
      </c>
    </row>
    <row r="202" spans="1:31">
      <c r="A202" t="s">
        <v>863</v>
      </c>
      <c r="B202" t="s">
        <v>864</v>
      </c>
      <c r="C202" t="s">
        <v>865</v>
      </c>
      <c r="D202" t="s">
        <v>7856</v>
      </c>
      <c r="E202" t="s">
        <v>7839</v>
      </c>
      <c r="F202" t="s">
        <v>7840</v>
      </c>
      <c r="G202" t="s">
        <v>7974</v>
      </c>
      <c r="H202" t="s">
        <v>9</v>
      </c>
      <c r="I202">
        <v>6430.217</v>
      </c>
      <c r="J202">
        <v>15.339</v>
      </c>
      <c r="K202">
        <v>0.84</v>
      </c>
      <c r="M202" t="s">
        <v>7885</v>
      </c>
      <c r="N202">
        <v>479.558</v>
      </c>
      <c r="V202" t="s">
        <v>7856</v>
      </c>
      <c r="W202" t="s">
        <v>7839</v>
      </c>
      <c r="X202" t="s">
        <v>7840</v>
      </c>
      <c r="Y202">
        <v>6430.217</v>
      </c>
      <c r="Z202" t="s">
        <v>7974</v>
      </c>
      <c r="AA202">
        <v>15.339</v>
      </c>
      <c r="AB202">
        <v>0.84</v>
      </c>
      <c r="AC202" s="6" t="s">
        <v>8117</v>
      </c>
      <c r="AD202" s="7">
        <v>40.5285</v>
      </c>
      <c r="AE202" s="7">
        <v>0.035</v>
      </c>
    </row>
    <row r="203" spans="1:31">
      <c r="A203" t="s">
        <v>1189</v>
      </c>
      <c r="B203" t="s">
        <v>1190</v>
      </c>
      <c r="C203" t="s">
        <v>1191</v>
      </c>
      <c r="D203" t="s">
        <v>7864</v>
      </c>
      <c r="E203" t="s">
        <v>7839</v>
      </c>
      <c r="F203" t="s">
        <v>7840</v>
      </c>
      <c r="G203" t="s">
        <v>8101</v>
      </c>
      <c r="H203" t="s">
        <v>9</v>
      </c>
      <c r="I203">
        <v>37.108</v>
      </c>
      <c r="J203">
        <v>21.673</v>
      </c>
      <c r="K203">
        <v>0.63</v>
      </c>
      <c r="M203" t="s">
        <v>7885</v>
      </c>
      <c r="N203">
        <v>2573.465</v>
      </c>
      <c r="V203" t="s">
        <v>7864</v>
      </c>
      <c r="W203" t="s">
        <v>7839</v>
      </c>
      <c r="X203" t="s">
        <v>7840</v>
      </c>
      <c r="Y203">
        <v>37.108</v>
      </c>
      <c r="Z203" t="s">
        <v>8101</v>
      </c>
      <c r="AA203">
        <v>21.673</v>
      </c>
      <c r="AB203">
        <v>0.63</v>
      </c>
      <c r="AC203" s="6" t="s">
        <v>8118</v>
      </c>
      <c r="AD203" s="7">
        <v>24.027625</v>
      </c>
      <c r="AE203" s="7">
        <v>0.05375</v>
      </c>
    </row>
    <row r="204" spans="1:31">
      <c r="A204" t="s">
        <v>1240</v>
      </c>
      <c r="B204" t="s">
        <v>1241</v>
      </c>
      <c r="C204" t="s">
        <v>1242</v>
      </c>
      <c r="D204" t="s">
        <v>7844</v>
      </c>
      <c r="E204" t="s">
        <v>7839</v>
      </c>
      <c r="F204" t="s">
        <v>7853</v>
      </c>
      <c r="G204" t="s">
        <v>7854</v>
      </c>
      <c r="H204" t="s">
        <v>9</v>
      </c>
      <c r="I204">
        <v>384.027</v>
      </c>
      <c r="J204">
        <v>4.274</v>
      </c>
      <c r="K204">
        <v>0.18</v>
      </c>
      <c r="M204" t="s">
        <v>8034</v>
      </c>
      <c r="N204">
        <v>699.381</v>
      </c>
      <c r="V204" t="s">
        <v>7844</v>
      </c>
      <c r="W204" t="s">
        <v>7839</v>
      </c>
      <c r="X204" t="s">
        <v>7853</v>
      </c>
      <c r="Y204">
        <v>384.027</v>
      </c>
      <c r="Z204" t="s">
        <v>7854</v>
      </c>
      <c r="AA204">
        <v>4.274</v>
      </c>
      <c r="AB204">
        <v>0.18</v>
      </c>
      <c r="AC204" s="6" t="s">
        <v>8026</v>
      </c>
      <c r="AD204" s="7">
        <v>2.9768</v>
      </c>
      <c r="AE204" s="7">
        <v>0.06</v>
      </c>
    </row>
    <row r="205" spans="1:31">
      <c r="A205" t="s">
        <v>3591</v>
      </c>
      <c r="B205" t="s">
        <v>3592</v>
      </c>
      <c r="C205" t="s">
        <v>3593</v>
      </c>
      <c r="D205" t="s">
        <v>7862</v>
      </c>
      <c r="E205" t="s">
        <v>7839</v>
      </c>
      <c r="F205" t="s">
        <v>7888</v>
      </c>
      <c r="G205" t="s">
        <v>7854</v>
      </c>
      <c r="H205" t="s">
        <v>9</v>
      </c>
      <c r="I205">
        <v>7.445</v>
      </c>
      <c r="J205">
        <v>99.99</v>
      </c>
      <c r="K205">
        <v>0.07</v>
      </c>
      <c r="M205" t="s">
        <v>8119</v>
      </c>
      <c r="N205">
        <v>235.622</v>
      </c>
      <c r="V205" t="s">
        <v>7862</v>
      </c>
      <c r="W205" t="s">
        <v>7839</v>
      </c>
      <c r="X205" t="s">
        <v>7888</v>
      </c>
      <c r="Y205">
        <v>7.445</v>
      </c>
      <c r="Z205" t="s">
        <v>7854</v>
      </c>
      <c r="AA205">
        <v>99.99</v>
      </c>
      <c r="AB205">
        <v>0.07</v>
      </c>
      <c r="AC205" s="6" t="s">
        <v>8119</v>
      </c>
      <c r="AD205" s="7">
        <v>2.446</v>
      </c>
      <c r="AE205" s="7">
        <v>0.05</v>
      </c>
    </row>
    <row r="206" spans="1:31">
      <c r="A206" t="s">
        <v>2267</v>
      </c>
      <c r="B206" t="s">
        <v>2268</v>
      </c>
      <c r="C206" t="s">
        <v>2269</v>
      </c>
      <c r="D206" t="s">
        <v>7859</v>
      </c>
      <c r="E206" t="s">
        <v>7839</v>
      </c>
      <c r="F206" t="s">
        <v>7840</v>
      </c>
      <c r="G206" t="s">
        <v>7993</v>
      </c>
      <c r="H206" t="s">
        <v>9</v>
      </c>
      <c r="I206">
        <v>9.797</v>
      </c>
      <c r="J206">
        <v>28.099</v>
      </c>
      <c r="K206">
        <v>0.59</v>
      </c>
      <c r="M206" t="s">
        <v>8002</v>
      </c>
      <c r="N206">
        <v>116.994</v>
      </c>
      <c r="V206" t="s">
        <v>7859</v>
      </c>
      <c r="W206" t="s">
        <v>7839</v>
      </c>
      <c r="X206" t="s">
        <v>7840</v>
      </c>
      <c r="Y206">
        <v>9.797</v>
      </c>
      <c r="Z206" t="s">
        <v>7993</v>
      </c>
      <c r="AA206">
        <v>28.099</v>
      </c>
      <c r="AB206">
        <v>0.59</v>
      </c>
      <c r="AC206" s="6" t="s">
        <v>8120</v>
      </c>
      <c r="AD206" s="7">
        <v>6.04</v>
      </c>
      <c r="AE206" s="7">
        <v>0.03</v>
      </c>
    </row>
    <row r="207" spans="1:31">
      <c r="A207" t="s">
        <v>1516</v>
      </c>
      <c r="B207" t="s">
        <v>1517</v>
      </c>
      <c r="C207" t="s">
        <v>1518</v>
      </c>
      <c r="D207" t="s">
        <v>7850</v>
      </c>
      <c r="E207" t="s">
        <v>7839</v>
      </c>
      <c r="F207" t="s">
        <v>7840</v>
      </c>
      <c r="G207" t="s">
        <v>7854</v>
      </c>
      <c r="H207" t="s">
        <v>9</v>
      </c>
      <c r="I207">
        <v>1713.962</v>
      </c>
      <c r="J207">
        <v>7.652</v>
      </c>
      <c r="K207">
        <v>0.35</v>
      </c>
      <c r="M207" t="s">
        <v>7974</v>
      </c>
      <c r="N207">
        <v>6430.217</v>
      </c>
      <c r="V207" t="s">
        <v>7850</v>
      </c>
      <c r="W207" t="s">
        <v>7839</v>
      </c>
      <c r="X207" t="s">
        <v>7840</v>
      </c>
      <c r="Y207">
        <v>1713.962</v>
      </c>
      <c r="Z207" t="s">
        <v>7854</v>
      </c>
      <c r="AA207">
        <v>7.652</v>
      </c>
      <c r="AB207">
        <v>0.35</v>
      </c>
      <c r="AC207" s="6" t="s">
        <v>8053</v>
      </c>
      <c r="AD207" s="7">
        <v>18.8831111111111</v>
      </c>
      <c r="AE207" s="7">
        <v>0.0166666666666667</v>
      </c>
    </row>
    <row r="208" spans="1:31">
      <c r="A208" t="s">
        <v>2119</v>
      </c>
      <c r="B208" t="s">
        <v>2120</v>
      </c>
      <c r="C208" t="s">
        <v>2121</v>
      </c>
      <c r="D208" t="s">
        <v>7844</v>
      </c>
      <c r="E208" t="s">
        <v>7839</v>
      </c>
      <c r="F208" t="s">
        <v>7840</v>
      </c>
      <c r="G208" t="s">
        <v>8034</v>
      </c>
      <c r="H208" t="s">
        <v>9</v>
      </c>
      <c r="I208">
        <v>6649.831</v>
      </c>
      <c r="J208">
        <v>15.587</v>
      </c>
      <c r="K208">
        <v>0.18</v>
      </c>
      <c r="M208" t="s">
        <v>8101</v>
      </c>
      <c r="N208">
        <v>37.108</v>
      </c>
      <c r="V208" t="s">
        <v>7844</v>
      </c>
      <c r="W208" t="s">
        <v>7839</v>
      </c>
      <c r="X208" t="s">
        <v>7840</v>
      </c>
      <c r="Y208">
        <v>6649.831</v>
      </c>
      <c r="Z208" t="s">
        <v>8034</v>
      </c>
      <c r="AA208">
        <v>15.587</v>
      </c>
      <c r="AB208">
        <v>0.18</v>
      </c>
      <c r="AC208" s="6" t="s">
        <v>8121</v>
      </c>
      <c r="AD208" s="7">
        <v>2.678</v>
      </c>
      <c r="AE208" s="7">
        <v>0.05</v>
      </c>
    </row>
    <row r="209" spans="1:31">
      <c r="A209" t="s">
        <v>2049</v>
      </c>
      <c r="B209" t="s">
        <v>2050</v>
      </c>
      <c r="C209" t="s">
        <v>2051</v>
      </c>
      <c r="D209" t="s">
        <v>7850</v>
      </c>
      <c r="E209" t="s">
        <v>7839</v>
      </c>
      <c r="F209" t="s">
        <v>7840</v>
      </c>
      <c r="G209" t="s">
        <v>7943</v>
      </c>
      <c r="H209" t="s">
        <v>9</v>
      </c>
      <c r="I209">
        <v>379.177</v>
      </c>
      <c r="J209">
        <v>9.79</v>
      </c>
      <c r="K209">
        <v>0.5</v>
      </c>
      <c r="M209" t="s">
        <v>7854</v>
      </c>
      <c r="N209">
        <v>384.027</v>
      </c>
      <c r="V209" t="s">
        <v>7850</v>
      </c>
      <c r="W209" t="s">
        <v>7839</v>
      </c>
      <c r="X209" t="s">
        <v>7840</v>
      </c>
      <c r="Y209">
        <v>379.177</v>
      </c>
      <c r="Z209" t="s">
        <v>7943</v>
      </c>
      <c r="AA209">
        <v>9.79</v>
      </c>
      <c r="AB209">
        <v>0.5</v>
      </c>
      <c r="AC209" s="6" t="s">
        <v>8122</v>
      </c>
      <c r="AD209" s="7">
        <v>6.419</v>
      </c>
      <c r="AE209" s="7">
        <v>0.14</v>
      </c>
    </row>
    <row r="210" spans="1:31">
      <c r="A210" t="s">
        <v>2891</v>
      </c>
      <c r="B210" t="s">
        <v>2892</v>
      </c>
      <c r="C210" t="s">
        <v>2893</v>
      </c>
      <c r="D210" t="s">
        <v>7844</v>
      </c>
      <c r="E210" t="s">
        <v>7839</v>
      </c>
      <c r="F210" t="s">
        <v>7840</v>
      </c>
      <c r="G210" t="s">
        <v>8083</v>
      </c>
      <c r="H210" t="s">
        <v>9</v>
      </c>
      <c r="I210">
        <v>106.485</v>
      </c>
      <c r="J210">
        <v>21.977</v>
      </c>
      <c r="K210">
        <v>0.39</v>
      </c>
      <c r="M210" t="s">
        <v>7854</v>
      </c>
      <c r="N210">
        <v>7.445</v>
      </c>
      <c r="V210" t="s">
        <v>7844</v>
      </c>
      <c r="W210" t="s">
        <v>7839</v>
      </c>
      <c r="X210" t="s">
        <v>7840</v>
      </c>
      <c r="Y210">
        <v>106.485</v>
      </c>
      <c r="Z210" t="s">
        <v>8083</v>
      </c>
      <c r="AA210">
        <v>21.977</v>
      </c>
      <c r="AB210">
        <v>0.39</v>
      </c>
      <c r="AC210" s="6" t="s">
        <v>7967</v>
      </c>
      <c r="AD210" s="7">
        <v>9.2885</v>
      </c>
      <c r="AE210" s="7">
        <v>0.07</v>
      </c>
    </row>
    <row r="211" spans="1:31">
      <c r="A211" t="s">
        <v>2170</v>
      </c>
      <c r="B211" t="s">
        <v>2171</v>
      </c>
      <c r="C211" t="s">
        <v>2172</v>
      </c>
      <c r="D211" t="s">
        <v>7850</v>
      </c>
      <c r="E211" t="s">
        <v>7839</v>
      </c>
      <c r="F211" t="s">
        <v>7840</v>
      </c>
      <c r="G211" t="s">
        <v>7852</v>
      </c>
      <c r="H211" t="s">
        <v>9</v>
      </c>
      <c r="I211">
        <v>7714.391</v>
      </c>
      <c r="J211">
        <v>4.212</v>
      </c>
      <c r="K211">
        <v>0.4</v>
      </c>
      <c r="M211" t="s">
        <v>7993</v>
      </c>
      <c r="N211">
        <v>9.797</v>
      </c>
      <c r="V211" t="s">
        <v>7850</v>
      </c>
      <c r="W211" t="s">
        <v>7839</v>
      </c>
      <c r="X211" t="s">
        <v>7840</v>
      </c>
      <c r="Y211">
        <v>7714.391</v>
      </c>
      <c r="Z211" t="s">
        <v>7852</v>
      </c>
      <c r="AA211">
        <v>4.212</v>
      </c>
      <c r="AB211">
        <v>0.4</v>
      </c>
      <c r="AC211" s="6" t="s">
        <v>8123</v>
      </c>
      <c r="AD211" s="7">
        <v>21.108</v>
      </c>
      <c r="AE211" s="7">
        <v>0.358333333333333</v>
      </c>
    </row>
    <row r="212" spans="1:31">
      <c r="A212" t="s">
        <v>2952</v>
      </c>
      <c r="B212" t="s">
        <v>2953</v>
      </c>
      <c r="C212" t="s">
        <v>2954</v>
      </c>
      <c r="D212" t="s">
        <v>7844</v>
      </c>
      <c r="E212" t="s">
        <v>7839</v>
      </c>
      <c r="F212" t="s">
        <v>7840</v>
      </c>
      <c r="G212" t="s">
        <v>7969</v>
      </c>
      <c r="H212" t="s">
        <v>9</v>
      </c>
      <c r="I212">
        <v>47.152</v>
      </c>
      <c r="J212">
        <v>21.467</v>
      </c>
      <c r="K212">
        <v>0.39</v>
      </c>
      <c r="M212" t="s">
        <v>7854</v>
      </c>
      <c r="N212">
        <v>1713.962</v>
      </c>
      <c r="V212" t="s">
        <v>7844</v>
      </c>
      <c r="W212" t="s">
        <v>7839</v>
      </c>
      <c r="X212" t="s">
        <v>7840</v>
      </c>
      <c r="Y212">
        <v>47.152</v>
      </c>
      <c r="Z212" t="s">
        <v>7969</v>
      </c>
      <c r="AA212">
        <v>21.467</v>
      </c>
      <c r="AB212">
        <v>0.39</v>
      </c>
      <c r="AC212" s="6" t="s">
        <v>7913</v>
      </c>
      <c r="AD212" s="7">
        <v>21.0427142857143</v>
      </c>
      <c r="AE212" s="7">
        <v>0.448571428571429</v>
      </c>
    </row>
    <row r="213" spans="1:31">
      <c r="A213" t="s">
        <v>2473</v>
      </c>
      <c r="B213" t="s">
        <v>2474</v>
      </c>
      <c r="C213" t="s">
        <v>2475</v>
      </c>
      <c r="D213" t="s">
        <v>7844</v>
      </c>
      <c r="E213" t="s">
        <v>7839</v>
      </c>
      <c r="F213" t="s">
        <v>7840</v>
      </c>
      <c r="G213" t="s">
        <v>7852</v>
      </c>
      <c r="H213" t="s">
        <v>9</v>
      </c>
      <c r="I213">
        <v>3047.292</v>
      </c>
      <c r="J213">
        <v>2.788</v>
      </c>
      <c r="K213">
        <v>0.23</v>
      </c>
      <c r="M213" t="s">
        <v>8034</v>
      </c>
      <c r="N213">
        <v>6649.831</v>
      </c>
      <c r="V213" t="s">
        <v>7844</v>
      </c>
      <c r="W213" t="s">
        <v>7839</v>
      </c>
      <c r="X213" t="s">
        <v>7840</v>
      </c>
      <c r="Y213">
        <v>3047.292</v>
      </c>
      <c r="Z213" t="s">
        <v>7852</v>
      </c>
      <c r="AA213">
        <v>2.788</v>
      </c>
      <c r="AB213">
        <v>0.23</v>
      </c>
      <c r="AC213" s="6" t="s">
        <v>8124</v>
      </c>
      <c r="AD213" s="7">
        <v>83.588</v>
      </c>
      <c r="AE213" s="7">
        <v>0.15</v>
      </c>
    </row>
    <row r="214" spans="1:31">
      <c r="A214" t="s">
        <v>1325</v>
      </c>
      <c r="B214" t="s">
        <v>1326</v>
      </c>
      <c r="C214" t="s">
        <v>1327</v>
      </c>
      <c r="D214" t="s">
        <v>7850</v>
      </c>
      <c r="E214" t="s">
        <v>7839</v>
      </c>
      <c r="F214" t="s">
        <v>7840</v>
      </c>
      <c r="G214" t="s">
        <v>8056</v>
      </c>
      <c r="H214" t="s">
        <v>9</v>
      </c>
      <c r="I214">
        <v>95.133</v>
      </c>
      <c r="J214">
        <v>7.918</v>
      </c>
      <c r="K214">
        <v>0.4</v>
      </c>
      <c r="M214" t="s">
        <v>7943</v>
      </c>
      <c r="N214">
        <v>379.177</v>
      </c>
      <c r="V214" t="s">
        <v>7850</v>
      </c>
      <c r="W214" t="s">
        <v>7839</v>
      </c>
      <c r="X214" t="s">
        <v>7840</v>
      </c>
      <c r="Y214">
        <v>95.133</v>
      </c>
      <c r="Z214" t="s">
        <v>8056</v>
      </c>
      <c r="AA214">
        <v>7.918</v>
      </c>
      <c r="AB214">
        <v>0.4</v>
      </c>
      <c r="AC214" s="6" t="s">
        <v>7861</v>
      </c>
      <c r="AD214" s="7">
        <v>36.3961875</v>
      </c>
      <c r="AE214" s="7">
        <v>0.32</v>
      </c>
    </row>
    <row r="215" spans="1:31">
      <c r="A215" t="s">
        <v>1272</v>
      </c>
      <c r="B215" t="s">
        <v>1273</v>
      </c>
      <c r="C215" t="s">
        <v>1274</v>
      </c>
      <c r="D215" t="s">
        <v>7844</v>
      </c>
      <c r="E215" t="s">
        <v>7839</v>
      </c>
      <c r="F215" t="s">
        <v>7840</v>
      </c>
      <c r="G215" t="s">
        <v>7970</v>
      </c>
      <c r="H215" t="s">
        <v>9</v>
      </c>
      <c r="I215">
        <v>172.376</v>
      </c>
      <c r="J215">
        <v>8.144</v>
      </c>
      <c r="K215">
        <v>0.05</v>
      </c>
      <c r="M215" t="s">
        <v>8083</v>
      </c>
      <c r="N215">
        <v>106.485</v>
      </c>
      <c r="V215" t="s">
        <v>7844</v>
      </c>
      <c r="W215" t="s">
        <v>7839</v>
      </c>
      <c r="X215" t="s">
        <v>7840</v>
      </c>
      <c r="Y215">
        <v>172.376</v>
      </c>
      <c r="Z215" t="s">
        <v>7970</v>
      </c>
      <c r="AA215">
        <v>8.144</v>
      </c>
      <c r="AB215">
        <v>0.05</v>
      </c>
      <c r="AC215" s="6" t="s">
        <v>7916</v>
      </c>
      <c r="AD215" s="7">
        <v>88.477</v>
      </c>
      <c r="AE215" s="7">
        <v>0.65</v>
      </c>
    </row>
    <row r="216" spans="1:31">
      <c r="A216" t="s">
        <v>2104</v>
      </c>
      <c r="B216" t="s">
        <v>2105</v>
      </c>
      <c r="C216" t="s">
        <v>2106</v>
      </c>
      <c r="D216" t="s">
        <v>7844</v>
      </c>
      <c r="E216" t="s">
        <v>7839</v>
      </c>
      <c r="F216" t="s">
        <v>7840</v>
      </c>
      <c r="G216" t="s">
        <v>8034</v>
      </c>
      <c r="H216" t="s">
        <v>9</v>
      </c>
      <c r="I216">
        <v>244.429</v>
      </c>
      <c r="J216">
        <v>23.67</v>
      </c>
      <c r="K216">
        <v>0.35</v>
      </c>
      <c r="M216" t="s">
        <v>7852</v>
      </c>
      <c r="N216">
        <v>7714.391</v>
      </c>
      <c r="V216" t="s">
        <v>7844</v>
      </c>
      <c r="W216" t="s">
        <v>7839</v>
      </c>
      <c r="X216" t="s">
        <v>7840</v>
      </c>
      <c r="Y216">
        <v>244.429</v>
      </c>
      <c r="Z216" t="s">
        <v>8034</v>
      </c>
      <c r="AA216">
        <v>23.67</v>
      </c>
      <c r="AB216">
        <v>0.35</v>
      </c>
      <c r="AC216" s="6" t="s">
        <v>8125</v>
      </c>
      <c r="AD216" s="7">
        <v>18.936</v>
      </c>
      <c r="AE216" s="7">
        <v>0.39</v>
      </c>
    </row>
    <row r="217" spans="1:31">
      <c r="A217" t="s">
        <v>3062</v>
      </c>
      <c r="B217" t="s">
        <v>3063</v>
      </c>
      <c r="C217" t="s">
        <v>3064</v>
      </c>
      <c r="D217" t="s">
        <v>7862</v>
      </c>
      <c r="E217" t="s">
        <v>7839</v>
      </c>
      <c r="F217" t="s">
        <v>7888</v>
      </c>
      <c r="G217" t="s">
        <v>7854</v>
      </c>
      <c r="H217" t="s">
        <v>9</v>
      </c>
      <c r="I217">
        <v>4.88</v>
      </c>
      <c r="J217">
        <v>99.989</v>
      </c>
      <c r="K217">
        <v>0.07</v>
      </c>
      <c r="M217" t="s">
        <v>7969</v>
      </c>
      <c r="N217">
        <v>47.152</v>
      </c>
      <c r="V217" t="s">
        <v>7862</v>
      </c>
      <c r="W217" t="s">
        <v>7839</v>
      </c>
      <c r="X217" t="s">
        <v>7888</v>
      </c>
      <c r="Y217">
        <v>4.88</v>
      </c>
      <c r="Z217" t="s">
        <v>7854</v>
      </c>
      <c r="AA217">
        <v>99.989</v>
      </c>
      <c r="AB217">
        <v>0.07</v>
      </c>
      <c r="AC217" s="6" t="s">
        <v>162</v>
      </c>
      <c r="AD217" s="7">
        <v>33.7269837837838</v>
      </c>
      <c r="AE217" s="7">
        <v>0.318724392819429</v>
      </c>
    </row>
    <row r="218" spans="1:31">
      <c r="A218" t="s">
        <v>2361</v>
      </c>
      <c r="B218" t="s">
        <v>2362</v>
      </c>
      <c r="C218" t="s">
        <v>2363</v>
      </c>
      <c r="D218" t="s">
        <v>7846</v>
      </c>
      <c r="E218" t="s">
        <v>7839</v>
      </c>
      <c r="F218" t="s">
        <v>7840</v>
      </c>
      <c r="G218" t="s">
        <v>7956</v>
      </c>
      <c r="H218" t="s">
        <v>9</v>
      </c>
      <c r="I218">
        <v>193.417</v>
      </c>
      <c r="J218">
        <v>6.773</v>
      </c>
      <c r="K218">
        <v>0.34</v>
      </c>
      <c r="M218" t="s">
        <v>7852</v>
      </c>
      <c r="N218">
        <v>3047.292</v>
      </c>
      <c r="V218" t="s">
        <v>7846</v>
      </c>
      <c r="W218" t="s">
        <v>7839</v>
      </c>
      <c r="X218" t="s">
        <v>7840</v>
      </c>
      <c r="Y218">
        <v>193.417</v>
      </c>
      <c r="Z218" t="s">
        <v>7956</v>
      </c>
      <c r="AA218">
        <v>6.773</v>
      </c>
      <c r="AB218">
        <v>0.34</v>
      </c>
    </row>
    <row r="219" spans="1:31">
      <c r="A219" t="s">
        <v>2596</v>
      </c>
      <c r="B219" t="s">
        <v>2597</v>
      </c>
      <c r="C219" t="s">
        <v>2598</v>
      </c>
      <c r="D219" t="s">
        <v>7846</v>
      </c>
      <c r="E219" t="s">
        <v>7839</v>
      </c>
      <c r="F219" t="s">
        <v>7840</v>
      </c>
      <c r="G219" t="s">
        <v>7944</v>
      </c>
      <c r="H219" t="s">
        <v>9</v>
      </c>
      <c r="I219">
        <v>676.453</v>
      </c>
      <c r="J219">
        <v>27.4</v>
      </c>
      <c r="K219">
        <v>0.39</v>
      </c>
      <c r="M219" t="s">
        <v>8056</v>
      </c>
      <c r="N219">
        <v>95.133</v>
      </c>
      <c r="V219" t="s">
        <v>7846</v>
      </c>
      <c r="W219" t="s">
        <v>7839</v>
      </c>
      <c r="X219" t="s">
        <v>7840</v>
      </c>
      <c r="Y219">
        <v>676.453</v>
      </c>
      <c r="Z219" t="s">
        <v>7944</v>
      </c>
      <c r="AA219">
        <v>27.4</v>
      </c>
      <c r="AB219">
        <v>0.39</v>
      </c>
    </row>
    <row r="220" spans="1:31">
      <c r="A220" t="s">
        <v>1316</v>
      </c>
      <c r="B220" t="s">
        <v>1317</v>
      </c>
      <c r="C220" t="s">
        <v>1318</v>
      </c>
      <c r="D220" t="s">
        <v>7847</v>
      </c>
      <c r="E220" t="s">
        <v>7848</v>
      </c>
      <c r="F220" t="s">
        <v>7840</v>
      </c>
      <c r="G220" t="s">
        <v>7923</v>
      </c>
      <c r="H220" t="s">
        <v>9</v>
      </c>
      <c r="I220">
        <v>157.118</v>
      </c>
      <c r="J220">
        <v>27.543</v>
      </c>
      <c r="K220">
        <v>0.45</v>
      </c>
      <c r="M220" t="s">
        <v>7970</v>
      </c>
      <c r="N220">
        <v>172.376</v>
      </c>
      <c r="V220" t="s">
        <v>7847</v>
      </c>
      <c r="W220" t="s">
        <v>7848</v>
      </c>
      <c r="X220" t="s">
        <v>7840</v>
      </c>
      <c r="Y220">
        <v>157.118</v>
      </c>
      <c r="Z220" t="s">
        <v>7923</v>
      </c>
      <c r="AA220">
        <v>27.543</v>
      </c>
      <c r="AB220">
        <v>0.45</v>
      </c>
    </row>
    <row r="221" spans="1:31">
      <c r="A221" t="s">
        <v>2751</v>
      </c>
      <c r="B221" t="s">
        <v>2752</v>
      </c>
      <c r="C221" t="s">
        <v>2753</v>
      </c>
      <c r="D221" t="s">
        <v>7850</v>
      </c>
      <c r="E221" t="s">
        <v>7839</v>
      </c>
      <c r="F221" t="s">
        <v>7840</v>
      </c>
      <c r="G221" t="s">
        <v>7849</v>
      </c>
      <c r="H221" t="s">
        <v>9</v>
      </c>
      <c r="I221">
        <v>22.999</v>
      </c>
      <c r="J221">
        <v>44.199</v>
      </c>
      <c r="K221">
        <v>0.5</v>
      </c>
      <c r="M221" t="s">
        <v>8034</v>
      </c>
      <c r="N221">
        <v>244.429</v>
      </c>
      <c r="V221" t="s">
        <v>7850</v>
      </c>
      <c r="W221" t="s">
        <v>7839</v>
      </c>
      <c r="X221" t="s">
        <v>7840</v>
      </c>
      <c r="Y221">
        <v>22.999</v>
      </c>
      <c r="Z221" t="s">
        <v>7849</v>
      </c>
      <c r="AA221">
        <v>44.199</v>
      </c>
      <c r="AB221">
        <v>0.5</v>
      </c>
    </row>
    <row r="222" spans="1:31">
      <c r="A222" t="s">
        <v>653</v>
      </c>
      <c r="B222" t="s">
        <v>654</v>
      </c>
      <c r="C222" t="s">
        <v>655</v>
      </c>
      <c r="D222" t="s">
        <v>7850</v>
      </c>
      <c r="E222" t="s">
        <v>7839</v>
      </c>
      <c r="F222" t="s">
        <v>7840</v>
      </c>
      <c r="G222" t="s">
        <v>7993</v>
      </c>
      <c r="H222" t="s">
        <v>9</v>
      </c>
      <c r="I222">
        <v>21.833</v>
      </c>
      <c r="J222">
        <v>19.001</v>
      </c>
      <c r="K222">
        <v>0.63</v>
      </c>
      <c r="M222" t="s">
        <v>7854</v>
      </c>
      <c r="N222">
        <v>4.88</v>
      </c>
      <c r="V222" t="s">
        <v>7850</v>
      </c>
      <c r="W222" t="s">
        <v>7839</v>
      </c>
      <c r="X222" t="s">
        <v>7840</v>
      </c>
      <c r="Y222">
        <v>21.833</v>
      </c>
      <c r="Z222" t="s">
        <v>7993</v>
      </c>
      <c r="AA222">
        <v>19.001</v>
      </c>
      <c r="AB222">
        <v>0.63</v>
      </c>
    </row>
    <row r="223" spans="1:31">
      <c r="A223" t="s">
        <v>2022</v>
      </c>
      <c r="B223" t="s">
        <v>2023</v>
      </c>
      <c r="C223" t="s">
        <v>2024</v>
      </c>
      <c r="D223" t="s">
        <v>7846</v>
      </c>
      <c r="E223" t="s">
        <v>7839</v>
      </c>
      <c r="F223" t="s">
        <v>7840</v>
      </c>
      <c r="G223" t="s">
        <v>7854</v>
      </c>
      <c r="H223" t="s">
        <v>9</v>
      </c>
      <c r="I223">
        <v>404.306</v>
      </c>
      <c r="J223">
        <v>20.543</v>
      </c>
      <c r="K223">
        <v>0.1</v>
      </c>
      <c r="M223" t="s">
        <v>7956</v>
      </c>
      <c r="N223">
        <v>193.417</v>
      </c>
      <c r="V223" t="s">
        <v>7846</v>
      </c>
      <c r="W223" t="s">
        <v>7839</v>
      </c>
      <c r="X223" t="s">
        <v>7840</v>
      </c>
      <c r="Y223">
        <v>404.306</v>
      </c>
      <c r="Z223" t="s">
        <v>7854</v>
      </c>
      <c r="AA223">
        <v>20.543</v>
      </c>
      <c r="AB223">
        <v>0.1</v>
      </c>
    </row>
    <row r="224" spans="1:31">
      <c r="A224" t="s">
        <v>1168</v>
      </c>
      <c r="B224" t="s">
        <v>1169</v>
      </c>
      <c r="C224" t="s">
        <v>1170</v>
      </c>
      <c r="D224" t="s">
        <v>7850</v>
      </c>
      <c r="E224" t="s">
        <v>7839</v>
      </c>
      <c r="F224" t="s">
        <v>7840</v>
      </c>
      <c r="G224" t="s">
        <v>7988</v>
      </c>
      <c r="H224" t="s">
        <v>9</v>
      </c>
      <c r="I224">
        <v>709.898</v>
      </c>
      <c r="J224">
        <v>8.997</v>
      </c>
      <c r="K224">
        <v>0.4</v>
      </c>
      <c r="M224" t="s">
        <v>7944</v>
      </c>
      <c r="N224">
        <v>676.453</v>
      </c>
      <c r="V224" t="s">
        <v>7850</v>
      </c>
      <c r="W224" t="s">
        <v>7839</v>
      </c>
      <c r="X224" t="s">
        <v>7840</v>
      </c>
      <c r="Y224">
        <v>709.898</v>
      </c>
      <c r="Z224" t="s">
        <v>7988</v>
      </c>
      <c r="AA224">
        <v>8.997</v>
      </c>
      <c r="AB224">
        <v>0.4</v>
      </c>
    </row>
    <row r="225" spans="1:28">
      <c r="A225" t="s">
        <v>594</v>
      </c>
      <c r="B225" t="s">
        <v>595</v>
      </c>
      <c r="C225" t="s">
        <v>596</v>
      </c>
      <c r="D225" t="s">
        <v>7847</v>
      </c>
      <c r="E225" t="s">
        <v>7839</v>
      </c>
      <c r="F225" t="s">
        <v>7840</v>
      </c>
      <c r="G225" t="s">
        <v>8024</v>
      </c>
      <c r="H225" t="s">
        <v>9</v>
      </c>
      <c r="I225">
        <v>35.809</v>
      </c>
      <c r="J225">
        <v>12.924</v>
      </c>
      <c r="K225">
        <v>0.5</v>
      </c>
      <c r="M225" t="s">
        <v>7923</v>
      </c>
      <c r="N225">
        <v>157.118</v>
      </c>
      <c r="V225" t="s">
        <v>7847</v>
      </c>
      <c r="W225" t="s">
        <v>7839</v>
      </c>
      <c r="X225" t="s">
        <v>7840</v>
      </c>
      <c r="Y225">
        <v>35.809</v>
      </c>
      <c r="Z225" t="s">
        <v>8024</v>
      </c>
      <c r="AA225">
        <v>12.924</v>
      </c>
      <c r="AB225">
        <v>0.5</v>
      </c>
    </row>
    <row r="226" spans="1:28">
      <c r="A226" t="s">
        <v>1685</v>
      </c>
      <c r="B226" t="s">
        <v>414</v>
      </c>
      <c r="C226" t="s">
        <v>1686</v>
      </c>
      <c r="D226" t="s">
        <v>7850</v>
      </c>
      <c r="E226" t="s">
        <v>7839</v>
      </c>
      <c r="F226" t="s">
        <v>7840</v>
      </c>
      <c r="G226" t="s">
        <v>7914</v>
      </c>
      <c r="H226" t="s">
        <v>9</v>
      </c>
      <c r="I226">
        <v>22.118</v>
      </c>
      <c r="J226">
        <v>12.866</v>
      </c>
      <c r="K226">
        <v>0.35</v>
      </c>
      <c r="M226" t="s">
        <v>7849</v>
      </c>
      <c r="N226">
        <v>22.999</v>
      </c>
      <c r="V226" t="s">
        <v>7850</v>
      </c>
      <c r="W226" t="s">
        <v>7839</v>
      </c>
      <c r="X226" t="s">
        <v>7840</v>
      </c>
      <c r="Y226">
        <v>22.118</v>
      </c>
      <c r="Z226" t="s">
        <v>7914</v>
      </c>
      <c r="AA226">
        <v>12.866</v>
      </c>
      <c r="AB226">
        <v>0.35</v>
      </c>
    </row>
    <row r="227" spans="1:28">
      <c r="A227" t="s">
        <v>1441</v>
      </c>
      <c r="B227" t="s">
        <v>1442</v>
      </c>
      <c r="C227" t="s">
        <v>1443</v>
      </c>
      <c r="D227" t="s">
        <v>7850</v>
      </c>
      <c r="E227" t="s">
        <v>7839</v>
      </c>
      <c r="F227" t="s">
        <v>7888</v>
      </c>
      <c r="G227" t="s">
        <v>7854</v>
      </c>
      <c r="H227" t="s">
        <v>9</v>
      </c>
      <c r="I227">
        <v>45.32</v>
      </c>
      <c r="J227">
        <v>13.675</v>
      </c>
      <c r="K227">
        <v>0.35</v>
      </c>
      <c r="M227" t="s">
        <v>7993</v>
      </c>
      <c r="N227">
        <v>21.833</v>
      </c>
      <c r="V227" t="s">
        <v>7850</v>
      </c>
      <c r="W227" t="s">
        <v>7839</v>
      </c>
      <c r="X227" t="s">
        <v>7888</v>
      </c>
      <c r="Y227">
        <v>45.32</v>
      </c>
      <c r="Z227" t="s">
        <v>7854</v>
      </c>
      <c r="AA227">
        <v>13.675</v>
      </c>
      <c r="AB227">
        <v>0.35</v>
      </c>
    </row>
    <row r="228" spans="1:28">
      <c r="A228" t="s">
        <v>1080</v>
      </c>
      <c r="B228" t="s">
        <v>1081</v>
      </c>
      <c r="C228" t="s">
        <v>1082</v>
      </c>
      <c r="D228" t="s">
        <v>7856</v>
      </c>
      <c r="E228" t="s">
        <v>7839</v>
      </c>
      <c r="F228" t="s">
        <v>7840</v>
      </c>
      <c r="G228" t="s">
        <v>7885</v>
      </c>
      <c r="H228" t="s">
        <v>9</v>
      </c>
      <c r="I228">
        <v>213.069</v>
      </c>
      <c r="J228">
        <v>25.565</v>
      </c>
      <c r="K228">
        <v>0.84</v>
      </c>
      <c r="M228" t="s">
        <v>7854</v>
      </c>
      <c r="N228">
        <v>404.306</v>
      </c>
      <c r="V228" t="s">
        <v>7856</v>
      </c>
      <c r="W228" t="s">
        <v>7839</v>
      </c>
      <c r="X228" t="s">
        <v>7840</v>
      </c>
      <c r="Y228">
        <v>213.069</v>
      </c>
      <c r="Z228" t="s">
        <v>7885</v>
      </c>
      <c r="AA228">
        <v>25.565</v>
      </c>
      <c r="AB228">
        <v>0.84</v>
      </c>
    </row>
    <row r="229" spans="1:28">
      <c r="A229" t="s">
        <v>2867</v>
      </c>
      <c r="B229" t="s">
        <v>2868</v>
      </c>
      <c r="C229" t="s">
        <v>2869</v>
      </c>
      <c r="D229" t="s">
        <v>7844</v>
      </c>
      <c r="E229" t="s">
        <v>7839</v>
      </c>
      <c r="F229" t="s">
        <v>7840</v>
      </c>
      <c r="G229" t="s">
        <v>8033</v>
      </c>
      <c r="H229" t="s">
        <v>9</v>
      </c>
      <c r="I229">
        <v>2836.184</v>
      </c>
      <c r="J229">
        <v>3.899</v>
      </c>
      <c r="K229">
        <v>0.03</v>
      </c>
      <c r="M229" t="s">
        <v>7988</v>
      </c>
      <c r="N229">
        <v>709.898</v>
      </c>
      <c r="V229" t="s">
        <v>7844</v>
      </c>
      <c r="W229" t="s">
        <v>7839</v>
      </c>
      <c r="X229" t="s">
        <v>7840</v>
      </c>
      <c r="Y229">
        <v>2836.184</v>
      </c>
      <c r="Z229" t="s">
        <v>8033</v>
      </c>
      <c r="AA229">
        <v>3.899</v>
      </c>
      <c r="AB229">
        <v>0.03</v>
      </c>
    </row>
    <row r="230" spans="1:28">
      <c r="A230" t="s">
        <v>2355</v>
      </c>
      <c r="B230" t="s">
        <v>2356</v>
      </c>
      <c r="C230" t="s">
        <v>2357</v>
      </c>
      <c r="D230" t="s">
        <v>7850</v>
      </c>
      <c r="E230" t="s">
        <v>7839</v>
      </c>
      <c r="F230" t="s">
        <v>7888</v>
      </c>
      <c r="G230" t="s">
        <v>7941</v>
      </c>
      <c r="H230" t="s">
        <v>9</v>
      </c>
      <c r="I230">
        <v>422.959</v>
      </c>
      <c r="J230">
        <v>13.249</v>
      </c>
      <c r="K230">
        <v>0.42</v>
      </c>
      <c r="M230" t="s">
        <v>8024</v>
      </c>
      <c r="N230">
        <v>35.809</v>
      </c>
      <c r="V230" t="s">
        <v>7850</v>
      </c>
      <c r="W230" t="s">
        <v>7839</v>
      </c>
      <c r="X230" t="s">
        <v>7888</v>
      </c>
      <c r="Y230">
        <v>422.959</v>
      </c>
      <c r="Z230" t="s">
        <v>7941</v>
      </c>
      <c r="AA230">
        <v>13.249</v>
      </c>
      <c r="AB230">
        <v>0.42</v>
      </c>
    </row>
    <row r="231" spans="1:28">
      <c r="A231" t="s">
        <v>1258</v>
      </c>
      <c r="B231" t="s">
        <v>1259</v>
      </c>
      <c r="C231" t="s">
        <v>1260</v>
      </c>
      <c r="D231" t="s">
        <v>7850</v>
      </c>
      <c r="E231" t="s">
        <v>7839</v>
      </c>
      <c r="F231" t="s">
        <v>7840</v>
      </c>
      <c r="G231" t="s">
        <v>8028</v>
      </c>
      <c r="H231" t="s">
        <v>9</v>
      </c>
      <c r="I231">
        <v>446.121</v>
      </c>
      <c r="J231">
        <v>95.082</v>
      </c>
      <c r="K231">
        <v>0.65</v>
      </c>
      <c r="M231" t="s">
        <v>7914</v>
      </c>
      <c r="N231">
        <v>22.118</v>
      </c>
      <c r="V231" t="s">
        <v>7850</v>
      </c>
      <c r="W231" t="s">
        <v>7839</v>
      </c>
      <c r="X231" t="s">
        <v>7840</v>
      </c>
      <c r="Y231">
        <v>446.121</v>
      </c>
      <c r="Z231" t="s">
        <v>8028</v>
      </c>
      <c r="AA231">
        <v>95.082</v>
      </c>
      <c r="AB231">
        <v>0.65</v>
      </c>
    </row>
    <row r="232" spans="1:28">
      <c r="A232" t="s">
        <v>4764</v>
      </c>
      <c r="B232" t="s">
        <v>4765</v>
      </c>
      <c r="C232" t="s">
        <v>4766</v>
      </c>
      <c r="D232" t="s">
        <v>7862</v>
      </c>
      <c r="E232" t="s">
        <v>7839</v>
      </c>
      <c r="F232" t="s">
        <v>7888</v>
      </c>
      <c r="G232" t="s">
        <v>7860</v>
      </c>
      <c r="H232" t="s">
        <v>9</v>
      </c>
      <c r="I232">
        <v>35.635</v>
      </c>
      <c r="J232">
        <v>25.288</v>
      </c>
      <c r="K232">
        <v>0.12</v>
      </c>
      <c r="M232" t="s">
        <v>7854</v>
      </c>
      <c r="N232">
        <v>45.32</v>
      </c>
      <c r="V232" t="s">
        <v>7862</v>
      </c>
      <c r="W232" t="s">
        <v>7839</v>
      </c>
      <c r="X232" t="s">
        <v>7888</v>
      </c>
      <c r="Y232">
        <v>35.635</v>
      </c>
      <c r="Z232" t="s">
        <v>7860</v>
      </c>
      <c r="AA232">
        <v>25.288</v>
      </c>
      <c r="AB232">
        <v>0.12</v>
      </c>
    </row>
    <row r="233" spans="1:28">
      <c r="A233" t="s">
        <v>2432</v>
      </c>
      <c r="B233" t="s">
        <v>2433</v>
      </c>
      <c r="C233" t="s">
        <v>2434</v>
      </c>
      <c r="D233" t="s">
        <v>7850</v>
      </c>
      <c r="E233" t="s">
        <v>7839</v>
      </c>
      <c r="F233" t="s">
        <v>7840</v>
      </c>
      <c r="G233" t="s">
        <v>8092</v>
      </c>
      <c r="H233" t="s">
        <v>9</v>
      </c>
      <c r="I233">
        <v>2.06</v>
      </c>
      <c r="J233">
        <v>99.995</v>
      </c>
      <c r="K233">
        <v>0.49</v>
      </c>
      <c r="M233" t="s">
        <v>7885</v>
      </c>
      <c r="N233">
        <v>213.069</v>
      </c>
      <c r="V233" t="s">
        <v>7850</v>
      </c>
      <c r="W233" t="s">
        <v>7839</v>
      </c>
      <c r="X233" t="s">
        <v>7840</v>
      </c>
      <c r="Y233">
        <v>2.06</v>
      </c>
      <c r="Z233" t="s">
        <v>8092</v>
      </c>
      <c r="AA233">
        <v>99.995</v>
      </c>
      <c r="AB233">
        <v>0.49</v>
      </c>
    </row>
    <row r="234" spans="1:28">
      <c r="A234" t="s">
        <v>2530</v>
      </c>
      <c r="B234" t="s">
        <v>2531</v>
      </c>
      <c r="C234" t="s">
        <v>2532</v>
      </c>
      <c r="D234" t="s">
        <v>7850</v>
      </c>
      <c r="E234" t="s">
        <v>7839</v>
      </c>
      <c r="F234" t="s">
        <v>7840</v>
      </c>
      <c r="G234" t="s">
        <v>7907</v>
      </c>
      <c r="H234" t="s">
        <v>9</v>
      </c>
      <c r="I234">
        <v>4038.671</v>
      </c>
      <c r="J234">
        <v>3.771</v>
      </c>
      <c r="K234">
        <v>0.05</v>
      </c>
      <c r="M234" t="s">
        <v>8033</v>
      </c>
      <c r="N234">
        <v>2836.184</v>
      </c>
      <c r="V234" t="s">
        <v>7850</v>
      </c>
      <c r="W234" t="s">
        <v>7839</v>
      </c>
      <c r="X234" t="s">
        <v>7840</v>
      </c>
      <c r="Y234">
        <v>4038.671</v>
      </c>
      <c r="Z234" t="s">
        <v>7907</v>
      </c>
      <c r="AA234">
        <v>3.771</v>
      </c>
      <c r="AB234">
        <v>0.05</v>
      </c>
    </row>
    <row r="235" spans="1:28">
      <c r="A235" t="s">
        <v>2709</v>
      </c>
      <c r="B235" t="s">
        <v>2710</v>
      </c>
      <c r="C235" t="s">
        <v>2711</v>
      </c>
      <c r="D235" t="s">
        <v>7847</v>
      </c>
      <c r="E235" t="s">
        <v>7839</v>
      </c>
      <c r="F235" t="s">
        <v>7888</v>
      </c>
      <c r="G235" t="s">
        <v>8116</v>
      </c>
      <c r="H235" t="s">
        <v>9</v>
      </c>
      <c r="I235">
        <v>5930.912</v>
      </c>
      <c r="J235">
        <v>11.507</v>
      </c>
      <c r="K235">
        <v>0.02</v>
      </c>
      <c r="M235" t="s">
        <v>7941</v>
      </c>
      <c r="N235">
        <v>422.959</v>
      </c>
      <c r="V235" t="s">
        <v>7847</v>
      </c>
      <c r="W235" t="s">
        <v>7839</v>
      </c>
      <c r="X235" t="s">
        <v>7888</v>
      </c>
      <c r="Y235">
        <v>5930.912</v>
      </c>
      <c r="Z235" t="s">
        <v>8116</v>
      </c>
      <c r="AA235">
        <v>11.507</v>
      </c>
      <c r="AB235">
        <v>0.02</v>
      </c>
    </row>
    <row r="236" spans="1:28">
      <c r="A236" t="s">
        <v>1569</v>
      </c>
      <c r="B236" t="s">
        <v>1570</v>
      </c>
      <c r="C236" t="s">
        <v>1571</v>
      </c>
      <c r="D236" t="s">
        <v>7864</v>
      </c>
      <c r="E236" t="s">
        <v>7839</v>
      </c>
      <c r="F236" t="s">
        <v>7840</v>
      </c>
      <c r="G236" t="s">
        <v>8039</v>
      </c>
      <c r="H236" t="s">
        <v>9</v>
      </c>
      <c r="I236">
        <v>27.597</v>
      </c>
      <c r="J236">
        <v>72.759</v>
      </c>
      <c r="K236">
        <v>0.3</v>
      </c>
      <c r="M236" t="s">
        <v>8028</v>
      </c>
      <c r="N236">
        <v>446.121</v>
      </c>
      <c r="V236" t="s">
        <v>7864</v>
      </c>
      <c r="W236" t="s">
        <v>7839</v>
      </c>
      <c r="X236" t="s">
        <v>7840</v>
      </c>
      <c r="Y236">
        <v>27.597</v>
      </c>
      <c r="Z236" t="s">
        <v>8039</v>
      </c>
      <c r="AA236">
        <v>72.759</v>
      </c>
      <c r="AB236">
        <v>0.3</v>
      </c>
    </row>
    <row r="237" spans="1:28">
      <c r="A237" t="s">
        <v>2128</v>
      </c>
      <c r="B237" t="s">
        <v>2129</v>
      </c>
      <c r="C237" t="s">
        <v>2130</v>
      </c>
      <c r="D237" t="s">
        <v>7846</v>
      </c>
      <c r="E237" t="s">
        <v>7839</v>
      </c>
      <c r="F237" t="s">
        <v>7840</v>
      </c>
      <c r="G237" t="s">
        <v>8091</v>
      </c>
      <c r="H237" t="s">
        <v>9</v>
      </c>
      <c r="I237">
        <v>113.092</v>
      </c>
      <c r="J237">
        <v>25.588</v>
      </c>
      <c r="K237">
        <v>0.3</v>
      </c>
      <c r="M237" t="s">
        <v>7860</v>
      </c>
      <c r="N237">
        <v>35.635</v>
      </c>
      <c r="V237" t="s">
        <v>7846</v>
      </c>
      <c r="W237" t="s">
        <v>7839</v>
      </c>
      <c r="X237" t="s">
        <v>7840</v>
      </c>
      <c r="Y237">
        <v>113.092</v>
      </c>
      <c r="Z237" t="s">
        <v>8091</v>
      </c>
      <c r="AA237">
        <v>25.588</v>
      </c>
      <c r="AB237">
        <v>0.3</v>
      </c>
    </row>
    <row r="238" spans="1:28">
      <c r="A238" t="s">
        <v>1564</v>
      </c>
      <c r="B238" t="s">
        <v>414</v>
      </c>
      <c r="C238" t="s">
        <v>1565</v>
      </c>
      <c r="D238" t="s">
        <v>7850</v>
      </c>
      <c r="E238" t="s">
        <v>7839</v>
      </c>
      <c r="F238" t="s">
        <v>7840</v>
      </c>
      <c r="G238" t="s">
        <v>7914</v>
      </c>
      <c r="H238" t="s">
        <v>9</v>
      </c>
      <c r="I238">
        <v>25.333</v>
      </c>
      <c r="J238">
        <v>11.43</v>
      </c>
      <c r="K238">
        <v>0.35</v>
      </c>
      <c r="M238" t="s">
        <v>8092</v>
      </c>
      <c r="N238">
        <v>2.06</v>
      </c>
      <c r="V238" t="s">
        <v>7850</v>
      </c>
      <c r="W238" t="s">
        <v>7839</v>
      </c>
      <c r="X238" t="s">
        <v>7840</v>
      </c>
      <c r="Y238">
        <v>25.333</v>
      </c>
      <c r="Z238" t="s">
        <v>7914</v>
      </c>
      <c r="AA238">
        <v>11.43</v>
      </c>
      <c r="AB238">
        <v>0.35</v>
      </c>
    </row>
    <row r="239" spans="1:28">
      <c r="A239" t="s">
        <v>1263</v>
      </c>
      <c r="B239" t="s">
        <v>1264</v>
      </c>
      <c r="C239" t="s">
        <v>1265</v>
      </c>
      <c r="D239" t="s">
        <v>7844</v>
      </c>
      <c r="E239" t="s">
        <v>7839</v>
      </c>
      <c r="F239" t="s">
        <v>7935</v>
      </c>
      <c r="G239" t="s">
        <v>7923</v>
      </c>
      <c r="H239" t="s">
        <v>9</v>
      </c>
      <c r="I239">
        <v>969.002</v>
      </c>
      <c r="J239">
        <v>9.065</v>
      </c>
      <c r="K239">
        <v>0.25</v>
      </c>
      <c r="M239" t="s">
        <v>7907</v>
      </c>
      <c r="N239">
        <v>4038.671</v>
      </c>
      <c r="V239" t="s">
        <v>7844</v>
      </c>
      <c r="W239" t="s">
        <v>7839</v>
      </c>
      <c r="X239" t="s">
        <v>7935</v>
      </c>
      <c r="Y239">
        <v>969.002</v>
      </c>
      <c r="Z239" t="s">
        <v>7923</v>
      </c>
      <c r="AA239">
        <v>9.065</v>
      </c>
      <c r="AB239">
        <v>0.25</v>
      </c>
    </row>
    <row r="240" spans="1:28">
      <c r="A240" t="s">
        <v>4747</v>
      </c>
      <c r="B240" t="s">
        <v>4748</v>
      </c>
      <c r="C240" t="s">
        <v>4749</v>
      </c>
      <c r="D240" t="s">
        <v>7844</v>
      </c>
      <c r="E240" t="s">
        <v>7839</v>
      </c>
      <c r="F240" t="s">
        <v>7840</v>
      </c>
      <c r="G240" t="s">
        <v>7943</v>
      </c>
      <c r="H240" t="s">
        <v>9</v>
      </c>
      <c r="I240">
        <v>1098.082</v>
      </c>
      <c r="J240">
        <v>5.736</v>
      </c>
      <c r="K240">
        <v>0.28</v>
      </c>
      <c r="M240" t="s">
        <v>8116</v>
      </c>
      <c r="N240">
        <v>5930.912</v>
      </c>
      <c r="V240" t="s">
        <v>7844</v>
      </c>
      <c r="W240" t="s">
        <v>7839</v>
      </c>
      <c r="X240" t="s">
        <v>7840</v>
      </c>
      <c r="Y240">
        <v>1098.082</v>
      </c>
      <c r="Z240" t="s">
        <v>7943</v>
      </c>
      <c r="AA240">
        <v>5.736</v>
      </c>
      <c r="AB240">
        <v>0.28</v>
      </c>
    </row>
    <row r="241" spans="1:28">
      <c r="A241" t="s">
        <v>840</v>
      </c>
      <c r="B241" t="s">
        <v>841</v>
      </c>
      <c r="C241" t="s">
        <v>842</v>
      </c>
      <c r="D241" t="s">
        <v>7844</v>
      </c>
      <c r="E241" t="s">
        <v>7839</v>
      </c>
      <c r="F241" t="s">
        <v>7840</v>
      </c>
      <c r="G241" t="s">
        <v>7956</v>
      </c>
      <c r="H241" t="s">
        <v>9</v>
      </c>
      <c r="I241">
        <v>40.79</v>
      </c>
      <c r="J241">
        <v>13.167</v>
      </c>
      <c r="K241">
        <v>0.32</v>
      </c>
      <c r="M241" t="s">
        <v>8039</v>
      </c>
      <c r="N241">
        <v>27.597</v>
      </c>
      <c r="V241" t="s">
        <v>7844</v>
      </c>
      <c r="W241" t="s">
        <v>7839</v>
      </c>
      <c r="X241" t="s">
        <v>7840</v>
      </c>
      <c r="Y241">
        <v>40.79</v>
      </c>
      <c r="Z241" t="s">
        <v>7956</v>
      </c>
      <c r="AA241">
        <v>13.167</v>
      </c>
      <c r="AB241">
        <v>0.32</v>
      </c>
    </row>
    <row r="242" spans="1:28">
      <c r="A242" t="s">
        <v>831</v>
      </c>
      <c r="B242" t="s">
        <v>832</v>
      </c>
      <c r="C242" t="s">
        <v>833</v>
      </c>
      <c r="D242" t="s">
        <v>7864</v>
      </c>
      <c r="E242" t="s">
        <v>7839</v>
      </c>
      <c r="F242" t="s">
        <v>7840</v>
      </c>
      <c r="G242" t="s">
        <v>8123</v>
      </c>
      <c r="H242" t="s">
        <v>9</v>
      </c>
      <c r="I242">
        <v>56.536</v>
      </c>
      <c r="J242">
        <v>20.88</v>
      </c>
      <c r="K242">
        <v>0.55</v>
      </c>
      <c r="M242" t="s">
        <v>8091</v>
      </c>
      <c r="N242">
        <v>113.092</v>
      </c>
      <c r="V242" t="s">
        <v>7864</v>
      </c>
      <c r="W242" t="s">
        <v>7839</v>
      </c>
      <c r="X242" t="s">
        <v>7840</v>
      </c>
      <c r="Y242">
        <v>56.536</v>
      </c>
      <c r="Z242" t="s">
        <v>8123</v>
      </c>
      <c r="AA242">
        <v>20.88</v>
      </c>
      <c r="AB242">
        <v>0.55</v>
      </c>
    </row>
    <row r="243" spans="1:28">
      <c r="A243" t="s">
        <v>1528</v>
      </c>
      <c r="B243" t="s">
        <v>1529</v>
      </c>
      <c r="C243" t="s">
        <v>1530</v>
      </c>
      <c r="D243" t="s">
        <v>7844</v>
      </c>
      <c r="E243" t="s">
        <v>7839</v>
      </c>
      <c r="F243" t="s">
        <v>7840</v>
      </c>
      <c r="G243" t="s">
        <v>7941</v>
      </c>
      <c r="H243" t="s">
        <v>9</v>
      </c>
      <c r="I243">
        <v>239.12</v>
      </c>
      <c r="J243">
        <v>4.503</v>
      </c>
      <c r="K243">
        <v>0.18</v>
      </c>
      <c r="M243" t="s">
        <v>7914</v>
      </c>
      <c r="N243">
        <v>25.333</v>
      </c>
      <c r="V243" t="s">
        <v>7844</v>
      </c>
      <c r="W243" t="s">
        <v>7839</v>
      </c>
      <c r="X243" t="s">
        <v>7840</v>
      </c>
      <c r="Y243">
        <v>239.12</v>
      </c>
      <c r="Z243" t="s">
        <v>7941</v>
      </c>
      <c r="AA243">
        <v>4.503</v>
      </c>
      <c r="AB243">
        <v>0.18</v>
      </c>
    </row>
    <row r="244" spans="1:28">
      <c r="A244" t="s">
        <v>674</v>
      </c>
      <c r="B244" t="s">
        <v>675</v>
      </c>
      <c r="C244" t="s">
        <v>676</v>
      </c>
      <c r="D244" t="s">
        <v>7864</v>
      </c>
      <c r="E244" t="s">
        <v>7839</v>
      </c>
      <c r="F244" t="s">
        <v>7840</v>
      </c>
      <c r="G244" t="s">
        <v>8099</v>
      </c>
      <c r="H244" t="s">
        <v>9</v>
      </c>
      <c r="I244">
        <v>764.381</v>
      </c>
      <c r="J244">
        <v>9.833</v>
      </c>
      <c r="K244">
        <v>0.5</v>
      </c>
      <c r="M244" t="s">
        <v>7923</v>
      </c>
      <c r="N244">
        <v>969.002</v>
      </c>
      <c r="V244" t="s">
        <v>7864</v>
      </c>
      <c r="W244" t="s">
        <v>7839</v>
      </c>
      <c r="X244" t="s">
        <v>7840</v>
      </c>
      <c r="Y244">
        <v>764.381</v>
      </c>
      <c r="Z244" t="s">
        <v>8099</v>
      </c>
      <c r="AA244">
        <v>9.833</v>
      </c>
      <c r="AB244">
        <v>0.5</v>
      </c>
    </row>
    <row r="245" spans="1:28">
      <c r="A245" t="s">
        <v>363</v>
      </c>
      <c r="B245" t="s">
        <v>364</v>
      </c>
      <c r="C245" t="s">
        <v>365</v>
      </c>
      <c r="D245" t="s">
        <v>7850</v>
      </c>
      <c r="E245" t="s">
        <v>7839</v>
      </c>
      <c r="F245" t="s">
        <v>7840</v>
      </c>
      <c r="G245" t="s">
        <v>7858</v>
      </c>
      <c r="H245" t="s">
        <v>9</v>
      </c>
      <c r="I245">
        <v>437.319</v>
      </c>
      <c r="J245">
        <v>7.041</v>
      </c>
      <c r="K245">
        <v>0.4</v>
      </c>
      <c r="M245" t="s">
        <v>7943</v>
      </c>
      <c r="N245">
        <v>1098.082</v>
      </c>
      <c r="V245" t="s">
        <v>7850</v>
      </c>
      <c r="W245" t="s">
        <v>7839</v>
      </c>
      <c r="X245" t="s">
        <v>7840</v>
      </c>
      <c r="Y245">
        <v>437.319</v>
      </c>
      <c r="Z245" t="s">
        <v>7858</v>
      </c>
      <c r="AA245">
        <v>7.041</v>
      </c>
      <c r="AB245">
        <v>0.4</v>
      </c>
    </row>
    <row r="246" spans="1:28">
      <c r="A246" t="s">
        <v>5137</v>
      </c>
      <c r="B246" t="s">
        <v>5138</v>
      </c>
      <c r="C246" t="s">
        <v>5139</v>
      </c>
      <c r="D246" t="s">
        <v>7862</v>
      </c>
      <c r="E246" t="s">
        <v>7839</v>
      </c>
      <c r="F246" t="s">
        <v>7888</v>
      </c>
      <c r="G246" t="s">
        <v>7854</v>
      </c>
      <c r="H246" t="s">
        <v>9</v>
      </c>
      <c r="I246">
        <v>12523.987</v>
      </c>
      <c r="J246">
        <v>39.762</v>
      </c>
      <c r="K246">
        <v>0.15</v>
      </c>
      <c r="M246" t="s">
        <v>7956</v>
      </c>
      <c r="N246">
        <v>40.79</v>
      </c>
      <c r="V246" t="s">
        <v>7862</v>
      </c>
      <c r="W246" t="s">
        <v>7839</v>
      </c>
      <c r="X246" t="s">
        <v>7888</v>
      </c>
      <c r="Y246">
        <v>12523.987</v>
      </c>
      <c r="Z246" t="s">
        <v>7854</v>
      </c>
      <c r="AA246">
        <v>39.762</v>
      </c>
      <c r="AB246">
        <v>0.15</v>
      </c>
    </row>
    <row r="247" spans="1:28">
      <c r="A247" t="s">
        <v>1972</v>
      </c>
      <c r="B247" t="s">
        <v>1973</v>
      </c>
      <c r="C247" t="s">
        <v>1974</v>
      </c>
      <c r="D247" t="s">
        <v>7846</v>
      </c>
      <c r="E247" t="s">
        <v>7839</v>
      </c>
      <c r="F247" t="s">
        <v>7840</v>
      </c>
      <c r="G247" t="s">
        <v>7854</v>
      </c>
      <c r="H247" t="s">
        <v>9</v>
      </c>
      <c r="I247">
        <v>39612.535</v>
      </c>
      <c r="J247">
        <v>6.081</v>
      </c>
      <c r="K247">
        <v>0.04</v>
      </c>
      <c r="M247" t="s">
        <v>8123</v>
      </c>
      <c r="N247">
        <v>56.536</v>
      </c>
      <c r="V247" t="s">
        <v>7846</v>
      </c>
      <c r="W247" t="s">
        <v>7839</v>
      </c>
      <c r="X247" t="s">
        <v>7840</v>
      </c>
      <c r="Y247">
        <v>39612.535</v>
      </c>
      <c r="Z247" t="s">
        <v>7854</v>
      </c>
      <c r="AA247">
        <v>6.081</v>
      </c>
      <c r="AB247">
        <v>0.04</v>
      </c>
    </row>
    <row r="248" spans="1:28">
      <c r="A248" t="s">
        <v>1402</v>
      </c>
      <c r="B248" t="s">
        <v>1403</v>
      </c>
      <c r="C248" t="s">
        <v>1404</v>
      </c>
      <c r="D248" t="s">
        <v>7844</v>
      </c>
      <c r="E248" t="s">
        <v>7839</v>
      </c>
      <c r="F248" t="s">
        <v>7840</v>
      </c>
      <c r="G248" t="s">
        <v>8080</v>
      </c>
      <c r="H248" t="s">
        <v>9</v>
      </c>
      <c r="I248">
        <v>35.811</v>
      </c>
      <c r="J248">
        <v>31.106</v>
      </c>
      <c r="K248">
        <v>0.25</v>
      </c>
      <c r="M248" t="s">
        <v>7941</v>
      </c>
      <c r="N248">
        <v>239.12</v>
      </c>
      <c r="V248" t="s">
        <v>7844</v>
      </c>
      <c r="W248" t="s">
        <v>7839</v>
      </c>
      <c r="X248" t="s">
        <v>7840</v>
      </c>
      <c r="Y248">
        <v>35.811</v>
      </c>
      <c r="Z248" t="s">
        <v>8080</v>
      </c>
      <c r="AA248">
        <v>31.106</v>
      </c>
      <c r="AB248">
        <v>0.25</v>
      </c>
    </row>
    <row r="249" spans="1:28">
      <c r="A249" t="s">
        <v>1925</v>
      </c>
      <c r="B249" t="s">
        <v>1926</v>
      </c>
      <c r="C249" t="s">
        <v>1927</v>
      </c>
      <c r="D249" t="s">
        <v>7850</v>
      </c>
      <c r="E249" t="s">
        <v>7839</v>
      </c>
      <c r="F249" t="s">
        <v>7840</v>
      </c>
      <c r="G249" t="s">
        <v>8080</v>
      </c>
      <c r="H249" t="s">
        <v>9</v>
      </c>
      <c r="I249">
        <v>1169.274</v>
      </c>
      <c r="J249">
        <v>18.339</v>
      </c>
      <c r="K249">
        <v>0.39</v>
      </c>
      <c r="M249" t="s">
        <v>8099</v>
      </c>
      <c r="N249">
        <v>764.381</v>
      </c>
      <c r="V249" t="s">
        <v>7850</v>
      </c>
      <c r="W249" t="s">
        <v>7839</v>
      </c>
      <c r="X249" t="s">
        <v>7840</v>
      </c>
      <c r="Y249">
        <v>1169.274</v>
      </c>
      <c r="Z249" t="s">
        <v>8080</v>
      </c>
      <c r="AA249">
        <v>18.339</v>
      </c>
      <c r="AB249">
        <v>0.39</v>
      </c>
    </row>
    <row r="250" spans="1:28">
      <c r="A250" t="s">
        <v>1444</v>
      </c>
      <c r="B250" t="s">
        <v>1445</v>
      </c>
      <c r="C250" t="s">
        <v>1446</v>
      </c>
      <c r="D250" t="s">
        <v>7847</v>
      </c>
      <c r="E250" t="s">
        <v>7839</v>
      </c>
      <c r="F250" t="s">
        <v>7840</v>
      </c>
      <c r="G250" t="s">
        <v>7885</v>
      </c>
      <c r="H250" t="s">
        <v>9</v>
      </c>
      <c r="I250">
        <v>11130.647</v>
      </c>
      <c r="J250">
        <v>38.111</v>
      </c>
      <c r="K250">
        <v>0.65</v>
      </c>
      <c r="M250" t="s">
        <v>7858</v>
      </c>
      <c r="N250">
        <v>437.319</v>
      </c>
      <c r="V250" t="s">
        <v>7847</v>
      </c>
      <c r="W250" t="s">
        <v>7839</v>
      </c>
      <c r="X250" t="s">
        <v>7840</v>
      </c>
      <c r="Y250">
        <v>11130.647</v>
      </c>
      <c r="Z250" t="s">
        <v>7885</v>
      </c>
      <c r="AA250">
        <v>38.111</v>
      </c>
      <c r="AB250">
        <v>0.65</v>
      </c>
    </row>
    <row r="251" spans="1:28">
      <c r="A251" t="s">
        <v>1453</v>
      </c>
      <c r="B251" t="s">
        <v>1454</v>
      </c>
      <c r="C251" t="s">
        <v>1455</v>
      </c>
      <c r="D251" t="s">
        <v>7847</v>
      </c>
      <c r="E251" t="s">
        <v>7839</v>
      </c>
      <c r="F251" t="s">
        <v>7840</v>
      </c>
      <c r="G251" t="s">
        <v>8075</v>
      </c>
      <c r="H251" t="s">
        <v>9</v>
      </c>
      <c r="I251">
        <v>52.191</v>
      </c>
      <c r="J251">
        <v>32.303</v>
      </c>
      <c r="K251">
        <v>0.55</v>
      </c>
      <c r="M251" t="s">
        <v>7854</v>
      </c>
      <c r="N251">
        <v>12523.987</v>
      </c>
      <c r="V251" t="s">
        <v>7847</v>
      </c>
      <c r="W251" t="s">
        <v>7839</v>
      </c>
      <c r="X251" t="s">
        <v>7840</v>
      </c>
      <c r="Y251">
        <v>52.191</v>
      </c>
      <c r="Z251" t="s">
        <v>8075</v>
      </c>
      <c r="AA251">
        <v>32.303</v>
      </c>
      <c r="AB251">
        <v>0.55</v>
      </c>
    </row>
    <row r="252" spans="1:28">
      <c r="A252" t="s">
        <v>3645</v>
      </c>
      <c r="B252" t="s">
        <v>414</v>
      </c>
      <c r="C252" t="s">
        <v>3646</v>
      </c>
      <c r="D252" t="s">
        <v>7850</v>
      </c>
      <c r="E252" t="s">
        <v>7839</v>
      </c>
      <c r="F252" t="s">
        <v>7840</v>
      </c>
      <c r="G252" t="s">
        <v>7914</v>
      </c>
      <c r="H252" t="s">
        <v>9</v>
      </c>
      <c r="I252">
        <v>24.161</v>
      </c>
      <c r="J252">
        <v>23.864</v>
      </c>
      <c r="K252">
        <v>0.35</v>
      </c>
      <c r="M252" t="s">
        <v>7854</v>
      </c>
      <c r="N252">
        <v>39612.535</v>
      </c>
      <c r="V252" t="s">
        <v>7850</v>
      </c>
      <c r="W252" t="s">
        <v>7839</v>
      </c>
      <c r="X252" t="s">
        <v>7840</v>
      </c>
      <c r="Y252">
        <v>24.161</v>
      </c>
      <c r="Z252" t="s">
        <v>7914</v>
      </c>
      <c r="AA252">
        <v>23.864</v>
      </c>
      <c r="AB252">
        <v>0.35</v>
      </c>
    </row>
    <row r="253" spans="1:28">
      <c r="A253" t="s">
        <v>1486</v>
      </c>
      <c r="B253" t="s">
        <v>1487</v>
      </c>
      <c r="C253" t="s">
        <v>1488</v>
      </c>
      <c r="D253" t="s">
        <v>7844</v>
      </c>
      <c r="E253" t="s">
        <v>7839</v>
      </c>
      <c r="F253" t="s">
        <v>7888</v>
      </c>
      <c r="G253" t="s">
        <v>7988</v>
      </c>
      <c r="H253" t="s">
        <v>9</v>
      </c>
      <c r="I253">
        <v>471.302</v>
      </c>
      <c r="J253">
        <v>14.137</v>
      </c>
      <c r="K253">
        <v>0.003</v>
      </c>
      <c r="M253" t="s">
        <v>8080</v>
      </c>
      <c r="N253">
        <v>35.811</v>
      </c>
      <c r="V253" t="s">
        <v>7844</v>
      </c>
      <c r="W253" t="s">
        <v>7839</v>
      </c>
      <c r="X253" t="s">
        <v>7888</v>
      </c>
      <c r="Y253">
        <v>471.302</v>
      </c>
      <c r="Z253" t="s">
        <v>7988</v>
      </c>
      <c r="AA253">
        <v>14.137</v>
      </c>
      <c r="AB253">
        <v>0.003</v>
      </c>
    </row>
    <row r="254" spans="1:28">
      <c r="A254" t="s">
        <v>986</v>
      </c>
      <c r="B254" t="s">
        <v>987</v>
      </c>
      <c r="C254" t="s">
        <v>988</v>
      </c>
      <c r="D254" t="s">
        <v>7844</v>
      </c>
      <c r="E254" t="s">
        <v>7839</v>
      </c>
      <c r="F254" t="s">
        <v>7853</v>
      </c>
      <c r="G254" t="s">
        <v>8075</v>
      </c>
      <c r="H254" t="s">
        <v>9</v>
      </c>
      <c r="I254">
        <v>12.375</v>
      </c>
      <c r="J254">
        <v>26.315</v>
      </c>
      <c r="K254">
        <v>0.2</v>
      </c>
      <c r="M254" t="s">
        <v>8080</v>
      </c>
      <c r="N254">
        <v>1169.274</v>
      </c>
      <c r="V254" t="s">
        <v>7844</v>
      </c>
      <c r="W254" t="s">
        <v>7839</v>
      </c>
      <c r="X254" t="s">
        <v>7853</v>
      </c>
      <c r="Y254">
        <v>12.375</v>
      </c>
      <c r="Z254" t="s">
        <v>8075</v>
      </c>
      <c r="AA254">
        <v>26.315</v>
      </c>
      <c r="AB254">
        <v>0.2</v>
      </c>
    </row>
    <row r="255" spans="1:28">
      <c r="A255" t="s">
        <v>2491</v>
      </c>
      <c r="B255" t="s">
        <v>2492</v>
      </c>
      <c r="C255" t="s">
        <v>2493</v>
      </c>
      <c r="D255" t="s">
        <v>7850</v>
      </c>
      <c r="E255" t="s">
        <v>7839</v>
      </c>
      <c r="F255" t="s">
        <v>7840</v>
      </c>
      <c r="G255" t="s">
        <v>7914</v>
      </c>
      <c r="H255" t="s">
        <v>9</v>
      </c>
      <c r="I255">
        <v>409.484</v>
      </c>
      <c r="J255">
        <v>4.091</v>
      </c>
      <c r="K255">
        <v>0.2</v>
      </c>
      <c r="M255" t="s">
        <v>7885</v>
      </c>
      <c r="N255">
        <v>11130.647</v>
      </c>
      <c r="V255" t="s">
        <v>7850</v>
      </c>
      <c r="W255" t="s">
        <v>7839</v>
      </c>
      <c r="X255" t="s">
        <v>7840</v>
      </c>
      <c r="Y255">
        <v>409.484</v>
      </c>
      <c r="Z255" t="s">
        <v>7914</v>
      </c>
      <c r="AA255">
        <v>4.091</v>
      </c>
      <c r="AB255">
        <v>0.2</v>
      </c>
    </row>
    <row r="256" spans="1:28">
      <c r="A256" t="s">
        <v>4351</v>
      </c>
      <c r="B256" t="s">
        <v>4352</v>
      </c>
      <c r="C256" t="s">
        <v>4353</v>
      </c>
      <c r="D256" t="s">
        <v>7847</v>
      </c>
      <c r="E256" t="s">
        <v>7839</v>
      </c>
      <c r="F256" t="s">
        <v>7840</v>
      </c>
      <c r="G256" t="s">
        <v>8007</v>
      </c>
      <c r="H256" t="s">
        <v>9</v>
      </c>
      <c r="I256">
        <v>320.609</v>
      </c>
      <c r="J256">
        <v>31.202</v>
      </c>
      <c r="K256">
        <v>0.39</v>
      </c>
      <c r="M256" t="s">
        <v>8075</v>
      </c>
      <c r="N256">
        <v>52.191</v>
      </c>
      <c r="V256" t="s">
        <v>7847</v>
      </c>
      <c r="W256" t="s">
        <v>7839</v>
      </c>
      <c r="X256" t="s">
        <v>7840</v>
      </c>
      <c r="Y256">
        <v>320.609</v>
      </c>
      <c r="Z256" t="s">
        <v>8007</v>
      </c>
      <c r="AA256">
        <v>31.202</v>
      </c>
      <c r="AB256">
        <v>0.39</v>
      </c>
    </row>
    <row r="257" spans="1:28">
      <c r="A257" t="s">
        <v>2567</v>
      </c>
      <c r="B257" t="s">
        <v>2568</v>
      </c>
      <c r="C257" t="s">
        <v>2569</v>
      </c>
      <c r="D257" t="s">
        <v>7847</v>
      </c>
      <c r="E257" t="s">
        <v>7839</v>
      </c>
      <c r="F257" t="s">
        <v>7840</v>
      </c>
      <c r="G257" t="s">
        <v>8064</v>
      </c>
      <c r="H257" t="s">
        <v>9</v>
      </c>
      <c r="I257">
        <v>236.778</v>
      </c>
      <c r="J257">
        <v>99.46</v>
      </c>
      <c r="K257">
        <v>0.5</v>
      </c>
      <c r="M257" t="s">
        <v>7914</v>
      </c>
      <c r="N257">
        <v>24.161</v>
      </c>
      <c r="V257" t="s">
        <v>7847</v>
      </c>
      <c r="W257" t="s">
        <v>7839</v>
      </c>
      <c r="X257" t="s">
        <v>7840</v>
      </c>
      <c r="Y257">
        <v>236.778</v>
      </c>
      <c r="Z257" t="s">
        <v>8064</v>
      </c>
      <c r="AA257">
        <v>99.46</v>
      </c>
      <c r="AB257">
        <v>0.5</v>
      </c>
    </row>
    <row r="258" spans="1:28">
      <c r="A258" t="s">
        <v>3946</v>
      </c>
      <c r="B258" t="s">
        <v>3947</v>
      </c>
      <c r="C258" t="s">
        <v>3948</v>
      </c>
      <c r="D258" t="s">
        <v>7862</v>
      </c>
      <c r="E258" t="s">
        <v>7839</v>
      </c>
      <c r="F258" t="s">
        <v>7888</v>
      </c>
      <c r="G258" t="s">
        <v>8033</v>
      </c>
      <c r="H258" t="s">
        <v>9</v>
      </c>
      <c r="I258">
        <v>1006.189</v>
      </c>
      <c r="J258">
        <v>21.845</v>
      </c>
      <c r="K258">
        <v>0.03</v>
      </c>
      <c r="M258" t="s">
        <v>7988</v>
      </c>
      <c r="N258">
        <v>471.302</v>
      </c>
      <c r="V258" t="s">
        <v>7862</v>
      </c>
      <c r="W258" t="s">
        <v>7839</v>
      </c>
      <c r="X258" t="s">
        <v>7888</v>
      </c>
      <c r="Y258">
        <v>1006.189</v>
      </c>
      <c r="Z258" t="s">
        <v>8033</v>
      </c>
      <c r="AA258">
        <v>21.845</v>
      </c>
      <c r="AB258">
        <v>0.03</v>
      </c>
    </row>
    <row r="259" spans="1:28">
      <c r="A259" t="s">
        <v>2455</v>
      </c>
      <c r="B259" t="s">
        <v>2456</v>
      </c>
      <c r="C259" t="s">
        <v>2457</v>
      </c>
      <c r="D259" t="s">
        <v>7855</v>
      </c>
      <c r="E259" t="s">
        <v>7839</v>
      </c>
      <c r="F259" t="s">
        <v>7840</v>
      </c>
      <c r="G259" t="s">
        <v>8102</v>
      </c>
      <c r="H259" t="s">
        <v>9</v>
      </c>
      <c r="I259">
        <v>3.056</v>
      </c>
      <c r="J259">
        <v>92.164</v>
      </c>
      <c r="K259">
        <v>0.25</v>
      </c>
      <c r="M259" t="s">
        <v>8075</v>
      </c>
      <c r="N259">
        <v>12.375</v>
      </c>
      <c r="V259" t="s">
        <v>7855</v>
      </c>
      <c r="W259" t="s">
        <v>7839</v>
      </c>
      <c r="X259" t="s">
        <v>7840</v>
      </c>
      <c r="Y259">
        <v>3.056</v>
      </c>
      <c r="Z259" t="s">
        <v>8102</v>
      </c>
      <c r="AA259">
        <v>92.164</v>
      </c>
      <c r="AB259">
        <v>0.25</v>
      </c>
    </row>
    <row r="260" spans="1:28">
      <c r="A260" t="s">
        <v>792</v>
      </c>
      <c r="B260" t="s">
        <v>793</v>
      </c>
      <c r="C260" t="s">
        <v>794</v>
      </c>
      <c r="D260" t="s">
        <v>7847</v>
      </c>
      <c r="E260" t="s">
        <v>7839</v>
      </c>
      <c r="F260" t="s">
        <v>7840</v>
      </c>
      <c r="G260" t="s">
        <v>8045</v>
      </c>
      <c r="H260" t="s">
        <v>9</v>
      </c>
      <c r="I260">
        <v>21.023</v>
      </c>
      <c r="J260">
        <v>29.225</v>
      </c>
      <c r="K260">
        <v>0.85</v>
      </c>
      <c r="M260" t="s">
        <v>7914</v>
      </c>
      <c r="N260">
        <v>409.484</v>
      </c>
      <c r="V260" t="s">
        <v>7847</v>
      </c>
      <c r="W260" t="s">
        <v>7839</v>
      </c>
      <c r="X260" t="s">
        <v>7840</v>
      </c>
      <c r="Y260">
        <v>21.023</v>
      </c>
      <c r="Z260" t="s">
        <v>8045</v>
      </c>
      <c r="AA260">
        <v>29.225</v>
      </c>
      <c r="AB260">
        <v>0.85</v>
      </c>
    </row>
    <row r="261" spans="1:28">
      <c r="A261" t="s">
        <v>2573</v>
      </c>
      <c r="B261" t="s">
        <v>2574</v>
      </c>
      <c r="C261" t="s">
        <v>2575</v>
      </c>
      <c r="D261" t="s">
        <v>7847</v>
      </c>
      <c r="E261" t="s">
        <v>7839</v>
      </c>
      <c r="F261" t="s">
        <v>7840</v>
      </c>
      <c r="G261" t="s">
        <v>7883</v>
      </c>
      <c r="H261" t="s">
        <v>9</v>
      </c>
      <c r="I261">
        <v>74.883</v>
      </c>
      <c r="J261">
        <v>30.333</v>
      </c>
      <c r="K261">
        <v>0.46</v>
      </c>
      <c r="M261" t="s">
        <v>8007</v>
      </c>
      <c r="N261">
        <v>320.609</v>
      </c>
      <c r="V261" t="s">
        <v>7847</v>
      </c>
      <c r="W261" t="s">
        <v>7839</v>
      </c>
      <c r="X261" t="s">
        <v>7840</v>
      </c>
      <c r="Y261">
        <v>74.883</v>
      </c>
      <c r="Z261" t="s">
        <v>7883</v>
      </c>
      <c r="AA261">
        <v>30.333</v>
      </c>
      <c r="AB261">
        <v>0.46</v>
      </c>
    </row>
    <row r="262" spans="1:28">
      <c r="A262" t="s">
        <v>6284</v>
      </c>
      <c r="B262" t="s">
        <v>6285</v>
      </c>
      <c r="C262" t="s">
        <v>6286</v>
      </c>
      <c r="D262" t="s">
        <v>7859</v>
      </c>
      <c r="E262" t="s">
        <v>7839</v>
      </c>
      <c r="F262" t="s">
        <v>7840</v>
      </c>
      <c r="G262" t="s">
        <v>7845</v>
      </c>
      <c r="H262" t="s">
        <v>9</v>
      </c>
      <c r="I262">
        <v>2361.657</v>
      </c>
      <c r="J262">
        <v>16.468</v>
      </c>
      <c r="K262">
        <v>0.85</v>
      </c>
      <c r="M262" t="s">
        <v>8064</v>
      </c>
      <c r="N262">
        <v>236.778</v>
      </c>
      <c r="V262" t="s">
        <v>7859</v>
      </c>
      <c r="W262" t="s">
        <v>7839</v>
      </c>
      <c r="X262" t="s">
        <v>7840</v>
      </c>
      <c r="Y262">
        <v>2361.657</v>
      </c>
      <c r="Z262" t="s">
        <v>7845</v>
      </c>
      <c r="AA262">
        <v>16.468</v>
      </c>
      <c r="AB262">
        <v>0.85</v>
      </c>
    </row>
    <row r="263" spans="1:28">
      <c r="A263" t="s">
        <v>2682</v>
      </c>
      <c r="B263" t="s">
        <v>2683</v>
      </c>
      <c r="C263" t="s">
        <v>2684</v>
      </c>
      <c r="D263" t="s">
        <v>7847</v>
      </c>
      <c r="E263" t="s">
        <v>7839</v>
      </c>
      <c r="F263" t="s">
        <v>7888</v>
      </c>
      <c r="G263" t="s">
        <v>7905</v>
      </c>
      <c r="H263" t="s">
        <v>9</v>
      </c>
      <c r="I263">
        <v>84.883</v>
      </c>
      <c r="J263">
        <v>10.324</v>
      </c>
      <c r="K263">
        <v>0.45</v>
      </c>
      <c r="M263" t="s">
        <v>8033</v>
      </c>
      <c r="N263">
        <v>1006.189</v>
      </c>
      <c r="V263" t="s">
        <v>7847</v>
      </c>
      <c r="W263" t="s">
        <v>7839</v>
      </c>
      <c r="X263" t="s">
        <v>7888</v>
      </c>
      <c r="Y263">
        <v>84.883</v>
      </c>
      <c r="Z263" t="s">
        <v>7905</v>
      </c>
      <c r="AA263">
        <v>10.324</v>
      </c>
      <c r="AB263">
        <v>0.45</v>
      </c>
    </row>
    <row r="264" spans="1:28">
      <c r="A264" t="s">
        <v>4613</v>
      </c>
      <c r="B264" t="s">
        <v>4614</v>
      </c>
      <c r="C264" t="s">
        <v>4615</v>
      </c>
      <c r="D264" t="s">
        <v>7862</v>
      </c>
      <c r="E264" t="s">
        <v>7839</v>
      </c>
      <c r="F264" t="s">
        <v>7888</v>
      </c>
      <c r="G264" t="s">
        <v>8092</v>
      </c>
      <c r="H264" t="s">
        <v>9</v>
      </c>
      <c r="I264">
        <v>8.731</v>
      </c>
      <c r="J264">
        <v>99.243</v>
      </c>
      <c r="K264">
        <v>0.15</v>
      </c>
      <c r="M264" t="s">
        <v>8102</v>
      </c>
      <c r="N264">
        <v>3.056</v>
      </c>
      <c r="V264" t="s">
        <v>7862</v>
      </c>
      <c r="W264" t="s">
        <v>7839</v>
      </c>
      <c r="X264" t="s">
        <v>7888</v>
      </c>
      <c r="Y264">
        <v>8.731</v>
      </c>
      <c r="Z264" t="s">
        <v>8092</v>
      </c>
      <c r="AA264">
        <v>99.243</v>
      </c>
      <c r="AB264">
        <v>0.15</v>
      </c>
    </row>
    <row r="265" spans="1:28">
      <c r="A265" t="s">
        <v>2182</v>
      </c>
      <c r="B265" t="s">
        <v>2183</v>
      </c>
      <c r="C265" t="s">
        <v>2184</v>
      </c>
      <c r="D265" t="s">
        <v>7847</v>
      </c>
      <c r="E265" t="s">
        <v>7839</v>
      </c>
      <c r="F265" t="s">
        <v>7840</v>
      </c>
      <c r="G265" t="s">
        <v>8034</v>
      </c>
      <c r="H265" t="s">
        <v>9</v>
      </c>
      <c r="I265">
        <v>2150.698</v>
      </c>
      <c r="J265">
        <v>11.53</v>
      </c>
      <c r="K265">
        <v>0.45</v>
      </c>
      <c r="M265" t="s">
        <v>8045</v>
      </c>
      <c r="N265">
        <v>21.023</v>
      </c>
      <c r="V265" t="s">
        <v>7847</v>
      </c>
      <c r="W265" t="s">
        <v>7839</v>
      </c>
      <c r="X265" t="s">
        <v>7840</v>
      </c>
      <c r="Y265">
        <v>2150.698</v>
      </c>
      <c r="Z265" t="s">
        <v>8034</v>
      </c>
      <c r="AA265">
        <v>11.53</v>
      </c>
      <c r="AB265">
        <v>0.45</v>
      </c>
    </row>
    <row r="266" spans="1:28">
      <c r="A266" t="s">
        <v>3338</v>
      </c>
      <c r="B266" t="s">
        <v>3339</v>
      </c>
      <c r="C266" t="s">
        <v>3340</v>
      </c>
      <c r="D266" t="s">
        <v>7850</v>
      </c>
      <c r="E266" t="s">
        <v>7839</v>
      </c>
      <c r="F266" t="s">
        <v>7935</v>
      </c>
      <c r="G266" t="s">
        <v>7852</v>
      </c>
      <c r="H266" t="s">
        <v>9</v>
      </c>
      <c r="I266">
        <v>5250.028</v>
      </c>
      <c r="J266">
        <v>4.922</v>
      </c>
      <c r="K266">
        <v>0.4</v>
      </c>
      <c r="M266" t="s">
        <v>7883</v>
      </c>
      <c r="N266">
        <v>74.883</v>
      </c>
      <c r="V266" t="s">
        <v>7850</v>
      </c>
      <c r="W266" t="s">
        <v>7839</v>
      </c>
      <c r="X266" t="s">
        <v>7935</v>
      </c>
      <c r="Y266">
        <v>5250.028</v>
      </c>
      <c r="Z266" t="s">
        <v>7852</v>
      </c>
      <c r="AA266">
        <v>4.922</v>
      </c>
      <c r="AB266">
        <v>0.4</v>
      </c>
    </row>
    <row r="267" spans="1:28">
      <c r="A267" t="s">
        <v>1116</v>
      </c>
      <c r="B267" t="s">
        <v>1117</v>
      </c>
      <c r="C267" t="s">
        <v>1118</v>
      </c>
      <c r="D267" t="s">
        <v>7856</v>
      </c>
      <c r="E267" t="s">
        <v>7839</v>
      </c>
      <c r="F267" t="s">
        <v>7840</v>
      </c>
      <c r="G267" t="s">
        <v>8085</v>
      </c>
      <c r="H267" t="s">
        <v>9</v>
      </c>
      <c r="I267">
        <v>66.661</v>
      </c>
      <c r="J267">
        <v>28.134</v>
      </c>
      <c r="K267">
        <v>0.6</v>
      </c>
      <c r="M267" t="s">
        <v>7845</v>
      </c>
      <c r="N267">
        <v>2361.657</v>
      </c>
      <c r="V267" t="s">
        <v>7856</v>
      </c>
      <c r="W267" t="s">
        <v>7839</v>
      </c>
      <c r="X267" t="s">
        <v>7840</v>
      </c>
      <c r="Y267">
        <v>66.661</v>
      </c>
      <c r="Z267" t="s">
        <v>8085</v>
      </c>
      <c r="AA267">
        <v>28.134</v>
      </c>
      <c r="AB267">
        <v>0.6</v>
      </c>
    </row>
    <row r="268" spans="1:28">
      <c r="A268" t="s">
        <v>2441</v>
      </c>
      <c r="B268" t="s">
        <v>2442</v>
      </c>
      <c r="C268" t="s">
        <v>2443</v>
      </c>
      <c r="D268" t="s">
        <v>7856</v>
      </c>
      <c r="E268" t="s">
        <v>7839</v>
      </c>
      <c r="F268" t="s">
        <v>7840</v>
      </c>
      <c r="G268" t="s">
        <v>7961</v>
      </c>
      <c r="H268" t="s">
        <v>9</v>
      </c>
      <c r="I268">
        <v>68.946</v>
      </c>
      <c r="J268">
        <v>32.3</v>
      </c>
      <c r="K268">
        <v>0.6</v>
      </c>
      <c r="M268" t="s">
        <v>7905</v>
      </c>
      <c r="N268">
        <v>84.883</v>
      </c>
      <c r="V268" t="s">
        <v>7856</v>
      </c>
      <c r="W268" t="s">
        <v>7839</v>
      </c>
      <c r="X268" t="s">
        <v>7840</v>
      </c>
      <c r="Y268">
        <v>68.946</v>
      </c>
      <c r="Z268" t="s">
        <v>7961</v>
      </c>
      <c r="AA268">
        <v>32.3</v>
      </c>
      <c r="AB268">
        <v>0.6</v>
      </c>
    </row>
    <row r="269" spans="1:28">
      <c r="A269" t="s">
        <v>1474</v>
      </c>
      <c r="B269" t="s">
        <v>1475</v>
      </c>
      <c r="C269" t="s">
        <v>1476</v>
      </c>
      <c r="D269" t="s">
        <v>7844</v>
      </c>
      <c r="E269" t="s">
        <v>7839</v>
      </c>
      <c r="F269" t="s">
        <v>7935</v>
      </c>
      <c r="G269" t="s">
        <v>7980</v>
      </c>
      <c r="H269" t="s">
        <v>9</v>
      </c>
      <c r="I269">
        <v>5.741</v>
      </c>
      <c r="J269">
        <v>33.942</v>
      </c>
      <c r="K269">
        <v>0.29</v>
      </c>
      <c r="M269" t="s">
        <v>8092</v>
      </c>
      <c r="N269">
        <v>8.731</v>
      </c>
      <c r="V269" t="s">
        <v>7844</v>
      </c>
      <c r="W269" t="s">
        <v>7839</v>
      </c>
      <c r="X269" t="s">
        <v>7935</v>
      </c>
      <c r="Y269">
        <v>5.741</v>
      </c>
      <c r="Z269" t="s">
        <v>7980</v>
      </c>
      <c r="AA269">
        <v>33.942</v>
      </c>
      <c r="AB269">
        <v>0.29</v>
      </c>
    </row>
    <row r="270" spans="1:28">
      <c r="A270" t="s">
        <v>413</v>
      </c>
      <c r="B270" t="s">
        <v>414</v>
      </c>
      <c r="C270" t="s">
        <v>415</v>
      </c>
      <c r="D270" t="s">
        <v>7850</v>
      </c>
      <c r="E270" t="s">
        <v>7839</v>
      </c>
      <c r="F270" t="s">
        <v>7840</v>
      </c>
      <c r="G270" t="s">
        <v>7914</v>
      </c>
      <c r="H270" t="s">
        <v>9</v>
      </c>
      <c r="I270">
        <v>10.745</v>
      </c>
      <c r="J270">
        <v>12.453</v>
      </c>
      <c r="K270">
        <v>0.35</v>
      </c>
      <c r="M270" t="s">
        <v>8034</v>
      </c>
      <c r="N270">
        <v>2150.698</v>
      </c>
      <c r="V270" t="s">
        <v>7850</v>
      </c>
      <c r="W270" t="s">
        <v>7839</v>
      </c>
      <c r="X270" t="s">
        <v>7840</v>
      </c>
      <c r="Y270">
        <v>10.745</v>
      </c>
      <c r="Z270" t="s">
        <v>7914</v>
      </c>
      <c r="AA270">
        <v>12.453</v>
      </c>
      <c r="AB270">
        <v>0.35</v>
      </c>
    </row>
    <row r="271" spans="1:28">
      <c r="A271" t="s">
        <v>1798</v>
      </c>
      <c r="B271" t="s">
        <v>1799</v>
      </c>
      <c r="C271" t="s">
        <v>1800</v>
      </c>
      <c r="D271" t="s">
        <v>7844</v>
      </c>
      <c r="E271" t="s">
        <v>7839</v>
      </c>
      <c r="F271" t="s">
        <v>7840</v>
      </c>
      <c r="G271" t="s">
        <v>7974</v>
      </c>
      <c r="H271" t="s">
        <v>9</v>
      </c>
      <c r="I271">
        <v>200.627</v>
      </c>
      <c r="J271">
        <v>11.532</v>
      </c>
      <c r="K271">
        <v>0.65</v>
      </c>
      <c r="M271" t="s">
        <v>7852</v>
      </c>
      <c r="N271">
        <v>5250.028</v>
      </c>
      <c r="V271" t="s">
        <v>7844</v>
      </c>
      <c r="W271" t="s">
        <v>7839</v>
      </c>
      <c r="X271" t="s">
        <v>7840</v>
      </c>
      <c r="Y271">
        <v>200.627</v>
      </c>
      <c r="Z271" t="s">
        <v>7974</v>
      </c>
      <c r="AA271">
        <v>11.532</v>
      </c>
      <c r="AB271">
        <v>0.65</v>
      </c>
    </row>
    <row r="272" spans="1:28">
      <c r="A272" t="s">
        <v>5208</v>
      </c>
      <c r="B272" t="s">
        <v>5209</v>
      </c>
      <c r="C272" t="s">
        <v>5210</v>
      </c>
      <c r="D272" t="s">
        <v>7850</v>
      </c>
      <c r="E272" t="s">
        <v>7839</v>
      </c>
      <c r="F272" t="s">
        <v>7840</v>
      </c>
      <c r="G272" t="s">
        <v>7854</v>
      </c>
      <c r="H272" t="s">
        <v>9</v>
      </c>
      <c r="I272">
        <v>193.926</v>
      </c>
      <c r="J272">
        <v>5.032</v>
      </c>
      <c r="K272">
        <v>0.35</v>
      </c>
      <c r="M272" t="s">
        <v>8085</v>
      </c>
      <c r="N272">
        <v>66.661</v>
      </c>
      <c r="V272" t="s">
        <v>7850</v>
      </c>
      <c r="W272" t="s">
        <v>7839</v>
      </c>
      <c r="X272" t="s">
        <v>7840</v>
      </c>
      <c r="Y272">
        <v>193.926</v>
      </c>
      <c r="Z272" t="s">
        <v>7854</v>
      </c>
      <c r="AA272">
        <v>5.032</v>
      </c>
      <c r="AB272">
        <v>0.35</v>
      </c>
    </row>
    <row r="273" spans="1:28">
      <c r="A273" t="s">
        <v>3222</v>
      </c>
      <c r="B273" t="s">
        <v>3223</v>
      </c>
      <c r="C273" t="s">
        <v>3224</v>
      </c>
      <c r="D273" t="s">
        <v>7862</v>
      </c>
      <c r="E273" t="s">
        <v>7839</v>
      </c>
      <c r="F273" t="s">
        <v>7888</v>
      </c>
      <c r="G273" t="s">
        <v>8034</v>
      </c>
      <c r="H273" t="s">
        <v>9</v>
      </c>
      <c r="I273">
        <v>5.992</v>
      </c>
      <c r="J273">
        <v>39.95</v>
      </c>
      <c r="K273">
        <v>0.04</v>
      </c>
      <c r="M273" t="s">
        <v>7961</v>
      </c>
      <c r="N273">
        <v>68.946</v>
      </c>
      <c r="V273" t="s">
        <v>7862</v>
      </c>
      <c r="W273" t="s">
        <v>7839</v>
      </c>
      <c r="X273" t="s">
        <v>7888</v>
      </c>
      <c r="Y273">
        <v>5.992</v>
      </c>
      <c r="Z273" t="s">
        <v>8034</v>
      </c>
      <c r="AA273">
        <v>39.95</v>
      </c>
      <c r="AB273">
        <v>0.04</v>
      </c>
    </row>
    <row r="274" spans="1:28">
      <c r="A274" t="s">
        <v>2461</v>
      </c>
      <c r="B274" t="s">
        <v>2462</v>
      </c>
      <c r="C274" t="s">
        <v>2463</v>
      </c>
      <c r="D274" t="s">
        <v>7850</v>
      </c>
      <c r="E274" t="s">
        <v>7839</v>
      </c>
      <c r="F274" t="s">
        <v>7840</v>
      </c>
      <c r="G274" t="s">
        <v>8092</v>
      </c>
      <c r="H274" t="s">
        <v>9</v>
      </c>
      <c r="I274">
        <v>20.419</v>
      </c>
      <c r="J274">
        <v>10.092</v>
      </c>
      <c r="K274">
        <v>0.39</v>
      </c>
      <c r="M274" t="s">
        <v>7980</v>
      </c>
      <c r="N274">
        <v>5.741</v>
      </c>
      <c r="V274" t="s">
        <v>7850</v>
      </c>
      <c r="W274" t="s">
        <v>7839</v>
      </c>
      <c r="X274" t="s">
        <v>7840</v>
      </c>
      <c r="Y274">
        <v>20.419</v>
      </c>
      <c r="Z274" t="s">
        <v>8092</v>
      </c>
      <c r="AA274">
        <v>10.092</v>
      </c>
      <c r="AB274">
        <v>0.39</v>
      </c>
    </row>
    <row r="275" spans="1:28">
      <c r="A275" t="s">
        <v>942</v>
      </c>
      <c r="B275" t="s">
        <v>943</v>
      </c>
      <c r="C275" t="s">
        <v>944</v>
      </c>
      <c r="D275" t="s">
        <v>7844</v>
      </c>
      <c r="E275" t="s">
        <v>7839</v>
      </c>
      <c r="F275" t="s">
        <v>7888</v>
      </c>
      <c r="G275" t="s">
        <v>7941</v>
      </c>
      <c r="H275" t="s">
        <v>9</v>
      </c>
      <c r="I275">
        <v>161.236</v>
      </c>
      <c r="J275">
        <v>4.715</v>
      </c>
      <c r="K275">
        <v>0.18</v>
      </c>
      <c r="M275" t="s">
        <v>7914</v>
      </c>
      <c r="N275">
        <v>10.745</v>
      </c>
      <c r="V275" t="s">
        <v>7844</v>
      </c>
      <c r="W275" t="s">
        <v>7839</v>
      </c>
      <c r="X275" t="s">
        <v>7888</v>
      </c>
      <c r="Y275">
        <v>161.236</v>
      </c>
      <c r="Z275" t="s">
        <v>7941</v>
      </c>
      <c r="AA275">
        <v>4.715</v>
      </c>
      <c r="AB275">
        <v>0.18</v>
      </c>
    </row>
    <row r="276" spans="1:28">
      <c r="A276" t="s">
        <v>3499</v>
      </c>
      <c r="B276" t="s">
        <v>3500</v>
      </c>
      <c r="C276" t="s">
        <v>3501</v>
      </c>
      <c r="D276" t="s">
        <v>7847</v>
      </c>
      <c r="E276" t="s">
        <v>7839</v>
      </c>
      <c r="F276" t="s">
        <v>7840</v>
      </c>
      <c r="G276" t="s">
        <v>7933</v>
      </c>
      <c r="H276" t="s">
        <v>9</v>
      </c>
      <c r="I276">
        <v>10.039</v>
      </c>
      <c r="J276">
        <v>79.649</v>
      </c>
      <c r="K276">
        <v>0.48</v>
      </c>
      <c r="M276" t="s">
        <v>7974</v>
      </c>
      <c r="N276">
        <v>200.627</v>
      </c>
      <c r="V276" t="s">
        <v>7847</v>
      </c>
      <c r="W276" t="s">
        <v>7839</v>
      </c>
      <c r="X276" t="s">
        <v>7840</v>
      </c>
      <c r="Y276">
        <v>10.039</v>
      </c>
      <c r="Z276" t="s">
        <v>7933</v>
      </c>
      <c r="AA276">
        <v>79.649</v>
      </c>
      <c r="AB276">
        <v>0.48</v>
      </c>
    </row>
    <row r="277" spans="1:28">
      <c r="A277" t="s">
        <v>3130</v>
      </c>
      <c r="B277" t="s">
        <v>3131</v>
      </c>
      <c r="C277" t="s">
        <v>3132</v>
      </c>
      <c r="D277" t="s">
        <v>7840</v>
      </c>
      <c r="E277" t="s">
        <v>7839</v>
      </c>
      <c r="F277" t="s">
        <v>7888</v>
      </c>
      <c r="G277" t="s">
        <v>7960</v>
      </c>
      <c r="H277" t="s">
        <v>9</v>
      </c>
      <c r="I277">
        <v>139.312</v>
      </c>
      <c r="J277">
        <v>99.809</v>
      </c>
      <c r="K277">
        <v>0.25</v>
      </c>
      <c r="M277" t="s">
        <v>7854</v>
      </c>
      <c r="N277">
        <v>193.926</v>
      </c>
      <c r="V277" t="s">
        <v>7840</v>
      </c>
      <c r="W277" t="s">
        <v>7839</v>
      </c>
      <c r="X277" t="s">
        <v>7888</v>
      </c>
      <c r="Y277">
        <v>139.312</v>
      </c>
      <c r="Z277" t="s">
        <v>7960</v>
      </c>
      <c r="AA277">
        <v>99.809</v>
      </c>
      <c r="AB277">
        <v>0.25</v>
      </c>
    </row>
    <row r="278" spans="1:28">
      <c r="A278" t="s">
        <v>2997</v>
      </c>
      <c r="B278" t="s">
        <v>2998</v>
      </c>
      <c r="C278" t="s">
        <v>2999</v>
      </c>
      <c r="D278" t="s">
        <v>7850</v>
      </c>
      <c r="E278" t="s">
        <v>7839</v>
      </c>
      <c r="F278" t="s">
        <v>7840</v>
      </c>
      <c r="G278" t="s">
        <v>7854</v>
      </c>
      <c r="H278" t="s">
        <v>9</v>
      </c>
      <c r="I278">
        <v>372.414</v>
      </c>
      <c r="J278">
        <v>11.374</v>
      </c>
      <c r="K278">
        <v>0.35</v>
      </c>
      <c r="M278" t="s">
        <v>8034</v>
      </c>
      <c r="N278">
        <v>5.992</v>
      </c>
      <c r="V278" t="s">
        <v>7850</v>
      </c>
      <c r="W278" t="s">
        <v>7839</v>
      </c>
      <c r="X278" t="s">
        <v>7840</v>
      </c>
      <c r="Y278">
        <v>372.414</v>
      </c>
      <c r="Z278" t="s">
        <v>7854</v>
      </c>
      <c r="AA278">
        <v>11.374</v>
      </c>
      <c r="AB278">
        <v>0.35</v>
      </c>
    </row>
    <row r="279" spans="1:28">
      <c r="A279" t="s">
        <v>1480</v>
      </c>
      <c r="B279" t="s">
        <v>1481</v>
      </c>
      <c r="C279" t="s">
        <v>1482</v>
      </c>
      <c r="D279" t="s">
        <v>7844</v>
      </c>
      <c r="E279" t="s">
        <v>7839</v>
      </c>
      <c r="F279" t="s">
        <v>7853</v>
      </c>
      <c r="G279" t="s">
        <v>8075</v>
      </c>
      <c r="H279" t="s">
        <v>9</v>
      </c>
      <c r="I279">
        <v>9.968</v>
      </c>
      <c r="J279">
        <v>28.02</v>
      </c>
      <c r="K279">
        <v>0.2</v>
      </c>
      <c r="M279" t="s">
        <v>8092</v>
      </c>
      <c r="N279">
        <v>20.419</v>
      </c>
      <c r="V279" t="s">
        <v>7844</v>
      </c>
      <c r="W279" t="s">
        <v>7839</v>
      </c>
      <c r="X279" t="s">
        <v>7853</v>
      </c>
      <c r="Y279">
        <v>9.968</v>
      </c>
      <c r="Z279" t="s">
        <v>8075</v>
      </c>
      <c r="AA279">
        <v>28.02</v>
      </c>
      <c r="AB279">
        <v>0.2</v>
      </c>
    </row>
    <row r="280" spans="1:28">
      <c r="A280" t="s">
        <v>5185</v>
      </c>
      <c r="B280" t="s">
        <v>5186</v>
      </c>
      <c r="C280" t="s">
        <v>5187</v>
      </c>
      <c r="D280" t="s">
        <v>7850</v>
      </c>
      <c r="E280" t="s">
        <v>7839</v>
      </c>
      <c r="F280" t="s">
        <v>7935</v>
      </c>
      <c r="G280" t="s">
        <v>7907</v>
      </c>
      <c r="H280" t="s">
        <v>9</v>
      </c>
      <c r="I280">
        <v>248.025</v>
      </c>
      <c r="J280">
        <v>5.61</v>
      </c>
      <c r="K280">
        <v>0.2</v>
      </c>
      <c r="M280" t="s">
        <v>7941</v>
      </c>
      <c r="N280">
        <v>161.236</v>
      </c>
      <c r="V280" t="s">
        <v>7850</v>
      </c>
      <c r="W280" t="s">
        <v>7839</v>
      </c>
      <c r="X280" t="s">
        <v>7935</v>
      </c>
      <c r="Y280">
        <v>248.025</v>
      </c>
      <c r="Z280" t="s">
        <v>7907</v>
      </c>
      <c r="AA280">
        <v>5.61</v>
      </c>
      <c r="AB280">
        <v>0.2</v>
      </c>
    </row>
    <row r="281" spans="1:28">
      <c r="A281" t="s">
        <v>2775</v>
      </c>
      <c r="B281" t="s">
        <v>2776</v>
      </c>
      <c r="C281" t="s">
        <v>2777</v>
      </c>
      <c r="D281" t="s">
        <v>7844</v>
      </c>
      <c r="E281" t="s">
        <v>7839</v>
      </c>
      <c r="F281" t="s">
        <v>7840</v>
      </c>
      <c r="G281" t="s">
        <v>7974</v>
      </c>
      <c r="H281" t="s">
        <v>9</v>
      </c>
      <c r="I281">
        <v>890.742</v>
      </c>
      <c r="J281">
        <v>5.471</v>
      </c>
      <c r="K281">
        <v>0.49</v>
      </c>
      <c r="M281" t="s">
        <v>7933</v>
      </c>
      <c r="N281">
        <v>10.039</v>
      </c>
      <c r="V281" t="s">
        <v>7844</v>
      </c>
      <c r="W281" t="s">
        <v>7839</v>
      </c>
      <c r="X281" t="s">
        <v>7840</v>
      </c>
      <c r="Y281">
        <v>890.742</v>
      </c>
      <c r="Z281" t="s">
        <v>7974</v>
      </c>
      <c r="AA281">
        <v>5.471</v>
      </c>
      <c r="AB281">
        <v>0.49</v>
      </c>
    </row>
    <row r="282" spans="1:28">
      <c r="A282" t="s">
        <v>2005</v>
      </c>
      <c r="B282" t="s">
        <v>2006</v>
      </c>
      <c r="C282" t="s">
        <v>2007</v>
      </c>
      <c r="D282" t="s">
        <v>7844</v>
      </c>
      <c r="E282" t="s">
        <v>7839</v>
      </c>
      <c r="F282" t="s">
        <v>7853</v>
      </c>
      <c r="G282" t="s">
        <v>8002</v>
      </c>
      <c r="H282" t="s">
        <v>9</v>
      </c>
      <c r="I282">
        <v>139.175</v>
      </c>
      <c r="J282">
        <v>10.42</v>
      </c>
      <c r="K282">
        <v>0.35</v>
      </c>
      <c r="M282" t="s">
        <v>7960</v>
      </c>
      <c r="N282">
        <v>139.312</v>
      </c>
      <c r="V282" t="s">
        <v>7844</v>
      </c>
      <c r="W282" t="s">
        <v>7839</v>
      </c>
      <c r="X282" t="s">
        <v>7853</v>
      </c>
      <c r="Y282">
        <v>139.175</v>
      </c>
      <c r="Z282" t="s">
        <v>8002</v>
      </c>
      <c r="AA282">
        <v>10.42</v>
      </c>
      <c r="AB282">
        <v>0.35</v>
      </c>
    </row>
    <row r="283" spans="1:28">
      <c r="A283" t="s">
        <v>1876</v>
      </c>
      <c r="B283" t="s">
        <v>1877</v>
      </c>
      <c r="C283" t="s">
        <v>1878</v>
      </c>
      <c r="D283" t="s">
        <v>7850</v>
      </c>
      <c r="E283" t="s">
        <v>7839</v>
      </c>
      <c r="F283" t="s">
        <v>7853</v>
      </c>
      <c r="G283" t="s">
        <v>7941</v>
      </c>
      <c r="H283" t="s">
        <v>9</v>
      </c>
      <c r="I283">
        <v>222.539</v>
      </c>
      <c r="J283">
        <v>14.242</v>
      </c>
      <c r="K283">
        <v>0.42</v>
      </c>
      <c r="M283" t="s">
        <v>7854</v>
      </c>
      <c r="N283">
        <v>372.414</v>
      </c>
      <c r="V283" t="s">
        <v>7850</v>
      </c>
      <c r="W283" t="s">
        <v>7839</v>
      </c>
      <c r="X283" t="s">
        <v>7853</v>
      </c>
      <c r="Y283">
        <v>222.539</v>
      </c>
      <c r="Z283" t="s">
        <v>7941</v>
      </c>
      <c r="AA283">
        <v>14.242</v>
      </c>
      <c r="AB283">
        <v>0.42</v>
      </c>
    </row>
    <row r="284" spans="1:28">
      <c r="A284" t="s">
        <v>210</v>
      </c>
      <c r="B284" t="s">
        <v>211</v>
      </c>
      <c r="C284" t="s">
        <v>212</v>
      </c>
      <c r="D284" t="s">
        <v>7862</v>
      </c>
      <c r="E284" t="s">
        <v>7839</v>
      </c>
      <c r="F284" t="s">
        <v>7840</v>
      </c>
      <c r="G284" t="s">
        <v>7852</v>
      </c>
      <c r="H284" t="s">
        <v>9</v>
      </c>
      <c r="I284">
        <v>2231.183</v>
      </c>
      <c r="J284">
        <v>6.316</v>
      </c>
      <c r="K284">
        <v>0.3</v>
      </c>
      <c r="M284" t="s">
        <v>8075</v>
      </c>
      <c r="N284">
        <v>9.968</v>
      </c>
      <c r="V284" t="s">
        <v>7862</v>
      </c>
      <c r="W284" t="s">
        <v>7839</v>
      </c>
      <c r="X284" t="s">
        <v>7840</v>
      </c>
      <c r="Y284">
        <v>2231.183</v>
      </c>
      <c r="Z284" t="s">
        <v>7852</v>
      </c>
      <c r="AA284">
        <v>6.316</v>
      </c>
      <c r="AB284">
        <v>0.3</v>
      </c>
    </row>
    <row r="285" spans="1:28">
      <c r="A285" t="s">
        <v>719</v>
      </c>
      <c r="B285" t="s">
        <v>720</v>
      </c>
      <c r="C285" t="s">
        <v>721</v>
      </c>
      <c r="D285" t="s">
        <v>7850</v>
      </c>
      <c r="E285" t="s">
        <v>7839</v>
      </c>
      <c r="F285" t="s">
        <v>7840</v>
      </c>
      <c r="G285" t="s">
        <v>8085</v>
      </c>
      <c r="H285" t="s">
        <v>9</v>
      </c>
      <c r="I285">
        <v>460.813</v>
      </c>
      <c r="J285">
        <v>16.213</v>
      </c>
      <c r="K285">
        <v>0.39</v>
      </c>
      <c r="M285" t="s">
        <v>7907</v>
      </c>
      <c r="N285">
        <v>248.025</v>
      </c>
      <c r="V285" t="s">
        <v>7850</v>
      </c>
      <c r="W285" t="s">
        <v>7839</v>
      </c>
      <c r="X285" t="s">
        <v>7840</v>
      </c>
      <c r="Y285">
        <v>460.813</v>
      </c>
      <c r="Z285" t="s">
        <v>8085</v>
      </c>
      <c r="AA285">
        <v>16.213</v>
      </c>
      <c r="AB285">
        <v>0.39</v>
      </c>
    </row>
    <row r="286" spans="1:28">
      <c r="A286" t="s">
        <v>2855</v>
      </c>
      <c r="B286" t="s">
        <v>2856</v>
      </c>
      <c r="C286" t="s">
        <v>2857</v>
      </c>
      <c r="D286" t="s">
        <v>7850</v>
      </c>
      <c r="E286" t="s">
        <v>7839</v>
      </c>
      <c r="F286" t="s">
        <v>7935</v>
      </c>
      <c r="G286" t="s">
        <v>7854</v>
      </c>
      <c r="H286" t="s">
        <v>9</v>
      </c>
      <c r="I286">
        <v>8044.401</v>
      </c>
      <c r="J286">
        <v>4.068</v>
      </c>
      <c r="K286">
        <v>0.3</v>
      </c>
      <c r="M286" t="s">
        <v>7974</v>
      </c>
      <c r="N286">
        <v>890.742</v>
      </c>
      <c r="V286" t="s">
        <v>7850</v>
      </c>
      <c r="W286" t="s">
        <v>7839</v>
      </c>
      <c r="X286" t="s">
        <v>7935</v>
      </c>
      <c r="Y286">
        <v>8044.401</v>
      </c>
      <c r="Z286" t="s">
        <v>7854</v>
      </c>
      <c r="AA286">
        <v>4.068</v>
      </c>
      <c r="AB286">
        <v>0.3</v>
      </c>
    </row>
    <row r="287" spans="1:28">
      <c r="A287" t="s">
        <v>1372</v>
      </c>
      <c r="B287" t="s">
        <v>1373</v>
      </c>
      <c r="C287" t="s">
        <v>1374</v>
      </c>
      <c r="D287" t="s">
        <v>7847</v>
      </c>
      <c r="E287" t="s">
        <v>7839</v>
      </c>
      <c r="F287" t="s">
        <v>7840</v>
      </c>
      <c r="G287" t="s">
        <v>8072</v>
      </c>
      <c r="H287" t="s">
        <v>9</v>
      </c>
      <c r="I287">
        <v>10.032</v>
      </c>
      <c r="J287">
        <v>25.714</v>
      </c>
      <c r="K287">
        <v>0.55</v>
      </c>
      <c r="M287" t="s">
        <v>8002</v>
      </c>
      <c r="N287">
        <v>139.175</v>
      </c>
      <c r="V287" t="s">
        <v>7847</v>
      </c>
      <c r="W287" t="s">
        <v>7839</v>
      </c>
      <c r="X287" t="s">
        <v>7840</v>
      </c>
      <c r="Y287">
        <v>10.032</v>
      </c>
      <c r="Z287" t="s">
        <v>8072</v>
      </c>
      <c r="AA287">
        <v>25.714</v>
      </c>
      <c r="AB287">
        <v>0.55</v>
      </c>
    </row>
    <row r="288" spans="1:28">
      <c r="A288" t="s">
        <v>1137</v>
      </c>
      <c r="B288" t="s">
        <v>1138</v>
      </c>
      <c r="C288" t="s">
        <v>1139</v>
      </c>
      <c r="D288" t="s">
        <v>7850</v>
      </c>
      <c r="E288" t="s">
        <v>7839</v>
      </c>
      <c r="F288" t="s">
        <v>7853</v>
      </c>
      <c r="G288" t="s">
        <v>7995</v>
      </c>
      <c r="H288" t="s">
        <v>9</v>
      </c>
      <c r="I288">
        <v>6.052</v>
      </c>
      <c r="J288">
        <v>22.513</v>
      </c>
      <c r="K288">
        <v>0.55</v>
      </c>
      <c r="M288" t="s">
        <v>7941</v>
      </c>
      <c r="N288">
        <v>222.539</v>
      </c>
      <c r="V288" t="s">
        <v>7850</v>
      </c>
      <c r="W288" t="s">
        <v>7839</v>
      </c>
      <c r="X288" t="s">
        <v>7853</v>
      </c>
      <c r="Y288">
        <v>6.052</v>
      </c>
      <c r="Z288" t="s">
        <v>7995</v>
      </c>
      <c r="AA288">
        <v>22.513</v>
      </c>
      <c r="AB288">
        <v>0.55</v>
      </c>
    </row>
    <row r="289" spans="1:28">
      <c r="A289" t="s">
        <v>2273</v>
      </c>
      <c r="B289" t="s">
        <v>2274</v>
      </c>
      <c r="C289" t="s">
        <v>2275</v>
      </c>
      <c r="D289" t="s">
        <v>7847</v>
      </c>
      <c r="E289" t="s">
        <v>7839</v>
      </c>
      <c r="F289" t="s">
        <v>7840</v>
      </c>
      <c r="G289" t="s">
        <v>7987</v>
      </c>
      <c r="H289" t="s">
        <v>9</v>
      </c>
      <c r="I289">
        <v>214.16</v>
      </c>
      <c r="J289">
        <v>34.024</v>
      </c>
      <c r="K289">
        <v>0.4</v>
      </c>
      <c r="M289" t="s">
        <v>7852</v>
      </c>
      <c r="N289">
        <v>2231.183</v>
      </c>
      <c r="V289" t="s">
        <v>7847</v>
      </c>
      <c r="W289" t="s">
        <v>7839</v>
      </c>
      <c r="X289" t="s">
        <v>7840</v>
      </c>
      <c r="Y289">
        <v>214.16</v>
      </c>
      <c r="Z289" t="s">
        <v>7987</v>
      </c>
      <c r="AA289">
        <v>34.024</v>
      </c>
      <c r="AB289">
        <v>0.4</v>
      </c>
    </row>
    <row r="290" spans="1:28">
      <c r="A290" t="s">
        <v>1623</v>
      </c>
      <c r="B290" t="s">
        <v>1624</v>
      </c>
      <c r="C290" t="s">
        <v>1625</v>
      </c>
      <c r="D290" t="s">
        <v>7844</v>
      </c>
      <c r="E290" t="s">
        <v>7839</v>
      </c>
      <c r="F290" t="s">
        <v>7935</v>
      </c>
      <c r="G290" t="s">
        <v>8026</v>
      </c>
      <c r="H290" t="s">
        <v>9</v>
      </c>
      <c r="I290">
        <v>371.47</v>
      </c>
      <c r="J290">
        <v>4.174</v>
      </c>
      <c r="K290">
        <v>0.1</v>
      </c>
      <c r="M290" t="s">
        <v>8085</v>
      </c>
      <c r="N290">
        <v>460.813</v>
      </c>
      <c r="V290" t="s">
        <v>7844</v>
      </c>
      <c r="W290" t="s">
        <v>7839</v>
      </c>
      <c r="X290" t="s">
        <v>7935</v>
      </c>
      <c r="Y290">
        <v>371.47</v>
      </c>
      <c r="Z290" t="s">
        <v>8026</v>
      </c>
      <c r="AA290">
        <v>4.174</v>
      </c>
      <c r="AB290">
        <v>0.1</v>
      </c>
    </row>
    <row r="291" spans="1:28">
      <c r="A291" t="s">
        <v>2270</v>
      </c>
      <c r="B291" t="s">
        <v>2271</v>
      </c>
      <c r="C291" t="s">
        <v>2272</v>
      </c>
      <c r="D291" t="s">
        <v>7847</v>
      </c>
      <c r="E291" t="s">
        <v>7839</v>
      </c>
      <c r="F291" t="s">
        <v>7840</v>
      </c>
      <c r="G291" t="s">
        <v>7854</v>
      </c>
      <c r="H291" t="s">
        <v>9</v>
      </c>
      <c r="I291">
        <v>309.669</v>
      </c>
      <c r="J291">
        <v>97.901</v>
      </c>
      <c r="K291">
        <v>0.28</v>
      </c>
      <c r="M291" t="s">
        <v>7854</v>
      </c>
      <c r="N291">
        <v>8044.401</v>
      </c>
      <c r="V291" t="s">
        <v>7847</v>
      </c>
      <c r="W291" t="s">
        <v>7839</v>
      </c>
      <c r="X291" t="s">
        <v>7840</v>
      </c>
      <c r="Y291">
        <v>309.669</v>
      </c>
      <c r="Z291" t="s">
        <v>7854</v>
      </c>
      <c r="AA291">
        <v>97.901</v>
      </c>
      <c r="AB291">
        <v>0.28</v>
      </c>
    </row>
    <row r="292" spans="1:28">
      <c r="A292" t="s">
        <v>5417</v>
      </c>
      <c r="B292" t="s">
        <v>5418</v>
      </c>
      <c r="C292" t="s">
        <v>5419</v>
      </c>
      <c r="D292" t="s">
        <v>7859</v>
      </c>
      <c r="E292" t="s">
        <v>7839</v>
      </c>
      <c r="F292" t="s">
        <v>7840</v>
      </c>
      <c r="G292" t="s">
        <v>7990</v>
      </c>
      <c r="H292" t="s">
        <v>9</v>
      </c>
      <c r="I292">
        <v>479.267</v>
      </c>
      <c r="J292">
        <v>23.158</v>
      </c>
      <c r="K292">
        <v>0.59</v>
      </c>
      <c r="M292" t="s">
        <v>8072</v>
      </c>
      <c r="N292">
        <v>10.032</v>
      </c>
      <c r="V292" t="s">
        <v>7859</v>
      </c>
      <c r="W292" t="s">
        <v>7839</v>
      </c>
      <c r="X292" t="s">
        <v>7840</v>
      </c>
      <c r="Y292">
        <v>479.267</v>
      </c>
      <c r="Z292" t="s">
        <v>7990</v>
      </c>
      <c r="AA292">
        <v>23.158</v>
      </c>
      <c r="AB292">
        <v>0.59</v>
      </c>
    </row>
    <row r="293" spans="1:28">
      <c r="A293" t="s">
        <v>3517</v>
      </c>
      <c r="B293" t="s">
        <v>3518</v>
      </c>
      <c r="C293" t="s">
        <v>3519</v>
      </c>
      <c r="D293" t="s">
        <v>7844</v>
      </c>
      <c r="E293" t="s">
        <v>7839</v>
      </c>
      <c r="F293" t="s">
        <v>7888</v>
      </c>
      <c r="G293" t="s">
        <v>7988</v>
      </c>
      <c r="H293" t="s">
        <v>9</v>
      </c>
      <c r="I293">
        <v>65.118</v>
      </c>
      <c r="J293">
        <v>27.027</v>
      </c>
      <c r="K293">
        <v>0.3</v>
      </c>
      <c r="M293" t="s">
        <v>7995</v>
      </c>
      <c r="N293">
        <v>6.052</v>
      </c>
      <c r="V293" t="s">
        <v>7844</v>
      </c>
      <c r="W293" t="s">
        <v>7839</v>
      </c>
      <c r="X293" t="s">
        <v>7888</v>
      </c>
      <c r="Y293">
        <v>65.118</v>
      </c>
      <c r="Z293" t="s">
        <v>7988</v>
      </c>
      <c r="AA293">
        <v>27.027</v>
      </c>
      <c r="AB293">
        <v>0.3</v>
      </c>
    </row>
    <row r="294" spans="1:28">
      <c r="A294" t="s">
        <v>1561</v>
      </c>
      <c r="B294" t="s">
        <v>1562</v>
      </c>
      <c r="C294" t="s">
        <v>1563</v>
      </c>
      <c r="D294" t="s">
        <v>7850</v>
      </c>
      <c r="E294" t="s">
        <v>7839</v>
      </c>
      <c r="F294" t="s">
        <v>7840</v>
      </c>
      <c r="G294" t="s">
        <v>7908</v>
      </c>
      <c r="H294" t="s">
        <v>9</v>
      </c>
      <c r="I294">
        <v>386.055</v>
      </c>
      <c r="J294">
        <v>4.149</v>
      </c>
      <c r="K294">
        <v>0.22</v>
      </c>
      <c r="M294" t="s">
        <v>7987</v>
      </c>
      <c r="N294">
        <v>214.16</v>
      </c>
      <c r="V294" t="s">
        <v>7850</v>
      </c>
      <c r="W294" t="s">
        <v>7839</v>
      </c>
      <c r="X294" t="s">
        <v>7840</v>
      </c>
      <c r="Y294">
        <v>386.055</v>
      </c>
      <c r="Z294" t="s">
        <v>7908</v>
      </c>
      <c r="AA294">
        <v>4.149</v>
      </c>
      <c r="AB294">
        <v>0.22</v>
      </c>
    </row>
    <row r="295" spans="1:28">
      <c r="A295" t="s">
        <v>4239</v>
      </c>
      <c r="B295" t="s">
        <v>4240</v>
      </c>
      <c r="C295" t="s">
        <v>4241</v>
      </c>
      <c r="D295" t="s">
        <v>7844</v>
      </c>
      <c r="E295" t="s">
        <v>7839</v>
      </c>
      <c r="F295" t="s">
        <v>7888</v>
      </c>
      <c r="G295" t="s">
        <v>8106</v>
      </c>
      <c r="H295" t="s">
        <v>9</v>
      </c>
      <c r="I295">
        <v>12.13</v>
      </c>
      <c r="J295">
        <v>35.844</v>
      </c>
      <c r="K295">
        <v>0.55</v>
      </c>
      <c r="M295" t="s">
        <v>8026</v>
      </c>
      <c r="N295">
        <v>371.47</v>
      </c>
      <c r="V295" t="s">
        <v>7844</v>
      </c>
      <c r="W295" t="s">
        <v>7839</v>
      </c>
      <c r="X295" t="s">
        <v>7888</v>
      </c>
      <c r="Y295">
        <v>12.13</v>
      </c>
      <c r="Z295" t="s">
        <v>8106</v>
      </c>
      <c r="AA295">
        <v>35.844</v>
      </c>
      <c r="AB295">
        <v>0.55</v>
      </c>
    </row>
    <row r="296" spans="1:28">
      <c r="A296" t="s">
        <v>4074</v>
      </c>
      <c r="B296" t="s">
        <v>4075</v>
      </c>
      <c r="C296" t="s">
        <v>4076</v>
      </c>
      <c r="D296" t="s">
        <v>7862</v>
      </c>
      <c r="E296" t="s">
        <v>7839</v>
      </c>
      <c r="F296" t="s">
        <v>7888</v>
      </c>
      <c r="G296" t="s">
        <v>7852</v>
      </c>
      <c r="H296" t="s">
        <v>9</v>
      </c>
      <c r="I296">
        <v>10825.611</v>
      </c>
      <c r="J296">
        <v>22.076</v>
      </c>
      <c r="K296">
        <v>0.03</v>
      </c>
      <c r="M296" t="s">
        <v>7854</v>
      </c>
      <c r="N296">
        <v>309.669</v>
      </c>
      <c r="V296" t="s">
        <v>7862</v>
      </c>
      <c r="W296" t="s">
        <v>7839</v>
      </c>
      <c r="X296" t="s">
        <v>7888</v>
      </c>
      <c r="Y296">
        <v>10825.611</v>
      </c>
      <c r="Z296" t="s">
        <v>7852</v>
      </c>
      <c r="AA296">
        <v>22.076</v>
      </c>
      <c r="AB296">
        <v>0.03</v>
      </c>
    </row>
    <row r="297" spans="1:28">
      <c r="A297" t="s">
        <v>2503</v>
      </c>
      <c r="B297" t="s">
        <v>2504</v>
      </c>
      <c r="C297" t="s">
        <v>2505</v>
      </c>
      <c r="D297" t="s">
        <v>7847</v>
      </c>
      <c r="E297" t="s">
        <v>7839</v>
      </c>
      <c r="F297" t="s">
        <v>7840</v>
      </c>
      <c r="G297" t="s">
        <v>7970</v>
      </c>
      <c r="H297" t="s">
        <v>9</v>
      </c>
      <c r="I297">
        <v>34.75</v>
      </c>
      <c r="J297">
        <v>38.837</v>
      </c>
      <c r="K297">
        <v>0.55</v>
      </c>
      <c r="M297" t="s">
        <v>7990</v>
      </c>
      <c r="N297">
        <v>479.267</v>
      </c>
      <c r="V297" t="s">
        <v>7847</v>
      </c>
      <c r="W297" t="s">
        <v>7839</v>
      </c>
      <c r="X297" t="s">
        <v>7840</v>
      </c>
      <c r="Y297">
        <v>34.75</v>
      </c>
      <c r="Z297" t="s">
        <v>7970</v>
      </c>
      <c r="AA297">
        <v>38.837</v>
      </c>
      <c r="AB297">
        <v>0.55</v>
      </c>
    </row>
    <row r="298" spans="1:28">
      <c r="A298" t="s">
        <v>1762</v>
      </c>
      <c r="B298" t="s">
        <v>1763</v>
      </c>
      <c r="C298" t="s">
        <v>1764</v>
      </c>
      <c r="D298" t="s">
        <v>7862</v>
      </c>
      <c r="E298" t="s">
        <v>7839</v>
      </c>
      <c r="F298" t="s">
        <v>7840</v>
      </c>
      <c r="G298" t="s">
        <v>7845</v>
      </c>
      <c r="H298" t="s">
        <v>9</v>
      </c>
      <c r="I298">
        <v>84.245</v>
      </c>
      <c r="J298">
        <v>41.803</v>
      </c>
      <c r="K298">
        <v>0.65</v>
      </c>
      <c r="M298" t="s">
        <v>7988</v>
      </c>
      <c r="N298">
        <v>65.118</v>
      </c>
      <c r="V298" t="s">
        <v>7862</v>
      </c>
      <c r="W298" t="s">
        <v>7839</v>
      </c>
      <c r="X298" t="s">
        <v>7840</v>
      </c>
      <c r="Y298">
        <v>84.245</v>
      </c>
      <c r="Z298" t="s">
        <v>7845</v>
      </c>
      <c r="AA298">
        <v>41.803</v>
      </c>
      <c r="AB298">
        <v>0.65</v>
      </c>
    </row>
    <row r="299" spans="1:28">
      <c r="A299" t="s">
        <v>2203</v>
      </c>
      <c r="B299" t="s">
        <v>2204</v>
      </c>
      <c r="C299" t="s">
        <v>2205</v>
      </c>
      <c r="D299" t="s">
        <v>7847</v>
      </c>
      <c r="E299" t="s">
        <v>7839</v>
      </c>
      <c r="F299" t="s">
        <v>7888</v>
      </c>
      <c r="G299" t="s">
        <v>7939</v>
      </c>
      <c r="H299" t="s">
        <v>9</v>
      </c>
      <c r="I299">
        <v>605.261</v>
      </c>
      <c r="J299">
        <v>16.251</v>
      </c>
      <c r="K299">
        <v>0.2</v>
      </c>
      <c r="M299" t="s">
        <v>7908</v>
      </c>
      <c r="N299">
        <v>386.055</v>
      </c>
      <c r="V299" t="s">
        <v>7847</v>
      </c>
      <c r="W299" t="s">
        <v>7839</v>
      </c>
      <c r="X299" t="s">
        <v>7888</v>
      </c>
      <c r="Y299">
        <v>605.261</v>
      </c>
      <c r="Z299" t="s">
        <v>7939</v>
      </c>
      <c r="AA299">
        <v>16.251</v>
      </c>
      <c r="AB299">
        <v>0.2</v>
      </c>
    </row>
    <row r="300" spans="1:28">
      <c r="A300" t="s">
        <v>2223</v>
      </c>
      <c r="B300" t="s">
        <v>2224</v>
      </c>
      <c r="C300" t="s">
        <v>2225</v>
      </c>
      <c r="D300" t="s">
        <v>7847</v>
      </c>
      <c r="E300" t="s">
        <v>7848</v>
      </c>
      <c r="F300" t="s">
        <v>7840</v>
      </c>
      <c r="G300" t="s">
        <v>7861</v>
      </c>
      <c r="H300" t="s">
        <v>9</v>
      </c>
      <c r="I300">
        <v>94.773</v>
      </c>
      <c r="K300">
        <v>0.23</v>
      </c>
      <c r="M300" t="s">
        <v>8106</v>
      </c>
      <c r="N300">
        <v>12.13</v>
      </c>
      <c r="V300" t="s">
        <v>7847</v>
      </c>
      <c r="W300" t="s">
        <v>7848</v>
      </c>
      <c r="X300" t="s">
        <v>7840</v>
      </c>
      <c r="Y300">
        <v>94.773</v>
      </c>
      <c r="Z300" t="s">
        <v>7861</v>
      </c>
      <c r="AB300">
        <v>0.23</v>
      </c>
    </row>
    <row r="301" spans="1:28">
      <c r="A301" t="s">
        <v>1086</v>
      </c>
      <c r="B301" t="s">
        <v>1087</v>
      </c>
      <c r="C301" t="s">
        <v>1088</v>
      </c>
      <c r="D301" t="s">
        <v>7856</v>
      </c>
      <c r="E301" t="s">
        <v>7839</v>
      </c>
      <c r="F301" t="s">
        <v>7840</v>
      </c>
      <c r="G301" t="s">
        <v>7974</v>
      </c>
      <c r="H301" t="s">
        <v>9</v>
      </c>
      <c r="I301">
        <v>1849.623</v>
      </c>
      <c r="J301">
        <v>17.676</v>
      </c>
      <c r="K301">
        <v>0.85</v>
      </c>
      <c r="M301" t="s">
        <v>7852</v>
      </c>
      <c r="N301">
        <v>10825.611</v>
      </c>
      <c r="V301" t="s">
        <v>7856</v>
      </c>
      <c r="W301" t="s">
        <v>7839</v>
      </c>
      <c r="X301" t="s">
        <v>7840</v>
      </c>
      <c r="Y301">
        <v>1849.623</v>
      </c>
      <c r="Z301" t="s">
        <v>7974</v>
      </c>
      <c r="AA301">
        <v>17.676</v>
      </c>
      <c r="AB301">
        <v>0.85</v>
      </c>
    </row>
    <row r="302" spans="1:28">
      <c r="A302" t="s">
        <v>4047</v>
      </c>
      <c r="B302" t="s">
        <v>4048</v>
      </c>
      <c r="C302" t="s">
        <v>4049</v>
      </c>
      <c r="D302" t="s">
        <v>7862</v>
      </c>
      <c r="E302" t="s">
        <v>7839</v>
      </c>
      <c r="F302" t="s">
        <v>7888</v>
      </c>
      <c r="G302" t="s">
        <v>8053</v>
      </c>
      <c r="H302" t="s">
        <v>9</v>
      </c>
      <c r="I302">
        <v>10172.235</v>
      </c>
      <c r="J302">
        <v>22.028</v>
      </c>
      <c r="K302">
        <v>0.02</v>
      </c>
      <c r="M302" t="s">
        <v>7970</v>
      </c>
      <c r="N302">
        <v>34.75</v>
      </c>
      <c r="V302" t="s">
        <v>7862</v>
      </c>
      <c r="W302" t="s">
        <v>7839</v>
      </c>
      <c r="X302" t="s">
        <v>7888</v>
      </c>
      <c r="Y302">
        <v>10172.235</v>
      </c>
      <c r="Z302" t="s">
        <v>8053</v>
      </c>
      <c r="AA302">
        <v>22.028</v>
      </c>
      <c r="AB302">
        <v>0.02</v>
      </c>
    </row>
    <row r="303" spans="1:28">
      <c r="A303" t="s">
        <v>4683</v>
      </c>
      <c r="B303" t="s">
        <v>4684</v>
      </c>
      <c r="C303" t="s">
        <v>4685</v>
      </c>
      <c r="D303" t="s">
        <v>7850</v>
      </c>
      <c r="E303" t="s">
        <v>7839</v>
      </c>
      <c r="F303" t="s">
        <v>7935</v>
      </c>
      <c r="G303" t="s">
        <v>7885</v>
      </c>
      <c r="H303" t="s">
        <v>9</v>
      </c>
      <c r="I303">
        <v>1612.345</v>
      </c>
      <c r="J303">
        <v>12.5</v>
      </c>
      <c r="K303">
        <v>0.55</v>
      </c>
      <c r="M303" t="s">
        <v>7845</v>
      </c>
      <c r="N303">
        <v>84.245</v>
      </c>
      <c r="V303" t="s">
        <v>7850</v>
      </c>
      <c r="W303" t="s">
        <v>7839</v>
      </c>
      <c r="X303" t="s">
        <v>7935</v>
      </c>
      <c r="Y303">
        <v>1612.345</v>
      </c>
      <c r="Z303" t="s">
        <v>7885</v>
      </c>
      <c r="AA303">
        <v>12.5</v>
      </c>
      <c r="AB303">
        <v>0.55</v>
      </c>
    </row>
    <row r="304" spans="1:28">
      <c r="A304" t="s">
        <v>1089</v>
      </c>
      <c r="B304" t="s">
        <v>1090</v>
      </c>
      <c r="C304" t="s">
        <v>1091</v>
      </c>
      <c r="D304" t="s">
        <v>7856</v>
      </c>
      <c r="E304" t="s">
        <v>7839</v>
      </c>
      <c r="F304" t="s">
        <v>7840</v>
      </c>
      <c r="G304" t="s">
        <v>7943</v>
      </c>
      <c r="H304" t="s">
        <v>9</v>
      </c>
      <c r="I304">
        <v>2377.275</v>
      </c>
      <c r="J304">
        <v>10.525</v>
      </c>
      <c r="K304">
        <v>0.5</v>
      </c>
      <c r="M304" t="s">
        <v>7939</v>
      </c>
      <c r="N304">
        <v>605.261</v>
      </c>
      <c r="V304" t="s">
        <v>7856</v>
      </c>
      <c r="W304" t="s">
        <v>7839</v>
      </c>
      <c r="X304" t="s">
        <v>7840</v>
      </c>
      <c r="Y304">
        <v>2377.275</v>
      </c>
      <c r="Z304" t="s">
        <v>7943</v>
      </c>
      <c r="AA304">
        <v>10.525</v>
      </c>
      <c r="AB304">
        <v>0.5</v>
      </c>
    </row>
    <row r="305" spans="1:28">
      <c r="A305" t="s">
        <v>2261</v>
      </c>
      <c r="B305" t="s">
        <v>2262</v>
      </c>
      <c r="C305" t="s">
        <v>2263</v>
      </c>
      <c r="D305" t="s">
        <v>7844</v>
      </c>
      <c r="E305" t="s">
        <v>7839</v>
      </c>
      <c r="F305" t="s">
        <v>7840</v>
      </c>
      <c r="G305" t="s">
        <v>7854</v>
      </c>
      <c r="H305" t="s">
        <v>9</v>
      </c>
      <c r="I305">
        <v>42039.258</v>
      </c>
      <c r="J305">
        <v>1.593</v>
      </c>
      <c r="K305">
        <v>0.05</v>
      </c>
      <c r="M305" t="s">
        <v>7861</v>
      </c>
      <c r="N305">
        <v>94.773</v>
      </c>
      <c r="V305" t="s">
        <v>7844</v>
      </c>
      <c r="W305" t="s">
        <v>7839</v>
      </c>
      <c r="X305" t="s">
        <v>7840</v>
      </c>
      <c r="Y305">
        <v>42039.258</v>
      </c>
      <c r="Z305" t="s">
        <v>7854</v>
      </c>
      <c r="AA305">
        <v>1.593</v>
      </c>
      <c r="AB305">
        <v>0.05</v>
      </c>
    </row>
    <row r="306" spans="1:28">
      <c r="A306" t="s">
        <v>2155</v>
      </c>
      <c r="B306" t="s">
        <v>2156</v>
      </c>
      <c r="C306" t="s">
        <v>2157</v>
      </c>
      <c r="D306" t="s">
        <v>7844</v>
      </c>
      <c r="E306" t="s">
        <v>7839</v>
      </c>
      <c r="F306" t="s">
        <v>7840</v>
      </c>
      <c r="G306" t="s">
        <v>7926</v>
      </c>
      <c r="H306" t="s">
        <v>9</v>
      </c>
      <c r="I306">
        <v>20.522</v>
      </c>
      <c r="J306">
        <v>26.048</v>
      </c>
      <c r="K306">
        <v>0.4</v>
      </c>
      <c r="M306" t="s">
        <v>7974</v>
      </c>
      <c r="N306">
        <v>1849.623</v>
      </c>
      <c r="V306" t="s">
        <v>7844</v>
      </c>
      <c r="W306" t="s">
        <v>7839</v>
      </c>
      <c r="X306" t="s">
        <v>7840</v>
      </c>
      <c r="Y306">
        <v>20.522</v>
      </c>
      <c r="Z306" t="s">
        <v>7926</v>
      </c>
      <c r="AA306">
        <v>26.048</v>
      </c>
      <c r="AB306">
        <v>0.4</v>
      </c>
    </row>
    <row r="307" spans="1:28">
      <c r="A307" t="s">
        <v>875</v>
      </c>
      <c r="B307" t="s">
        <v>876</v>
      </c>
      <c r="C307" t="s">
        <v>877</v>
      </c>
      <c r="D307" t="s">
        <v>7862</v>
      </c>
      <c r="E307" t="s">
        <v>7839</v>
      </c>
      <c r="F307" t="s">
        <v>7888</v>
      </c>
      <c r="G307" t="s">
        <v>7895</v>
      </c>
      <c r="H307" t="s">
        <v>9</v>
      </c>
      <c r="I307">
        <v>25.635</v>
      </c>
      <c r="J307">
        <v>99.69</v>
      </c>
      <c r="K307">
        <v>0.3</v>
      </c>
      <c r="M307" t="s">
        <v>8053</v>
      </c>
      <c r="N307">
        <v>10172.235</v>
      </c>
      <c r="V307" t="s">
        <v>7862</v>
      </c>
      <c r="W307" t="s">
        <v>7839</v>
      </c>
      <c r="X307" t="s">
        <v>7888</v>
      </c>
      <c r="Y307">
        <v>25.635</v>
      </c>
      <c r="Z307" t="s">
        <v>7895</v>
      </c>
      <c r="AA307">
        <v>99.69</v>
      </c>
      <c r="AB307">
        <v>0.3</v>
      </c>
    </row>
    <row r="308" spans="1:28">
      <c r="A308" t="s">
        <v>1159</v>
      </c>
      <c r="B308" t="s">
        <v>1160</v>
      </c>
      <c r="C308" t="s">
        <v>1161</v>
      </c>
      <c r="D308" t="s">
        <v>7847</v>
      </c>
      <c r="E308" t="s">
        <v>7839</v>
      </c>
      <c r="F308" t="s">
        <v>7840</v>
      </c>
      <c r="G308" t="s">
        <v>8007</v>
      </c>
      <c r="H308" t="s">
        <v>9</v>
      </c>
      <c r="I308">
        <v>508.623</v>
      </c>
      <c r="J308">
        <v>27.599</v>
      </c>
      <c r="K308">
        <v>0.49</v>
      </c>
      <c r="M308" t="s">
        <v>7885</v>
      </c>
      <c r="N308">
        <v>1612.345</v>
      </c>
      <c r="V308" t="s">
        <v>7847</v>
      </c>
      <c r="W308" t="s">
        <v>7839</v>
      </c>
      <c r="X308" t="s">
        <v>7840</v>
      </c>
      <c r="Y308">
        <v>508.623</v>
      </c>
      <c r="Z308" t="s">
        <v>8007</v>
      </c>
      <c r="AA308">
        <v>27.599</v>
      </c>
      <c r="AB308">
        <v>0.49</v>
      </c>
    </row>
    <row r="309" spans="1:28">
      <c r="A309" t="s">
        <v>2754</v>
      </c>
      <c r="B309" t="s">
        <v>2755</v>
      </c>
      <c r="C309" t="s">
        <v>2756</v>
      </c>
      <c r="D309" t="s">
        <v>7847</v>
      </c>
      <c r="E309" t="s">
        <v>7839</v>
      </c>
      <c r="F309" t="s">
        <v>7840</v>
      </c>
      <c r="G309" t="s">
        <v>7907</v>
      </c>
      <c r="H309" t="s">
        <v>9</v>
      </c>
      <c r="I309">
        <v>1885.128</v>
      </c>
      <c r="J309">
        <v>3.577</v>
      </c>
      <c r="K309">
        <v>0.2</v>
      </c>
      <c r="M309" t="s">
        <v>7943</v>
      </c>
      <c r="N309">
        <v>2377.275</v>
      </c>
      <c r="V309" t="s">
        <v>7847</v>
      </c>
      <c r="W309" t="s">
        <v>7839</v>
      </c>
      <c r="X309" t="s">
        <v>7840</v>
      </c>
      <c r="Y309">
        <v>1885.128</v>
      </c>
      <c r="Z309" t="s">
        <v>7907</v>
      </c>
      <c r="AA309">
        <v>3.577</v>
      </c>
      <c r="AB309">
        <v>0.2</v>
      </c>
    </row>
    <row r="310" spans="1:28">
      <c r="A310" t="s">
        <v>1587</v>
      </c>
      <c r="B310" t="s">
        <v>1588</v>
      </c>
      <c r="C310" t="s">
        <v>1589</v>
      </c>
      <c r="D310" t="s">
        <v>7844</v>
      </c>
      <c r="E310" t="s">
        <v>7839</v>
      </c>
      <c r="F310" t="s">
        <v>7840</v>
      </c>
      <c r="G310" t="s">
        <v>8121</v>
      </c>
      <c r="H310" t="s">
        <v>9</v>
      </c>
      <c r="I310">
        <v>1621.005</v>
      </c>
      <c r="J310">
        <v>2.678</v>
      </c>
      <c r="K310">
        <v>0.05</v>
      </c>
      <c r="M310" t="s">
        <v>7854</v>
      </c>
      <c r="N310">
        <v>42039.258</v>
      </c>
      <c r="V310" t="s">
        <v>7844</v>
      </c>
      <c r="W310" t="s">
        <v>7839</v>
      </c>
      <c r="X310" t="s">
        <v>7840</v>
      </c>
      <c r="Y310">
        <v>1621.005</v>
      </c>
      <c r="Z310" t="s">
        <v>8121</v>
      </c>
      <c r="AA310">
        <v>2.678</v>
      </c>
      <c r="AB310">
        <v>0.05</v>
      </c>
    </row>
    <row r="311" spans="1:28">
      <c r="A311" t="s">
        <v>1092</v>
      </c>
      <c r="B311" t="s">
        <v>1093</v>
      </c>
      <c r="C311" t="s">
        <v>1094</v>
      </c>
      <c r="D311" t="s">
        <v>7844</v>
      </c>
      <c r="E311" t="s">
        <v>7839</v>
      </c>
      <c r="F311" t="s">
        <v>7888</v>
      </c>
      <c r="G311" t="s">
        <v>7861</v>
      </c>
      <c r="H311" t="s">
        <v>9</v>
      </c>
      <c r="I311">
        <v>10.384</v>
      </c>
      <c r="J311">
        <v>27.295</v>
      </c>
      <c r="K311">
        <v>0.25</v>
      </c>
      <c r="M311" t="s">
        <v>7926</v>
      </c>
      <c r="N311">
        <v>20.522</v>
      </c>
      <c r="V311" t="s">
        <v>7844</v>
      </c>
      <c r="W311" t="s">
        <v>7839</v>
      </c>
      <c r="X311" t="s">
        <v>7888</v>
      </c>
      <c r="Y311">
        <v>10.384</v>
      </c>
      <c r="Z311" t="s">
        <v>7861</v>
      </c>
      <c r="AA311">
        <v>27.295</v>
      </c>
      <c r="AB311">
        <v>0.25</v>
      </c>
    </row>
    <row r="312" spans="1:28">
      <c r="A312" t="s">
        <v>1039</v>
      </c>
      <c r="B312" t="s">
        <v>1040</v>
      </c>
      <c r="C312" t="s">
        <v>1041</v>
      </c>
      <c r="D312" t="s">
        <v>7847</v>
      </c>
      <c r="E312" t="s">
        <v>7839</v>
      </c>
      <c r="F312" t="s">
        <v>7840</v>
      </c>
      <c r="G312" t="s">
        <v>7899</v>
      </c>
      <c r="H312" t="s">
        <v>9</v>
      </c>
      <c r="I312">
        <v>122.451</v>
      </c>
      <c r="J312">
        <v>13.159</v>
      </c>
      <c r="K312">
        <v>0.55</v>
      </c>
      <c r="M312" t="s">
        <v>7895</v>
      </c>
      <c r="N312">
        <v>25.635</v>
      </c>
      <c r="V312" t="s">
        <v>7847</v>
      </c>
      <c r="W312" t="s">
        <v>7839</v>
      </c>
      <c r="X312" t="s">
        <v>7840</v>
      </c>
      <c r="Y312">
        <v>122.451</v>
      </c>
      <c r="Z312" t="s">
        <v>7899</v>
      </c>
      <c r="AA312">
        <v>13.159</v>
      </c>
      <c r="AB312">
        <v>0.55</v>
      </c>
    </row>
    <row r="313" spans="1:28">
      <c r="A313" t="s">
        <v>3829</v>
      </c>
      <c r="B313" t="s">
        <v>3830</v>
      </c>
      <c r="C313" t="s">
        <v>3831</v>
      </c>
      <c r="D313" t="s">
        <v>7844</v>
      </c>
      <c r="E313" t="s">
        <v>7839</v>
      </c>
      <c r="F313" t="s">
        <v>7888</v>
      </c>
      <c r="G313" t="s">
        <v>8026</v>
      </c>
      <c r="H313" t="s">
        <v>9</v>
      </c>
      <c r="I313">
        <v>181.982</v>
      </c>
      <c r="J313">
        <v>1.773</v>
      </c>
      <c r="K313">
        <v>0.06</v>
      </c>
      <c r="M313" t="s">
        <v>8007</v>
      </c>
      <c r="N313">
        <v>508.623</v>
      </c>
      <c r="V313" t="s">
        <v>7844</v>
      </c>
      <c r="W313" t="s">
        <v>7839</v>
      </c>
      <c r="X313" t="s">
        <v>7888</v>
      </c>
      <c r="Y313">
        <v>181.982</v>
      </c>
      <c r="Z313" t="s">
        <v>8026</v>
      </c>
      <c r="AA313">
        <v>1.773</v>
      </c>
      <c r="AB313">
        <v>0.06</v>
      </c>
    </row>
    <row r="314" spans="1:28">
      <c r="A314" t="s">
        <v>2979</v>
      </c>
      <c r="B314" t="s">
        <v>2980</v>
      </c>
      <c r="C314" t="s">
        <v>2981</v>
      </c>
      <c r="D314" t="s">
        <v>7846</v>
      </c>
      <c r="E314" t="s">
        <v>7839</v>
      </c>
      <c r="F314" t="s">
        <v>7840</v>
      </c>
      <c r="G314" t="s">
        <v>8053</v>
      </c>
      <c r="H314" t="s">
        <v>9</v>
      </c>
      <c r="I314">
        <v>14951.255</v>
      </c>
      <c r="J314">
        <v>5.485</v>
      </c>
      <c r="K314">
        <v>0.01</v>
      </c>
      <c r="M314" t="s">
        <v>7907</v>
      </c>
      <c r="N314">
        <v>1885.128</v>
      </c>
      <c r="V314" t="s">
        <v>7846</v>
      </c>
      <c r="W314" t="s">
        <v>7839</v>
      </c>
      <c r="X314" t="s">
        <v>7840</v>
      </c>
      <c r="Y314">
        <v>14951.255</v>
      </c>
      <c r="Z314" t="s">
        <v>8053</v>
      </c>
      <c r="AA314">
        <v>5.485</v>
      </c>
      <c r="AB314">
        <v>0.01</v>
      </c>
    </row>
    <row r="315" spans="1:28">
      <c r="A315" t="s">
        <v>2330</v>
      </c>
      <c r="B315" t="s">
        <v>2331</v>
      </c>
      <c r="C315" t="s">
        <v>2332</v>
      </c>
      <c r="D315" t="s">
        <v>7847</v>
      </c>
      <c r="E315" t="s">
        <v>7839</v>
      </c>
      <c r="F315" t="s">
        <v>7840</v>
      </c>
      <c r="G315" t="s">
        <v>8089</v>
      </c>
      <c r="H315" t="s">
        <v>9</v>
      </c>
      <c r="I315">
        <v>232.059</v>
      </c>
      <c r="J315">
        <v>8.96</v>
      </c>
      <c r="K315">
        <v>0.55</v>
      </c>
      <c r="M315" t="s">
        <v>8121</v>
      </c>
      <c r="N315">
        <v>1621.005</v>
      </c>
      <c r="V315" t="s">
        <v>7847</v>
      </c>
      <c r="W315" t="s">
        <v>7839</v>
      </c>
      <c r="X315" t="s">
        <v>7840</v>
      </c>
      <c r="Y315">
        <v>232.059</v>
      </c>
      <c r="Z315" t="s">
        <v>8089</v>
      </c>
      <c r="AA315">
        <v>8.96</v>
      </c>
      <c r="AB315">
        <v>0.55</v>
      </c>
    </row>
    <row r="316" spans="1:28">
      <c r="A316" t="s">
        <v>3520</v>
      </c>
      <c r="B316" t="s">
        <v>3521</v>
      </c>
      <c r="C316" t="s">
        <v>3522</v>
      </c>
      <c r="D316" t="s">
        <v>7850</v>
      </c>
      <c r="E316" t="s">
        <v>7839</v>
      </c>
      <c r="F316" t="s">
        <v>7840</v>
      </c>
      <c r="G316" t="s">
        <v>7854</v>
      </c>
      <c r="H316" t="s">
        <v>9</v>
      </c>
      <c r="I316">
        <v>258.188</v>
      </c>
      <c r="J316">
        <v>99.539</v>
      </c>
      <c r="K316">
        <v>0.2</v>
      </c>
      <c r="M316" t="s">
        <v>7861</v>
      </c>
      <c r="N316">
        <v>10.384</v>
      </c>
      <c r="V316" t="s">
        <v>7850</v>
      </c>
      <c r="W316" t="s">
        <v>7839</v>
      </c>
      <c r="X316" t="s">
        <v>7840</v>
      </c>
      <c r="Y316">
        <v>258.188</v>
      </c>
      <c r="Z316" t="s">
        <v>7854</v>
      </c>
      <c r="AA316">
        <v>99.539</v>
      </c>
      <c r="AB316">
        <v>0.2</v>
      </c>
    </row>
    <row r="317" spans="1:28">
      <c r="A317" t="s">
        <v>2080</v>
      </c>
      <c r="B317" t="s">
        <v>2081</v>
      </c>
      <c r="C317" t="s">
        <v>2082</v>
      </c>
      <c r="D317" t="s">
        <v>7846</v>
      </c>
      <c r="E317" t="s">
        <v>7839</v>
      </c>
      <c r="F317" t="s">
        <v>7935</v>
      </c>
      <c r="G317" t="s">
        <v>7845</v>
      </c>
      <c r="H317" t="s">
        <v>9</v>
      </c>
      <c r="I317">
        <v>5754.792</v>
      </c>
      <c r="J317">
        <v>26.731</v>
      </c>
      <c r="K317">
        <v>0.64</v>
      </c>
      <c r="M317" t="s">
        <v>7899</v>
      </c>
      <c r="N317">
        <v>122.451</v>
      </c>
      <c r="V317" t="s">
        <v>7846</v>
      </c>
      <c r="W317" t="s">
        <v>7839</v>
      </c>
      <c r="X317" t="s">
        <v>7935</v>
      </c>
      <c r="Y317">
        <v>5754.792</v>
      </c>
      <c r="Z317" t="s">
        <v>7845</v>
      </c>
      <c r="AA317">
        <v>26.731</v>
      </c>
      <c r="AB317">
        <v>0.64</v>
      </c>
    </row>
    <row r="318" spans="1:28">
      <c r="A318" t="s">
        <v>1110</v>
      </c>
      <c r="B318" t="s">
        <v>1111</v>
      </c>
      <c r="C318" t="s">
        <v>1112</v>
      </c>
      <c r="D318" t="s">
        <v>7847</v>
      </c>
      <c r="E318" t="s">
        <v>7839</v>
      </c>
      <c r="F318" t="s">
        <v>7840</v>
      </c>
      <c r="G318" t="s">
        <v>7865</v>
      </c>
      <c r="H318" t="s">
        <v>9</v>
      </c>
      <c r="I318">
        <v>309.405</v>
      </c>
      <c r="J318">
        <v>14.577</v>
      </c>
      <c r="K318">
        <v>0.4</v>
      </c>
      <c r="M318" t="s">
        <v>8026</v>
      </c>
      <c r="N318">
        <v>181.982</v>
      </c>
      <c r="V318" t="s">
        <v>7847</v>
      </c>
      <c r="W318" t="s">
        <v>7839</v>
      </c>
      <c r="X318" t="s">
        <v>7840</v>
      </c>
      <c r="Y318">
        <v>309.405</v>
      </c>
      <c r="Z318" t="s">
        <v>7865</v>
      </c>
      <c r="AA318">
        <v>14.577</v>
      </c>
      <c r="AB318">
        <v>0.4</v>
      </c>
    </row>
    <row r="319" spans="1:28">
      <c r="A319" t="s">
        <v>1882</v>
      </c>
      <c r="B319" t="s">
        <v>1883</v>
      </c>
      <c r="C319" t="s">
        <v>1884</v>
      </c>
      <c r="D319" t="s">
        <v>7844</v>
      </c>
      <c r="E319" t="s">
        <v>7840</v>
      </c>
      <c r="F319" t="s">
        <v>7935</v>
      </c>
      <c r="G319" t="s">
        <v>7990</v>
      </c>
      <c r="H319" t="s">
        <v>9</v>
      </c>
      <c r="I319">
        <v>21.39</v>
      </c>
      <c r="K319">
        <v>0.18</v>
      </c>
      <c r="M319" t="s">
        <v>8053</v>
      </c>
      <c r="N319">
        <v>14951.255</v>
      </c>
      <c r="V319" t="s">
        <v>7844</v>
      </c>
      <c r="W319" t="s">
        <v>7840</v>
      </c>
      <c r="X319" t="s">
        <v>7935</v>
      </c>
      <c r="Y319">
        <v>21.39</v>
      </c>
      <c r="Z319" t="s">
        <v>7990</v>
      </c>
      <c r="AB319">
        <v>0.18</v>
      </c>
    </row>
    <row r="320" spans="1:28">
      <c r="A320" t="s">
        <v>2911</v>
      </c>
      <c r="B320" t="s">
        <v>2912</v>
      </c>
      <c r="C320" t="s">
        <v>2913</v>
      </c>
      <c r="D320" t="s">
        <v>7855</v>
      </c>
      <c r="E320" t="s">
        <v>7839</v>
      </c>
      <c r="F320" t="s">
        <v>7840</v>
      </c>
      <c r="G320" t="s">
        <v>8102</v>
      </c>
      <c r="H320" t="s">
        <v>9</v>
      </c>
      <c r="I320">
        <v>4.572</v>
      </c>
      <c r="J320">
        <v>93.43</v>
      </c>
      <c r="K320">
        <v>0.25</v>
      </c>
      <c r="M320" t="s">
        <v>8089</v>
      </c>
      <c r="N320">
        <v>232.059</v>
      </c>
      <c r="V320" t="s">
        <v>7855</v>
      </c>
      <c r="W320" t="s">
        <v>7839</v>
      </c>
      <c r="X320" t="s">
        <v>7840</v>
      </c>
      <c r="Y320">
        <v>4.572</v>
      </c>
      <c r="Z320" t="s">
        <v>8102</v>
      </c>
      <c r="AA320">
        <v>93.43</v>
      </c>
      <c r="AB320">
        <v>0.25</v>
      </c>
    </row>
    <row r="321" spans="1:28">
      <c r="A321" t="s">
        <v>1183</v>
      </c>
      <c r="B321" t="s">
        <v>1184</v>
      </c>
      <c r="C321" t="s">
        <v>1185</v>
      </c>
      <c r="D321" t="s">
        <v>7847</v>
      </c>
      <c r="E321" t="s">
        <v>7848</v>
      </c>
      <c r="F321" t="s">
        <v>7840</v>
      </c>
      <c r="G321" t="s">
        <v>7988</v>
      </c>
      <c r="H321" t="s">
        <v>9</v>
      </c>
      <c r="I321">
        <v>666.029</v>
      </c>
      <c r="J321">
        <v>35.354</v>
      </c>
      <c r="K321">
        <v>0.25</v>
      </c>
      <c r="M321" t="s">
        <v>7854</v>
      </c>
      <c r="N321">
        <v>258.188</v>
      </c>
      <c r="V321" t="s">
        <v>7847</v>
      </c>
      <c r="W321" t="s">
        <v>7848</v>
      </c>
      <c r="X321" t="s">
        <v>7840</v>
      </c>
      <c r="Y321">
        <v>666.029</v>
      </c>
      <c r="Z321" t="s">
        <v>7988</v>
      </c>
      <c r="AA321">
        <v>35.354</v>
      </c>
      <c r="AB321">
        <v>0.25</v>
      </c>
    </row>
    <row r="322" spans="1:28">
      <c r="A322" t="s">
        <v>2813</v>
      </c>
      <c r="B322" t="s">
        <v>2814</v>
      </c>
      <c r="C322" t="s">
        <v>2815</v>
      </c>
      <c r="D322" t="s">
        <v>7850</v>
      </c>
      <c r="E322" t="s">
        <v>7839</v>
      </c>
      <c r="F322" t="s">
        <v>7853</v>
      </c>
      <c r="G322" t="s">
        <v>7923</v>
      </c>
      <c r="H322" t="s">
        <v>9</v>
      </c>
      <c r="I322">
        <v>53.417</v>
      </c>
      <c r="J322">
        <v>22.209</v>
      </c>
      <c r="K322">
        <v>0.39</v>
      </c>
      <c r="M322" t="s">
        <v>7845</v>
      </c>
      <c r="N322">
        <v>5754.792</v>
      </c>
      <c r="V322" t="s">
        <v>7850</v>
      </c>
      <c r="W322" t="s">
        <v>7839</v>
      </c>
      <c r="X322" t="s">
        <v>7853</v>
      </c>
      <c r="Y322">
        <v>53.417</v>
      </c>
      <c r="Z322" t="s">
        <v>7923</v>
      </c>
      <c r="AA322">
        <v>22.209</v>
      </c>
      <c r="AB322">
        <v>0.39</v>
      </c>
    </row>
    <row r="323" spans="1:28">
      <c r="A323" t="s">
        <v>1687</v>
      </c>
      <c r="B323" t="s">
        <v>1688</v>
      </c>
      <c r="C323" t="s">
        <v>1689</v>
      </c>
      <c r="D323" t="s">
        <v>7847</v>
      </c>
      <c r="E323" t="s">
        <v>7839</v>
      </c>
      <c r="F323" t="s">
        <v>7840</v>
      </c>
      <c r="G323" t="s">
        <v>8110</v>
      </c>
      <c r="H323" t="s">
        <v>9</v>
      </c>
      <c r="I323">
        <v>206.48</v>
      </c>
      <c r="J323">
        <v>20.526</v>
      </c>
      <c r="K323">
        <v>0.75</v>
      </c>
      <c r="M323" t="s">
        <v>7865</v>
      </c>
      <c r="N323">
        <v>309.405</v>
      </c>
      <c r="V323" t="s">
        <v>7847</v>
      </c>
      <c r="W323" t="s">
        <v>7839</v>
      </c>
      <c r="X323" t="s">
        <v>7840</v>
      </c>
      <c r="Y323">
        <v>206.48</v>
      </c>
      <c r="Z323" t="s">
        <v>8110</v>
      </c>
      <c r="AA323">
        <v>20.526</v>
      </c>
      <c r="AB323">
        <v>0.75</v>
      </c>
    </row>
    <row r="324" spans="1:28">
      <c r="A324" t="s">
        <v>2494</v>
      </c>
      <c r="B324" t="s">
        <v>2495</v>
      </c>
      <c r="C324" t="s">
        <v>2496</v>
      </c>
      <c r="D324" t="s">
        <v>7844</v>
      </c>
      <c r="E324" t="s">
        <v>7839</v>
      </c>
      <c r="F324" t="s">
        <v>7935</v>
      </c>
      <c r="G324" t="s">
        <v>7858</v>
      </c>
      <c r="H324" t="s">
        <v>9</v>
      </c>
      <c r="I324">
        <v>395.358</v>
      </c>
      <c r="J324">
        <v>11.064</v>
      </c>
      <c r="K324">
        <v>0.32</v>
      </c>
      <c r="M324" t="s">
        <v>7990</v>
      </c>
      <c r="N324">
        <v>21.39</v>
      </c>
      <c r="V324" t="s">
        <v>7844</v>
      </c>
      <c r="W324" t="s">
        <v>7839</v>
      </c>
      <c r="X324" t="s">
        <v>7935</v>
      </c>
      <c r="Y324">
        <v>395.358</v>
      </c>
      <c r="Z324" t="s">
        <v>7858</v>
      </c>
      <c r="AA324">
        <v>11.064</v>
      </c>
      <c r="AB324">
        <v>0.32</v>
      </c>
    </row>
    <row r="325" spans="1:28">
      <c r="A325" t="s">
        <v>1928</v>
      </c>
      <c r="B325" t="s">
        <v>1929</v>
      </c>
      <c r="C325" t="s">
        <v>1930</v>
      </c>
      <c r="D325" t="s">
        <v>7850</v>
      </c>
      <c r="E325" t="s">
        <v>7839</v>
      </c>
      <c r="F325" t="s">
        <v>7840</v>
      </c>
      <c r="G325" t="s">
        <v>7956</v>
      </c>
      <c r="H325" t="s">
        <v>9</v>
      </c>
      <c r="I325">
        <v>70.408</v>
      </c>
      <c r="J325">
        <v>8.298</v>
      </c>
      <c r="K325">
        <v>0.45</v>
      </c>
      <c r="M325" t="s">
        <v>8102</v>
      </c>
      <c r="N325">
        <v>4.572</v>
      </c>
      <c r="V325" t="s">
        <v>7850</v>
      </c>
      <c r="W325" t="s">
        <v>7839</v>
      </c>
      <c r="X325" t="s">
        <v>7840</v>
      </c>
      <c r="Y325">
        <v>70.408</v>
      </c>
      <c r="Z325" t="s">
        <v>7956</v>
      </c>
      <c r="AA325">
        <v>8.298</v>
      </c>
      <c r="AB325">
        <v>0.45</v>
      </c>
    </row>
    <row r="326" spans="1:28">
      <c r="A326" t="s">
        <v>2605</v>
      </c>
      <c r="B326" t="s">
        <v>414</v>
      </c>
      <c r="C326" t="s">
        <v>2606</v>
      </c>
      <c r="D326" t="s">
        <v>7850</v>
      </c>
      <c r="E326" t="s">
        <v>7839</v>
      </c>
      <c r="F326" t="s">
        <v>7840</v>
      </c>
      <c r="G326" t="s">
        <v>7914</v>
      </c>
      <c r="H326" t="s">
        <v>9</v>
      </c>
      <c r="I326">
        <v>37.407</v>
      </c>
      <c r="J326">
        <v>8.135</v>
      </c>
      <c r="K326">
        <v>0.35</v>
      </c>
      <c r="M326" t="s">
        <v>7988</v>
      </c>
      <c r="N326">
        <v>666.029</v>
      </c>
      <c r="V326" t="s">
        <v>7850</v>
      </c>
      <c r="W326" t="s">
        <v>7839</v>
      </c>
      <c r="X326" t="s">
        <v>7840</v>
      </c>
      <c r="Y326">
        <v>37.407</v>
      </c>
      <c r="Z326" t="s">
        <v>7914</v>
      </c>
      <c r="AA326">
        <v>8.135</v>
      </c>
      <c r="AB326">
        <v>0.35</v>
      </c>
    </row>
    <row r="327" spans="1:28">
      <c r="A327" t="s">
        <v>857</v>
      </c>
      <c r="B327" t="s">
        <v>858</v>
      </c>
      <c r="C327" t="s">
        <v>859</v>
      </c>
      <c r="D327" t="s">
        <v>7850</v>
      </c>
      <c r="E327" t="s">
        <v>7839</v>
      </c>
      <c r="F327" t="s">
        <v>7840</v>
      </c>
      <c r="G327" t="s">
        <v>7999</v>
      </c>
      <c r="H327" t="s">
        <v>9</v>
      </c>
      <c r="I327">
        <v>202.577</v>
      </c>
      <c r="J327">
        <v>2.364</v>
      </c>
      <c r="K327">
        <v>0.4</v>
      </c>
      <c r="M327" t="s">
        <v>7923</v>
      </c>
      <c r="N327">
        <v>53.417</v>
      </c>
      <c r="V327" t="s">
        <v>7850</v>
      </c>
      <c r="W327" t="s">
        <v>7839</v>
      </c>
      <c r="X327" t="s">
        <v>7840</v>
      </c>
      <c r="Y327">
        <v>202.577</v>
      </c>
      <c r="Z327" t="s">
        <v>7999</v>
      </c>
      <c r="AA327">
        <v>2.364</v>
      </c>
      <c r="AB327">
        <v>0.4</v>
      </c>
    </row>
    <row r="328" spans="1:28">
      <c r="A328" t="s">
        <v>1599</v>
      </c>
      <c r="B328" t="s">
        <v>1600</v>
      </c>
      <c r="C328" t="s">
        <v>1601</v>
      </c>
      <c r="D328" t="s">
        <v>7847</v>
      </c>
      <c r="E328" t="s">
        <v>7839</v>
      </c>
      <c r="F328" t="s">
        <v>7840</v>
      </c>
      <c r="G328" t="s">
        <v>8054</v>
      </c>
      <c r="H328" t="s">
        <v>9</v>
      </c>
      <c r="I328">
        <v>59.01</v>
      </c>
      <c r="J328">
        <v>26.607</v>
      </c>
      <c r="K328">
        <v>0.3</v>
      </c>
      <c r="M328" t="s">
        <v>8110</v>
      </c>
      <c r="N328">
        <v>206.48</v>
      </c>
      <c r="V328" t="s">
        <v>7847</v>
      </c>
      <c r="W328" t="s">
        <v>7839</v>
      </c>
      <c r="X328" t="s">
        <v>7840</v>
      </c>
      <c r="Y328">
        <v>59.01</v>
      </c>
      <c r="Z328" t="s">
        <v>8054</v>
      </c>
      <c r="AA328">
        <v>26.607</v>
      </c>
      <c r="AB328">
        <v>0.3</v>
      </c>
    </row>
    <row r="329" spans="1:28">
      <c r="A329" t="s">
        <v>2279</v>
      </c>
      <c r="B329" t="s">
        <v>2280</v>
      </c>
      <c r="C329" t="s">
        <v>2281</v>
      </c>
      <c r="D329" t="s">
        <v>7844</v>
      </c>
      <c r="E329" t="s">
        <v>7839</v>
      </c>
      <c r="F329" t="s">
        <v>7840</v>
      </c>
      <c r="G329" t="s">
        <v>7914</v>
      </c>
      <c r="H329" t="s">
        <v>9</v>
      </c>
      <c r="I329">
        <v>20.681</v>
      </c>
      <c r="J329">
        <v>20.652</v>
      </c>
      <c r="K329">
        <v>0.35</v>
      </c>
      <c r="M329" t="s">
        <v>7858</v>
      </c>
      <c r="N329">
        <v>395.358</v>
      </c>
      <c r="V329" t="s">
        <v>7844</v>
      </c>
      <c r="W329" t="s">
        <v>7839</v>
      </c>
      <c r="X329" t="s">
        <v>7840</v>
      </c>
      <c r="Y329">
        <v>20.681</v>
      </c>
      <c r="Z329" t="s">
        <v>7914</v>
      </c>
      <c r="AA329">
        <v>20.652</v>
      </c>
      <c r="AB329">
        <v>0.35</v>
      </c>
    </row>
    <row r="330" spans="1:28">
      <c r="A330" t="s">
        <v>1786</v>
      </c>
      <c r="B330" t="s">
        <v>1787</v>
      </c>
      <c r="C330" t="s">
        <v>1788</v>
      </c>
      <c r="D330" t="s">
        <v>7850</v>
      </c>
      <c r="E330" t="s">
        <v>7839</v>
      </c>
      <c r="F330" t="s">
        <v>7840</v>
      </c>
      <c r="G330" t="s">
        <v>7854</v>
      </c>
      <c r="H330" t="s">
        <v>9</v>
      </c>
      <c r="I330">
        <v>271.263</v>
      </c>
      <c r="J330">
        <v>100.507</v>
      </c>
      <c r="K330">
        <v>0.2</v>
      </c>
      <c r="M330" t="s">
        <v>7956</v>
      </c>
      <c r="N330">
        <v>70.408</v>
      </c>
      <c r="V330" t="s">
        <v>7850</v>
      </c>
      <c r="W330" t="s">
        <v>7839</v>
      </c>
      <c r="X330" t="s">
        <v>7840</v>
      </c>
      <c r="Y330">
        <v>271.263</v>
      </c>
      <c r="Z330" t="s">
        <v>7854</v>
      </c>
      <c r="AA330">
        <v>100.507</v>
      </c>
      <c r="AB330">
        <v>0.2</v>
      </c>
    </row>
    <row r="331" spans="1:28">
      <c r="A331" t="s">
        <v>2232</v>
      </c>
      <c r="B331" t="s">
        <v>2233</v>
      </c>
      <c r="C331" t="s">
        <v>2234</v>
      </c>
      <c r="D331" t="s">
        <v>7844</v>
      </c>
      <c r="E331" t="s">
        <v>7839</v>
      </c>
      <c r="F331" t="s">
        <v>7840</v>
      </c>
      <c r="G331" t="s">
        <v>8034</v>
      </c>
      <c r="H331" t="s">
        <v>9</v>
      </c>
      <c r="I331">
        <v>346.568</v>
      </c>
      <c r="J331">
        <v>22.918</v>
      </c>
      <c r="K331">
        <v>0.3</v>
      </c>
      <c r="M331" t="s">
        <v>7914</v>
      </c>
      <c r="N331">
        <v>37.407</v>
      </c>
      <c r="V331" t="s">
        <v>7844</v>
      </c>
      <c r="W331" t="s">
        <v>7839</v>
      </c>
      <c r="X331" t="s">
        <v>7840</v>
      </c>
      <c r="Y331">
        <v>346.568</v>
      </c>
      <c r="Z331" t="s">
        <v>8034</v>
      </c>
      <c r="AA331">
        <v>22.918</v>
      </c>
      <c r="AB331">
        <v>0.3</v>
      </c>
    </row>
    <row r="332" spans="1:28">
      <c r="A332" t="s">
        <v>2905</v>
      </c>
      <c r="B332" t="s">
        <v>2906</v>
      </c>
      <c r="C332" t="s">
        <v>2907</v>
      </c>
      <c r="D332" t="s">
        <v>7846</v>
      </c>
      <c r="E332" t="s">
        <v>7839</v>
      </c>
      <c r="F332" t="s">
        <v>7840</v>
      </c>
      <c r="G332" t="s">
        <v>7938</v>
      </c>
      <c r="H332" t="s">
        <v>9</v>
      </c>
      <c r="I332">
        <v>91.638</v>
      </c>
      <c r="J332">
        <v>13.107</v>
      </c>
      <c r="K332">
        <v>0.2</v>
      </c>
      <c r="M332" t="s">
        <v>7999</v>
      </c>
      <c r="N332">
        <v>202.577</v>
      </c>
      <c r="V332" t="s">
        <v>7846</v>
      </c>
      <c r="W332" t="s">
        <v>7839</v>
      </c>
      <c r="X332" t="s">
        <v>7840</v>
      </c>
      <c r="Y332">
        <v>91.638</v>
      </c>
      <c r="Z332" t="s">
        <v>7938</v>
      </c>
      <c r="AA332">
        <v>13.107</v>
      </c>
      <c r="AB332">
        <v>0.2</v>
      </c>
    </row>
    <row r="333" spans="1:28">
      <c r="A333" t="s">
        <v>166</v>
      </c>
      <c r="B333" t="s">
        <v>167</v>
      </c>
      <c r="C333" t="s">
        <v>168</v>
      </c>
      <c r="D333" t="s">
        <v>7862</v>
      </c>
      <c r="E333" t="s">
        <v>7839</v>
      </c>
      <c r="F333" t="s">
        <v>7840</v>
      </c>
      <c r="G333" t="s">
        <v>7999</v>
      </c>
      <c r="H333" t="s">
        <v>9</v>
      </c>
      <c r="I333">
        <v>680.085</v>
      </c>
      <c r="J333">
        <v>11.019</v>
      </c>
      <c r="K333">
        <v>0.3</v>
      </c>
      <c r="M333" t="s">
        <v>8054</v>
      </c>
      <c r="N333">
        <v>59.01</v>
      </c>
      <c r="V333" t="s">
        <v>7862</v>
      </c>
      <c r="W333" t="s">
        <v>7839</v>
      </c>
      <c r="X333" t="s">
        <v>7840</v>
      </c>
      <c r="Y333">
        <v>680.085</v>
      </c>
      <c r="Z333" t="s">
        <v>7999</v>
      </c>
      <c r="AA333">
        <v>11.019</v>
      </c>
      <c r="AB333">
        <v>0.3</v>
      </c>
    </row>
    <row r="334" spans="1:28">
      <c r="A334" t="s">
        <v>3332</v>
      </c>
      <c r="B334" t="s">
        <v>3333</v>
      </c>
      <c r="C334" t="s">
        <v>3334</v>
      </c>
      <c r="D334" t="s">
        <v>7844</v>
      </c>
      <c r="E334" t="s">
        <v>7839</v>
      </c>
      <c r="F334" t="s">
        <v>7888</v>
      </c>
      <c r="G334" t="s">
        <v>7988</v>
      </c>
      <c r="H334" t="s">
        <v>9</v>
      </c>
      <c r="I334">
        <v>173.357</v>
      </c>
      <c r="J334">
        <v>21.407</v>
      </c>
      <c r="K334">
        <v>0.35</v>
      </c>
      <c r="M334" t="s">
        <v>7914</v>
      </c>
      <c r="N334">
        <v>20.681</v>
      </c>
      <c r="V334" t="s">
        <v>7844</v>
      </c>
      <c r="W334" t="s">
        <v>7839</v>
      </c>
      <c r="X334" t="s">
        <v>7888</v>
      </c>
      <c r="Y334">
        <v>173.357</v>
      </c>
      <c r="Z334" t="s">
        <v>7988</v>
      </c>
      <c r="AA334">
        <v>21.407</v>
      </c>
      <c r="AB334">
        <v>0.35</v>
      </c>
    </row>
    <row r="335" spans="1:28">
      <c r="A335" t="s">
        <v>2059</v>
      </c>
      <c r="B335" t="s">
        <v>2060</v>
      </c>
      <c r="C335" t="s">
        <v>2061</v>
      </c>
      <c r="D335" t="s">
        <v>7844</v>
      </c>
      <c r="E335" t="s">
        <v>7839</v>
      </c>
      <c r="F335" t="s">
        <v>7888</v>
      </c>
      <c r="G335" t="s">
        <v>8006</v>
      </c>
      <c r="H335" t="s">
        <v>9</v>
      </c>
      <c r="I335">
        <v>8.287</v>
      </c>
      <c r="J335">
        <v>22.848</v>
      </c>
      <c r="K335">
        <v>0.18</v>
      </c>
      <c r="M335" t="s">
        <v>7854</v>
      </c>
      <c r="N335">
        <v>271.263</v>
      </c>
      <c r="V335" t="s">
        <v>7844</v>
      </c>
      <c r="W335" t="s">
        <v>7839</v>
      </c>
      <c r="X335" t="s">
        <v>7888</v>
      </c>
      <c r="Y335">
        <v>8.287</v>
      </c>
      <c r="Z335" t="s">
        <v>8006</v>
      </c>
      <c r="AA335">
        <v>22.848</v>
      </c>
      <c r="AB335">
        <v>0.18</v>
      </c>
    </row>
    <row r="336" spans="1:28">
      <c r="A336" t="s">
        <v>1534</v>
      </c>
      <c r="B336" t="s">
        <v>1535</v>
      </c>
      <c r="C336" t="s">
        <v>1536</v>
      </c>
      <c r="D336" t="s">
        <v>7844</v>
      </c>
      <c r="E336" t="s">
        <v>7839</v>
      </c>
      <c r="F336" t="s">
        <v>7888</v>
      </c>
      <c r="G336" t="s">
        <v>7988</v>
      </c>
      <c r="H336" t="s">
        <v>9</v>
      </c>
      <c r="I336">
        <v>81.086</v>
      </c>
      <c r="J336">
        <v>24.634</v>
      </c>
      <c r="K336">
        <v>0.35</v>
      </c>
      <c r="M336" t="s">
        <v>8034</v>
      </c>
      <c r="N336">
        <v>346.568</v>
      </c>
      <c r="V336" t="s">
        <v>7844</v>
      </c>
      <c r="W336" t="s">
        <v>7839</v>
      </c>
      <c r="X336" t="s">
        <v>7888</v>
      </c>
      <c r="Y336">
        <v>81.086</v>
      </c>
      <c r="Z336" t="s">
        <v>7988</v>
      </c>
      <c r="AA336">
        <v>24.634</v>
      </c>
      <c r="AB336">
        <v>0.35</v>
      </c>
    </row>
    <row r="337" spans="1:28">
      <c r="A337" t="s">
        <v>3502</v>
      </c>
      <c r="B337" t="s">
        <v>3503</v>
      </c>
      <c r="C337" t="s">
        <v>3504</v>
      </c>
      <c r="D337" t="s">
        <v>7859</v>
      </c>
      <c r="E337" t="s">
        <v>7839</v>
      </c>
      <c r="F337" t="s">
        <v>7840</v>
      </c>
      <c r="G337" t="s">
        <v>8077</v>
      </c>
      <c r="H337" t="s">
        <v>9</v>
      </c>
      <c r="I337">
        <v>607.907</v>
      </c>
      <c r="J337">
        <v>9.849</v>
      </c>
      <c r="K337">
        <v>0.6</v>
      </c>
      <c r="M337" t="s">
        <v>7938</v>
      </c>
      <c r="N337">
        <v>91.638</v>
      </c>
      <c r="V337" t="s">
        <v>7859</v>
      </c>
      <c r="W337" t="s">
        <v>7839</v>
      </c>
      <c r="X337" t="s">
        <v>7840</v>
      </c>
      <c r="Y337">
        <v>607.907</v>
      </c>
      <c r="Z337" t="s">
        <v>8077</v>
      </c>
      <c r="AA337">
        <v>9.849</v>
      </c>
      <c r="AB337">
        <v>0.6</v>
      </c>
    </row>
    <row r="338" spans="1:28">
      <c r="A338" t="s">
        <v>6538</v>
      </c>
      <c r="B338" t="s">
        <v>6539</v>
      </c>
      <c r="C338" t="s">
        <v>6540</v>
      </c>
      <c r="D338" t="s">
        <v>7862</v>
      </c>
      <c r="E338" t="s">
        <v>7839</v>
      </c>
      <c r="F338" t="s">
        <v>7840</v>
      </c>
      <c r="G338" t="s">
        <v>7892</v>
      </c>
      <c r="H338" t="s">
        <v>9</v>
      </c>
      <c r="I338">
        <v>151.425</v>
      </c>
      <c r="J338">
        <v>97.245</v>
      </c>
      <c r="K338">
        <v>0.5</v>
      </c>
      <c r="M338" t="s">
        <v>7999</v>
      </c>
      <c r="N338">
        <v>680.085</v>
      </c>
      <c r="V338" t="s">
        <v>7862</v>
      </c>
      <c r="W338" t="s">
        <v>7839</v>
      </c>
      <c r="X338" t="s">
        <v>7840</v>
      </c>
      <c r="Y338">
        <v>151.425</v>
      </c>
      <c r="Z338" t="s">
        <v>7892</v>
      </c>
      <c r="AA338">
        <v>97.245</v>
      </c>
      <c r="AB338">
        <v>0.5</v>
      </c>
    </row>
    <row r="339" spans="1:28">
      <c r="A339" t="s">
        <v>2373</v>
      </c>
      <c r="B339" t="s">
        <v>2374</v>
      </c>
      <c r="C339" t="s">
        <v>2375</v>
      </c>
      <c r="D339" t="s">
        <v>7847</v>
      </c>
      <c r="E339" t="s">
        <v>7839</v>
      </c>
      <c r="F339" t="s">
        <v>7853</v>
      </c>
      <c r="G339" t="s">
        <v>8012</v>
      </c>
      <c r="H339" t="s">
        <v>9</v>
      </c>
      <c r="I339">
        <v>2044.539</v>
      </c>
      <c r="J339">
        <v>35.5</v>
      </c>
      <c r="K339">
        <v>0.35</v>
      </c>
      <c r="M339" t="s">
        <v>7988</v>
      </c>
      <c r="N339">
        <v>173.357</v>
      </c>
      <c r="V339" t="s">
        <v>7847</v>
      </c>
      <c r="W339" t="s">
        <v>7839</v>
      </c>
      <c r="X339" t="s">
        <v>7853</v>
      </c>
      <c r="Y339">
        <v>2044.539</v>
      </c>
      <c r="Z339" t="s">
        <v>8012</v>
      </c>
      <c r="AA339">
        <v>35.5</v>
      </c>
      <c r="AB339">
        <v>0.35</v>
      </c>
    </row>
    <row r="340" spans="1:28">
      <c r="A340" t="s">
        <v>1354</v>
      </c>
      <c r="B340" t="s">
        <v>1355</v>
      </c>
      <c r="C340" t="s">
        <v>1356</v>
      </c>
      <c r="D340" t="s">
        <v>7844</v>
      </c>
      <c r="E340" t="s">
        <v>7839</v>
      </c>
      <c r="F340" t="s">
        <v>7853</v>
      </c>
      <c r="G340" t="s">
        <v>8048</v>
      </c>
      <c r="H340" t="s">
        <v>9</v>
      </c>
      <c r="I340">
        <v>53.394</v>
      </c>
      <c r="J340">
        <v>9.716</v>
      </c>
      <c r="K340">
        <v>0.34</v>
      </c>
      <c r="M340" t="s">
        <v>8006</v>
      </c>
      <c r="N340">
        <v>8.287</v>
      </c>
      <c r="V340" t="s">
        <v>7844</v>
      </c>
      <c r="W340" t="s">
        <v>7839</v>
      </c>
      <c r="X340" t="s">
        <v>7853</v>
      </c>
      <c r="Y340">
        <v>53.394</v>
      </c>
      <c r="Z340" t="s">
        <v>8048</v>
      </c>
      <c r="AA340">
        <v>9.716</v>
      </c>
      <c r="AB340">
        <v>0.34</v>
      </c>
    </row>
    <row r="341" spans="1:28">
      <c r="A341" t="s">
        <v>1864</v>
      </c>
      <c r="B341" t="s">
        <v>1865</v>
      </c>
      <c r="C341" t="s">
        <v>1866</v>
      </c>
      <c r="D341" t="s">
        <v>7844</v>
      </c>
      <c r="E341" t="s">
        <v>7840</v>
      </c>
      <c r="F341" t="s">
        <v>7853</v>
      </c>
      <c r="G341" t="s">
        <v>7865</v>
      </c>
      <c r="H341" t="s">
        <v>9</v>
      </c>
      <c r="I341">
        <v>1133.413</v>
      </c>
      <c r="K341">
        <v>0.27</v>
      </c>
      <c r="M341" t="s">
        <v>7988</v>
      </c>
      <c r="N341">
        <v>81.086</v>
      </c>
      <c r="V341" t="s">
        <v>7844</v>
      </c>
      <c r="W341" t="s">
        <v>7840</v>
      </c>
      <c r="X341" t="s">
        <v>7853</v>
      </c>
      <c r="Y341">
        <v>1133.413</v>
      </c>
      <c r="Z341" t="s">
        <v>7865</v>
      </c>
      <c r="AB341">
        <v>0.27</v>
      </c>
    </row>
    <row r="342" spans="1:28">
      <c r="A342" t="s">
        <v>3682</v>
      </c>
      <c r="B342" t="s">
        <v>3683</v>
      </c>
      <c r="C342" t="s">
        <v>3684</v>
      </c>
      <c r="D342" t="s">
        <v>7862</v>
      </c>
      <c r="E342" t="s">
        <v>7839</v>
      </c>
      <c r="F342" t="s">
        <v>7888</v>
      </c>
      <c r="G342" t="s">
        <v>7854</v>
      </c>
      <c r="H342" t="s">
        <v>9</v>
      </c>
      <c r="I342">
        <v>3.561</v>
      </c>
      <c r="J342">
        <v>99.997</v>
      </c>
      <c r="K342">
        <v>0.07</v>
      </c>
      <c r="M342" t="s">
        <v>8077</v>
      </c>
      <c r="N342">
        <v>607.907</v>
      </c>
      <c r="V342" t="s">
        <v>7862</v>
      </c>
      <c r="W342" t="s">
        <v>7839</v>
      </c>
      <c r="X342" t="s">
        <v>7888</v>
      </c>
      <c r="Y342">
        <v>3.561</v>
      </c>
      <c r="Z342" t="s">
        <v>7854</v>
      </c>
      <c r="AA342">
        <v>99.997</v>
      </c>
      <c r="AB342">
        <v>0.07</v>
      </c>
    </row>
    <row r="343" spans="1:28">
      <c r="A343" t="s">
        <v>3296</v>
      </c>
      <c r="B343" t="s">
        <v>3297</v>
      </c>
      <c r="C343" t="s">
        <v>3298</v>
      </c>
      <c r="D343" t="s">
        <v>7844</v>
      </c>
      <c r="E343" t="s">
        <v>7839</v>
      </c>
      <c r="F343" t="s">
        <v>7840</v>
      </c>
      <c r="G343" t="s">
        <v>7988</v>
      </c>
      <c r="H343" t="s">
        <v>9</v>
      </c>
      <c r="I343">
        <v>91.989</v>
      </c>
      <c r="J343">
        <v>33.316</v>
      </c>
      <c r="K343">
        <v>0.3</v>
      </c>
      <c r="M343" t="s">
        <v>7892</v>
      </c>
      <c r="N343">
        <v>151.425</v>
      </c>
      <c r="V343" t="s">
        <v>7844</v>
      </c>
      <c r="W343" t="s">
        <v>7839</v>
      </c>
      <c r="X343" t="s">
        <v>7840</v>
      </c>
      <c r="Y343">
        <v>91.989</v>
      </c>
      <c r="Z343" t="s">
        <v>7988</v>
      </c>
      <c r="AA343">
        <v>33.316</v>
      </c>
      <c r="AB343">
        <v>0.3</v>
      </c>
    </row>
    <row r="344" spans="1:28">
      <c r="A344" t="s">
        <v>2772</v>
      </c>
      <c r="B344" t="s">
        <v>2773</v>
      </c>
      <c r="C344" t="s">
        <v>2774</v>
      </c>
      <c r="D344" t="s">
        <v>7847</v>
      </c>
      <c r="E344" t="s">
        <v>7839</v>
      </c>
      <c r="F344" t="s">
        <v>7840</v>
      </c>
      <c r="G344" t="s">
        <v>8053</v>
      </c>
      <c r="H344" t="s">
        <v>9</v>
      </c>
      <c r="I344">
        <v>1552.275</v>
      </c>
      <c r="J344">
        <v>99.996</v>
      </c>
      <c r="K344">
        <v>0</v>
      </c>
      <c r="M344" t="s">
        <v>8012</v>
      </c>
      <c r="N344">
        <v>2044.539</v>
      </c>
      <c r="V344" t="s">
        <v>7847</v>
      </c>
      <c r="W344" t="s">
        <v>7839</v>
      </c>
      <c r="X344" t="s">
        <v>7840</v>
      </c>
      <c r="Y344">
        <v>1552.275</v>
      </c>
      <c r="Z344" t="s">
        <v>8053</v>
      </c>
      <c r="AA344">
        <v>99.996</v>
      </c>
      <c r="AB344">
        <v>0</v>
      </c>
    </row>
    <row r="345" spans="1:28">
      <c r="A345" t="s">
        <v>2538</v>
      </c>
      <c r="B345" t="s">
        <v>2539</v>
      </c>
      <c r="C345" t="s">
        <v>2540</v>
      </c>
      <c r="D345" t="s">
        <v>7846</v>
      </c>
      <c r="E345" t="s">
        <v>7839</v>
      </c>
      <c r="F345" t="s">
        <v>7840</v>
      </c>
      <c r="G345" t="s">
        <v>7892</v>
      </c>
      <c r="H345" t="s">
        <v>9</v>
      </c>
      <c r="I345">
        <v>1685.792</v>
      </c>
      <c r="J345">
        <v>197.976</v>
      </c>
      <c r="K345">
        <v>0.25</v>
      </c>
      <c r="M345" t="s">
        <v>8048</v>
      </c>
      <c r="N345">
        <v>53.394</v>
      </c>
      <c r="V345" t="s">
        <v>7846</v>
      </c>
      <c r="W345" t="s">
        <v>7839</v>
      </c>
      <c r="X345" t="s">
        <v>7840</v>
      </c>
      <c r="Y345">
        <v>1685.792</v>
      </c>
      <c r="Z345" t="s">
        <v>7892</v>
      </c>
      <c r="AA345">
        <v>197.976</v>
      </c>
      <c r="AB345">
        <v>0.25</v>
      </c>
    </row>
    <row r="346" spans="1:28">
      <c r="A346" t="s">
        <v>2052</v>
      </c>
      <c r="B346" t="s">
        <v>2053</v>
      </c>
      <c r="C346" t="s">
        <v>2054</v>
      </c>
      <c r="D346" t="s">
        <v>7844</v>
      </c>
      <c r="E346" t="s">
        <v>7839</v>
      </c>
      <c r="F346" t="s">
        <v>7935</v>
      </c>
      <c r="G346" t="s">
        <v>7885</v>
      </c>
      <c r="H346" t="s">
        <v>9</v>
      </c>
      <c r="I346">
        <v>987.714</v>
      </c>
      <c r="J346">
        <v>12.184</v>
      </c>
      <c r="K346">
        <v>0.35</v>
      </c>
      <c r="M346" t="s">
        <v>7865</v>
      </c>
      <c r="N346">
        <v>1133.413</v>
      </c>
      <c r="V346" t="s">
        <v>7844</v>
      </c>
      <c r="W346" t="s">
        <v>7839</v>
      </c>
      <c r="X346" t="s">
        <v>7935</v>
      </c>
      <c r="Y346">
        <v>987.714</v>
      </c>
      <c r="Z346" t="s">
        <v>7885</v>
      </c>
      <c r="AA346">
        <v>12.184</v>
      </c>
      <c r="AB346">
        <v>0.35</v>
      </c>
    </row>
    <row r="347" spans="1:28">
      <c r="A347" t="s">
        <v>1140</v>
      </c>
      <c r="B347" t="s">
        <v>1141</v>
      </c>
      <c r="C347" t="s">
        <v>1142</v>
      </c>
      <c r="D347" t="s">
        <v>7850</v>
      </c>
      <c r="E347" t="s">
        <v>7839</v>
      </c>
      <c r="F347" t="s">
        <v>7840</v>
      </c>
      <c r="G347" t="s">
        <v>7939</v>
      </c>
      <c r="H347" t="s">
        <v>9</v>
      </c>
      <c r="I347">
        <v>823.465</v>
      </c>
      <c r="J347">
        <v>6.802</v>
      </c>
      <c r="K347">
        <v>0.18</v>
      </c>
      <c r="M347" t="s">
        <v>7854</v>
      </c>
      <c r="N347">
        <v>3.561</v>
      </c>
      <c r="V347" t="s">
        <v>7850</v>
      </c>
      <c r="W347" t="s">
        <v>7839</v>
      </c>
      <c r="X347" t="s">
        <v>7840</v>
      </c>
      <c r="Y347">
        <v>823.465</v>
      </c>
      <c r="Z347" t="s">
        <v>7939</v>
      </c>
      <c r="AA347">
        <v>6.802</v>
      </c>
      <c r="AB347">
        <v>0.18</v>
      </c>
    </row>
    <row r="348" spans="1:28">
      <c r="A348" t="s">
        <v>2191</v>
      </c>
      <c r="B348" t="s">
        <v>2192</v>
      </c>
      <c r="C348" t="s">
        <v>2193</v>
      </c>
      <c r="D348" t="s">
        <v>7850</v>
      </c>
      <c r="E348" t="s">
        <v>7839</v>
      </c>
      <c r="F348" t="s">
        <v>7840</v>
      </c>
      <c r="G348" t="s">
        <v>7913</v>
      </c>
      <c r="H348" t="s">
        <v>9</v>
      </c>
      <c r="I348">
        <v>31.24</v>
      </c>
      <c r="J348">
        <v>12.411</v>
      </c>
      <c r="K348">
        <v>0.39</v>
      </c>
      <c r="M348" t="s">
        <v>7988</v>
      </c>
      <c r="N348">
        <v>91.989</v>
      </c>
      <c r="V348" t="s">
        <v>7850</v>
      </c>
      <c r="W348" t="s">
        <v>7839</v>
      </c>
      <c r="X348" t="s">
        <v>7840</v>
      </c>
      <c r="Y348">
        <v>31.24</v>
      </c>
      <c r="Z348" t="s">
        <v>7913</v>
      </c>
      <c r="AA348">
        <v>12.411</v>
      </c>
      <c r="AB348">
        <v>0.39</v>
      </c>
    </row>
    <row r="349" spans="1:28">
      <c r="A349" t="s">
        <v>5754</v>
      </c>
      <c r="B349" t="s">
        <v>5755</v>
      </c>
      <c r="C349" t="s">
        <v>5756</v>
      </c>
      <c r="D349" t="s">
        <v>7844</v>
      </c>
      <c r="E349" t="s">
        <v>7839</v>
      </c>
      <c r="F349" t="s">
        <v>7888</v>
      </c>
      <c r="G349" t="s">
        <v>7858</v>
      </c>
      <c r="H349" t="s">
        <v>9</v>
      </c>
      <c r="I349">
        <v>4029.739</v>
      </c>
      <c r="J349">
        <v>7.023</v>
      </c>
      <c r="K349">
        <v>0.32</v>
      </c>
      <c r="M349" t="s">
        <v>8053</v>
      </c>
      <c r="N349">
        <v>1552.275</v>
      </c>
      <c r="V349" t="s">
        <v>7844</v>
      </c>
      <c r="W349" t="s">
        <v>7839</v>
      </c>
      <c r="X349" t="s">
        <v>7888</v>
      </c>
      <c r="Y349">
        <v>4029.739</v>
      </c>
      <c r="Z349" t="s">
        <v>7858</v>
      </c>
      <c r="AA349">
        <v>7.023</v>
      </c>
      <c r="AB349">
        <v>0.32</v>
      </c>
    </row>
    <row r="350" spans="1:28">
      <c r="A350" t="s">
        <v>2937</v>
      </c>
      <c r="B350" t="s">
        <v>2938</v>
      </c>
      <c r="C350" t="s">
        <v>2939</v>
      </c>
      <c r="D350" t="s">
        <v>7846</v>
      </c>
      <c r="E350" t="s">
        <v>7839</v>
      </c>
      <c r="F350" t="s">
        <v>7840</v>
      </c>
      <c r="G350" t="s">
        <v>7899</v>
      </c>
      <c r="H350" t="s">
        <v>9</v>
      </c>
      <c r="I350">
        <v>163.866</v>
      </c>
      <c r="J350">
        <v>27.081</v>
      </c>
      <c r="K350">
        <v>0.79</v>
      </c>
      <c r="M350" t="s">
        <v>7892</v>
      </c>
      <c r="N350">
        <v>1685.792</v>
      </c>
      <c r="V350" t="s">
        <v>7846</v>
      </c>
      <c r="W350" t="s">
        <v>7839</v>
      </c>
      <c r="X350" t="s">
        <v>7840</v>
      </c>
      <c r="Y350">
        <v>163.866</v>
      </c>
      <c r="Z350" t="s">
        <v>7899</v>
      </c>
      <c r="AA350">
        <v>27.081</v>
      </c>
      <c r="AB350">
        <v>0.79</v>
      </c>
    </row>
    <row r="351" spans="1:28">
      <c r="A351" t="s">
        <v>4279</v>
      </c>
      <c r="B351" t="s">
        <v>4280</v>
      </c>
      <c r="C351" t="s">
        <v>4281</v>
      </c>
      <c r="D351" t="s">
        <v>7864</v>
      </c>
      <c r="E351" t="s">
        <v>7839</v>
      </c>
      <c r="F351" t="s">
        <v>7840</v>
      </c>
      <c r="G351" t="s">
        <v>7978</v>
      </c>
      <c r="H351" t="s">
        <v>9</v>
      </c>
      <c r="I351">
        <v>77.964</v>
      </c>
      <c r="J351">
        <v>29.941</v>
      </c>
      <c r="K351">
        <v>0.75</v>
      </c>
      <c r="M351" t="s">
        <v>7885</v>
      </c>
      <c r="N351">
        <v>987.714</v>
      </c>
      <c r="V351" t="s">
        <v>7864</v>
      </c>
      <c r="W351" t="s">
        <v>7839</v>
      </c>
      <c r="X351" t="s">
        <v>7840</v>
      </c>
      <c r="Y351">
        <v>77.964</v>
      </c>
      <c r="Z351" t="s">
        <v>7978</v>
      </c>
      <c r="AA351">
        <v>29.941</v>
      </c>
      <c r="AB351">
        <v>0.75</v>
      </c>
    </row>
    <row r="352" spans="1:28">
      <c r="A352" t="s">
        <v>3240</v>
      </c>
      <c r="B352" t="s">
        <v>3241</v>
      </c>
      <c r="C352" t="s">
        <v>3242</v>
      </c>
      <c r="D352" t="s">
        <v>7850</v>
      </c>
      <c r="E352" t="s">
        <v>7839</v>
      </c>
      <c r="F352" t="s">
        <v>7840</v>
      </c>
      <c r="G352" t="s">
        <v>7941</v>
      </c>
      <c r="H352" t="s">
        <v>9</v>
      </c>
      <c r="I352">
        <v>31.029</v>
      </c>
      <c r="J352">
        <v>18.577</v>
      </c>
      <c r="K352">
        <v>0.42</v>
      </c>
      <c r="M352" t="s">
        <v>7939</v>
      </c>
      <c r="N352">
        <v>823.465</v>
      </c>
      <c r="V352" t="s">
        <v>7850</v>
      </c>
      <c r="W352" t="s">
        <v>7839</v>
      </c>
      <c r="X352" t="s">
        <v>7840</v>
      </c>
      <c r="Y352">
        <v>31.029</v>
      </c>
      <c r="Z352" t="s">
        <v>7941</v>
      </c>
      <c r="AA352">
        <v>18.577</v>
      </c>
      <c r="AB352">
        <v>0.42</v>
      </c>
    </row>
    <row r="353" spans="1:28">
      <c r="A353" t="s">
        <v>6180</v>
      </c>
      <c r="B353" t="s">
        <v>414</v>
      </c>
      <c r="C353" t="s">
        <v>6181</v>
      </c>
      <c r="D353" t="s">
        <v>7850</v>
      </c>
      <c r="E353" t="s">
        <v>7839</v>
      </c>
      <c r="F353" t="s">
        <v>7840</v>
      </c>
      <c r="G353" t="s">
        <v>7914</v>
      </c>
      <c r="H353" t="s">
        <v>9</v>
      </c>
      <c r="I353">
        <v>52.09</v>
      </c>
      <c r="J353">
        <v>11.994</v>
      </c>
      <c r="K353">
        <v>0.35</v>
      </c>
      <c r="M353" t="s">
        <v>7913</v>
      </c>
      <c r="N353">
        <v>31.24</v>
      </c>
      <c r="V353" t="s">
        <v>7850</v>
      </c>
      <c r="W353" t="s">
        <v>7839</v>
      </c>
      <c r="X353" t="s">
        <v>7840</v>
      </c>
      <c r="Y353">
        <v>52.09</v>
      </c>
      <c r="Z353" t="s">
        <v>7914</v>
      </c>
      <c r="AA353">
        <v>11.994</v>
      </c>
      <c r="AB353">
        <v>0.35</v>
      </c>
    </row>
    <row r="354" spans="1:28">
      <c r="A354" t="s">
        <v>2161</v>
      </c>
      <c r="B354" t="s">
        <v>2162</v>
      </c>
      <c r="C354" t="s">
        <v>2163</v>
      </c>
      <c r="D354" t="s">
        <v>7847</v>
      </c>
      <c r="E354" t="s">
        <v>7839</v>
      </c>
      <c r="F354" t="s">
        <v>7840</v>
      </c>
      <c r="G354" t="s">
        <v>8056</v>
      </c>
      <c r="H354" t="s">
        <v>9</v>
      </c>
      <c r="I354">
        <v>157.254</v>
      </c>
      <c r="J354">
        <v>17.806</v>
      </c>
      <c r="K354">
        <v>0.4</v>
      </c>
      <c r="M354" t="s">
        <v>7858</v>
      </c>
      <c r="N354">
        <v>4029.739</v>
      </c>
      <c r="V354" t="s">
        <v>7847</v>
      </c>
      <c r="W354" t="s">
        <v>7839</v>
      </c>
      <c r="X354" t="s">
        <v>7840</v>
      </c>
      <c r="Y354">
        <v>157.254</v>
      </c>
      <c r="Z354" t="s">
        <v>8056</v>
      </c>
      <c r="AA354">
        <v>17.806</v>
      </c>
      <c r="AB354">
        <v>0.4</v>
      </c>
    </row>
    <row r="355" spans="1:28">
      <c r="A355" t="s">
        <v>5952</v>
      </c>
      <c r="B355" t="s">
        <v>5953</v>
      </c>
      <c r="C355" t="s">
        <v>5954</v>
      </c>
      <c r="D355" t="s">
        <v>7859</v>
      </c>
      <c r="E355" t="s">
        <v>7839</v>
      </c>
      <c r="F355" t="s">
        <v>7932</v>
      </c>
      <c r="G355" t="s">
        <v>7913</v>
      </c>
      <c r="H355" t="s">
        <v>9</v>
      </c>
      <c r="I355">
        <v>271.1</v>
      </c>
      <c r="J355">
        <v>10.591</v>
      </c>
      <c r="K355">
        <v>0.57</v>
      </c>
      <c r="M355" t="s">
        <v>7899</v>
      </c>
      <c r="N355">
        <v>163.866</v>
      </c>
      <c r="V355" t="s">
        <v>7859</v>
      </c>
      <c r="W355" t="s">
        <v>7839</v>
      </c>
      <c r="X355" t="s">
        <v>7932</v>
      </c>
      <c r="Y355">
        <v>271.1</v>
      </c>
      <c r="Z355" t="s">
        <v>7913</v>
      </c>
      <c r="AA355">
        <v>10.591</v>
      </c>
      <c r="AB355">
        <v>0.57</v>
      </c>
    </row>
    <row r="356" spans="1:28">
      <c r="A356" t="s">
        <v>6746</v>
      </c>
      <c r="B356" t="s">
        <v>6747</v>
      </c>
      <c r="C356" t="s">
        <v>6748</v>
      </c>
      <c r="D356" t="s">
        <v>7859</v>
      </c>
      <c r="E356" t="s">
        <v>7839</v>
      </c>
      <c r="F356" t="s">
        <v>7840</v>
      </c>
      <c r="G356" t="s">
        <v>8075</v>
      </c>
      <c r="H356" t="s">
        <v>9</v>
      </c>
      <c r="I356">
        <v>6635.708</v>
      </c>
      <c r="J356">
        <v>19.945</v>
      </c>
      <c r="K356">
        <v>0.7</v>
      </c>
      <c r="M356" t="s">
        <v>7978</v>
      </c>
      <c r="N356">
        <v>77.964</v>
      </c>
      <c r="V356" t="s">
        <v>7859</v>
      </c>
      <c r="W356" t="s">
        <v>7839</v>
      </c>
      <c r="X356" t="s">
        <v>7840</v>
      </c>
      <c r="Y356">
        <v>6635.708</v>
      </c>
      <c r="Z356" t="s">
        <v>8075</v>
      </c>
      <c r="AA356">
        <v>19.945</v>
      </c>
      <c r="AB356">
        <v>0.7</v>
      </c>
    </row>
    <row r="357" spans="1:28">
      <c r="A357" t="s">
        <v>1801</v>
      </c>
      <c r="B357" t="s">
        <v>1802</v>
      </c>
      <c r="C357" t="s">
        <v>1803</v>
      </c>
      <c r="D357" t="s">
        <v>7856</v>
      </c>
      <c r="E357" t="s">
        <v>7839</v>
      </c>
      <c r="F357" t="s">
        <v>7840</v>
      </c>
      <c r="G357" t="s">
        <v>8070</v>
      </c>
      <c r="H357" t="s">
        <v>9</v>
      </c>
      <c r="I357">
        <v>128.721</v>
      </c>
      <c r="J357">
        <v>15.685</v>
      </c>
      <c r="K357">
        <v>0.55</v>
      </c>
      <c r="M357" t="s">
        <v>7941</v>
      </c>
      <c r="N357">
        <v>31.029</v>
      </c>
      <c r="V357" t="s">
        <v>7856</v>
      </c>
      <c r="W357" t="s">
        <v>7839</v>
      </c>
      <c r="X357" t="s">
        <v>7840</v>
      </c>
      <c r="Y357">
        <v>128.721</v>
      </c>
      <c r="Z357" t="s">
        <v>8070</v>
      </c>
      <c r="AA357">
        <v>15.685</v>
      </c>
      <c r="AB357">
        <v>0.55</v>
      </c>
    </row>
    <row r="358" spans="1:28">
      <c r="A358" t="s">
        <v>2391</v>
      </c>
      <c r="B358" t="s">
        <v>2392</v>
      </c>
      <c r="C358" t="s">
        <v>2393</v>
      </c>
      <c r="D358" t="s">
        <v>7855</v>
      </c>
      <c r="E358" t="s">
        <v>7839</v>
      </c>
      <c r="F358" t="s">
        <v>7888</v>
      </c>
      <c r="G358" t="s">
        <v>8006</v>
      </c>
      <c r="H358" t="s">
        <v>9</v>
      </c>
      <c r="I358">
        <v>3.023</v>
      </c>
      <c r="J358">
        <v>52.236</v>
      </c>
      <c r="K358">
        <v>0.1</v>
      </c>
      <c r="M358" t="s">
        <v>7914</v>
      </c>
      <c r="N358">
        <v>52.09</v>
      </c>
      <c r="V358" t="s">
        <v>7855</v>
      </c>
      <c r="W358" t="s">
        <v>7839</v>
      </c>
      <c r="X358" t="s">
        <v>7888</v>
      </c>
      <c r="Y358">
        <v>3.023</v>
      </c>
      <c r="Z358" t="s">
        <v>8006</v>
      </c>
      <c r="AA358">
        <v>52.236</v>
      </c>
      <c r="AB358">
        <v>0.1</v>
      </c>
    </row>
    <row r="359" spans="1:28">
      <c r="A359" t="s">
        <v>2858</v>
      </c>
      <c r="B359" t="s">
        <v>2859</v>
      </c>
      <c r="C359" t="s">
        <v>2860</v>
      </c>
      <c r="D359" t="s">
        <v>7844</v>
      </c>
      <c r="E359" t="s">
        <v>7839</v>
      </c>
      <c r="F359" t="s">
        <v>7853</v>
      </c>
      <c r="G359" t="s">
        <v>7858</v>
      </c>
      <c r="H359" t="s">
        <v>9</v>
      </c>
      <c r="I359">
        <v>2189.428</v>
      </c>
      <c r="J359">
        <v>3.905</v>
      </c>
      <c r="K359">
        <v>0.18</v>
      </c>
      <c r="M359" t="s">
        <v>8056</v>
      </c>
      <c r="N359">
        <v>157.254</v>
      </c>
      <c r="V359" t="s">
        <v>7844</v>
      </c>
      <c r="W359" t="s">
        <v>7839</v>
      </c>
      <c r="X359" t="s">
        <v>7853</v>
      </c>
      <c r="Y359">
        <v>2189.428</v>
      </c>
      <c r="Z359" t="s">
        <v>7858</v>
      </c>
      <c r="AA359">
        <v>3.905</v>
      </c>
      <c r="AB359">
        <v>0.18</v>
      </c>
    </row>
    <row r="360" spans="1:28">
      <c r="A360" t="s">
        <v>2894</v>
      </c>
      <c r="B360" t="s">
        <v>2895</v>
      </c>
      <c r="C360" t="s">
        <v>2896</v>
      </c>
      <c r="D360" t="s">
        <v>7847</v>
      </c>
      <c r="E360" t="s">
        <v>7839</v>
      </c>
      <c r="F360" t="s">
        <v>7840</v>
      </c>
      <c r="G360" t="s">
        <v>8036</v>
      </c>
      <c r="H360" t="s">
        <v>9</v>
      </c>
      <c r="I360">
        <v>79.111</v>
      </c>
      <c r="J360">
        <v>100.022</v>
      </c>
      <c r="K360">
        <v>0.85</v>
      </c>
      <c r="M360" t="s">
        <v>7913</v>
      </c>
      <c r="N360">
        <v>271.1</v>
      </c>
      <c r="V360" t="s">
        <v>7847</v>
      </c>
      <c r="W360" t="s">
        <v>7839</v>
      </c>
      <c r="X360" t="s">
        <v>7840</v>
      </c>
      <c r="Y360">
        <v>79.111</v>
      </c>
      <c r="Z360" t="s">
        <v>8036</v>
      </c>
      <c r="AA360">
        <v>100.022</v>
      </c>
      <c r="AB360">
        <v>0.85</v>
      </c>
    </row>
    <row r="361" spans="1:28">
      <c r="A361" t="s">
        <v>3847</v>
      </c>
      <c r="B361" t="s">
        <v>3848</v>
      </c>
      <c r="C361" t="s">
        <v>3849</v>
      </c>
      <c r="D361" t="s">
        <v>7844</v>
      </c>
      <c r="E361" t="s">
        <v>7839</v>
      </c>
      <c r="F361" t="s">
        <v>7888</v>
      </c>
      <c r="G361" t="s">
        <v>8106</v>
      </c>
      <c r="H361" t="s">
        <v>9</v>
      </c>
      <c r="I361">
        <v>278.68</v>
      </c>
      <c r="J361">
        <v>22.368</v>
      </c>
      <c r="K361">
        <v>0.55</v>
      </c>
      <c r="M361" t="s">
        <v>8075</v>
      </c>
      <c r="N361">
        <v>6635.708</v>
      </c>
      <c r="V361" t="s">
        <v>7844</v>
      </c>
      <c r="W361" t="s">
        <v>7839</v>
      </c>
      <c r="X361" t="s">
        <v>7888</v>
      </c>
      <c r="Y361">
        <v>278.68</v>
      </c>
      <c r="Z361" t="s">
        <v>8106</v>
      </c>
      <c r="AA361">
        <v>22.368</v>
      </c>
      <c r="AB361">
        <v>0.55</v>
      </c>
    </row>
    <row r="362" spans="1:28">
      <c r="A362" t="s">
        <v>1432</v>
      </c>
      <c r="B362" t="s">
        <v>1433</v>
      </c>
      <c r="C362" t="s">
        <v>1434</v>
      </c>
      <c r="D362" t="s">
        <v>7864</v>
      </c>
      <c r="E362" t="s">
        <v>7839</v>
      </c>
      <c r="F362" t="s">
        <v>7840</v>
      </c>
      <c r="G362" t="s">
        <v>7954</v>
      </c>
      <c r="H362" t="s">
        <v>9</v>
      </c>
      <c r="I362">
        <v>52.576</v>
      </c>
      <c r="J362">
        <v>29.511</v>
      </c>
      <c r="K362">
        <v>0.49</v>
      </c>
      <c r="M362" t="s">
        <v>8070</v>
      </c>
      <c r="N362">
        <v>128.721</v>
      </c>
      <c r="V362" t="s">
        <v>7864</v>
      </c>
      <c r="W362" t="s">
        <v>7839</v>
      </c>
      <c r="X362" t="s">
        <v>7840</v>
      </c>
      <c r="Y362">
        <v>52.576</v>
      </c>
      <c r="Z362" t="s">
        <v>7954</v>
      </c>
      <c r="AA362">
        <v>29.511</v>
      </c>
      <c r="AB362">
        <v>0.49</v>
      </c>
    </row>
    <row r="363" spans="1:28">
      <c r="A363" t="s">
        <v>1870</v>
      </c>
      <c r="B363" t="s">
        <v>1871</v>
      </c>
      <c r="C363" t="s">
        <v>1872</v>
      </c>
      <c r="D363" t="s">
        <v>7850</v>
      </c>
      <c r="E363" t="s">
        <v>7848</v>
      </c>
      <c r="F363" t="s">
        <v>7840</v>
      </c>
      <c r="G363" t="s">
        <v>7978</v>
      </c>
      <c r="H363" t="s">
        <v>9</v>
      </c>
      <c r="I363">
        <v>59.049</v>
      </c>
      <c r="J363">
        <v>1.201</v>
      </c>
      <c r="K363">
        <v>0.65</v>
      </c>
      <c r="M363" t="s">
        <v>8006</v>
      </c>
      <c r="N363">
        <v>3.023</v>
      </c>
      <c r="V363" t="s">
        <v>7850</v>
      </c>
      <c r="W363" t="s">
        <v>7848</v>
      </c>
      <c r="X363" t="s">
        <v>7840</v>
      </c>
      <c r="Y363">
        <v>59.049</v>
      </c>
      <c r="Z363" t="s">
        <v>7978</v>
      </c>
      <c r="AA363">
        <v>1.201</v>
      </c>
      <c r="AB363">
        <v>0.65</v>
      </c>
    </row>
    <row r="364" spans="1:28">
      <c r="A364" t="s">
        <v>3447</v>
      </c>
      <c r="B364" t="s">
        <v>3448</v>
      </c>
      <c r="C364" t="s">
        <v>3449</v>
      </c>
      <c r="D364" t="s">
        <v>7847</v>
      </c>
      <c r="E364" t="s">
        <v>7839</v>
      </c>
      <c r="F364" t="s">
        <v>7840</v>
      </c>
      <c r="G364" t="s">
        <v>7880</v>
      </c>
      <c r="H364" t="s">
        <v>9</v>
      </c>
      <c r="I364">
        <v>202.032</v>
      </c>
      <c r="J364">
        <v>60.155</v>
      </c>
      <c r="K364">
        <v>0.35</v>
      </c>
      <c r="M364" t="s">
        <v>7858</v>
      </c>
      <c r="N364">
        <v>2189.428</v>
      </c>
      <c r="V364" t="s">
        <v>7847</v>
      </c>
      <c r="W364" t="s">
        <v>7839</v>
      </c>
      <c r="X364" t="s">
        <v>7840</v>
      </c>
      <c r="Y364">
        <v>202.032</v>
      </c>
      <c r="Z364" t="s">
        <v>7880</v>
      </c>
      <c r="AA364">
        <v>60.155</v>
      </c>
      <c r="AB364">
        <v>0.35</v>
      </c>
    </row>
    <row r="365" spans="1:28">
      <c r="A365" t="s">
        <v>3140</v>
      </c>
      <c r="B365" t="s">
        <v>3141</v>
      </c>
      <c r="C365" t="s">
        <v>3142</v>
      </c>
      <c r="D365" t="s">
        <v>7850</v>
      </c>
      <c r="E365" t="s">
        <v>7839</v>
      </c>
      <c r="F365" t="s">
        <v>7888</v>
      </c>
      <c r="G365" t="s">
        <v>7941</v>
      </c>
      <c r="H365" t="s">
        <v>9</v>
      </c>
      <c r="I365">
        <v>72.128</v>
      </c>
      <c r="J365">
        <v>16.128</v>
      </c>
      <c r="K365">
        <v>0.42</v>
      </c>
      <c r="M365" t="s">
        <v>8036</v>
      </c>
      <c r="N365">
        <v>79.111</v>
      </c>
      <c r="V365" t="s">
        <v>7850</v>
      </c>
      <c r="W365" t="s">
        <v>7839</v>
      </c>
      <c r="X365" t="s">
        <v>7888</v>
      </c>
      <c r="Y365">
        <v>72.128</v>
      </c>
      <c r="Z365" t="s">
        <v>7941</v>
      </c>
      <c r="AA365">
        <v>16.128</v>
      </c>
      <c r="AB365">
        <v>0.42</v>
      </c>
    </row>
    <row r="366" spans="1:28">
      <c r="A366" t="s">
        <v>4454</v>
      </c>
      <c r="B366" t="s">
        <v>4455</v>
      </c>
      <c r="C366" t="s">
        <v>4456</v>
      </c>
      <c r="D366" t="s">
        <v>7862</v>
      </c>
      <c r="E366" t="s">
        <v>7839</v>
      </c>
      <c r="F366" t="s">
        <v>7840</v>
      </c>
      <c r="G366" t="s">
        <v>8102</v>
      </c>
      <c r="H366" t="s">
        <v>9</v>
      </c>
      <c r="I366">
        <v>0.875</v>
      </c>
      <c r="J366">
        <v>95.597</v>
      </c>
      <c r="K366">
        <v>0.25</v>
      </c>
      <c r="M366" t="s">
        <v>8106</v>
      </c>
      <c r="N366">
        <v>278.68</v>
      </c>
      <c r="V366" t="s">
        <v>7862</v>
      </c>
      <c r="W366" t="s">
        <v>7839</v>
      </c>
      <c r="X366" t="s">
        <v>7840</v>
      </c>
      <c r="Y366">
        <v>0.875</v>
      </c>
      <c r="Z366" t="s">
        <v>8102</v>
      </c>
      <c r="AA366">
        <v>95.597</v>
      </c>
      <c r="AB366">
        <v>0.25</v>
      </c>
    </row>
    <row r="367" spans="1:28">
      <c r="A367" t="s">
        <v>1855</v>
      </c>
      <c r="B367" t="s">
        <v>1856</v>
      </c>
      <c r="C367" t="s">
        <v>1857</v>
      </c>
      <c r="D367" t="s">
        <v>7844</v>
      </c>
      <c r="E367" t="s">
        <v>7840</v>
      </c>
      <c r="F367" t="s">
        <v>7840</v>
      </c>
      <c r="G367" t="s">
        <v>8056</v>
      </c>
      <c r="H367" t="s">
        <v>9</v>
      </c>
      <c r="I367">
        <v>57.322</v>
      </c>
      <c r="K367">
        <v>0.25</v>
      </c>
      <c r="M367" t="s">
        <v>7954</v>
      </c>
      <c r="N367">
        <v>52.576</v>
      </c>
      <c r="V367" t="s">
        <v>7844</v>
      </c>
      <c r="W367" t="s">
        <v>7840</v>
      </c>
      <c r="X367" t="s">
        <v>7840</v>
      </c>
      <c r="Y367">
        <v>57.322</v>
      </c>
      <c r="Z367" t="s">
        <v>8056</v>
      </c>
      <c r="AB367">
        <v>0.25</v>
      </c>
    </row>
    <row r="368" spans="1:28">
      <c r="A368" t="s">
        <v>1934</v>
      </c>
      <c r="B368" t="s">
        <v>1935</v>
      </c>
      <c r="C368" t="s">
        <v>1936</v>
      </c>
      <c r="D368" t="s">
        <v>7850</v>
      </c>
      <c r="E368" t="s">
        <v>7839</v>
      </c>
      <c r="F368" t="s">
        <v>7840</v>
      </c>
      <c r="G368" t="s">
        <v>8012</v>
      </c>
      <c r="H368" t="s">
        <v>9</v>
      </c>
      <c r="I368">
        <v>149.419</v>
      </c>
      <c r="J368">
        <v>12.453</v>
      </c>
      <c r="K368">
        <v>0.39</v>
      </c>
      <c r="M368" t="s">
        <v>7978</v>
      </c>
      <c r="N368">
        <v>59.049</v>
      </c>
      <c r="V368" t="s">
        <v>7850</v>
      </c>
      <c r="W368" t="s">
        <v>7839</v>
      </c>
      <c r="X368" t="s">
        <v>7840</v>
      </c>
      <c r="Y368">
        <v>149.419</v>
      </c>
      <c r="Z368" t="s">
        <v>8012</v>
      </c>
      <c r="AA368">
        <v>12.453</v>
      </c>
      <c r="AB368">
        <v>0.39</v>
      </c>
    </row>
    <row r="369" spans="1:28">
      <c r="A369" t="s">
        <v>4418</v>
      </c>
      <c r="B369" t="s">
        <v>4419</v>
      </c>
      <c r="C369" t="s">
        <v>4420</v>
      </c>
      <c r="D369" t="s">
        <v>7862</v>
      </c>
      <c r="E369" t="s">
        <v>7839</v>
      </c>
      <c r="F369" t="s">
        <v>7840</v>
      </c>
      <c r="G369" t="s">
        <v>8102</v>
      </c>
      <c r="H369" t="s">
        <v>9</v>
      </c>
      <c r="I369">
        <v>3.261</v>
      </c>
      <c r="J369">
        <v>97.972</v>
      </c>
      <c r="K369">
        <v>0.25</v>
      </c>
      <c r="M369" t="s">
        <v>7880</v>
      </c>
      <c r="N369">
        <v>202.032</v>
      </c>
      <c r="V369" t="s">
        <v>7862</v>
      </c>
      <c r="W369" t="s">
        <v>7839</v>
      </c>
      <c r="X369" t="s">
        <v>7840</v>
      </c>
      <c r="Y369">
        <v>3.261</v>
      </c>
      <c r="Z369" t="s">
        <v>8102</v>
      </c>
      <c r="AA369">
        <v>97.972</v>
      </c>
      <c r="AB369">
        <v>0.25</v>
      </c>
    </row>
    <row r="370" spans="1:28">
      <c r="A370" t="s">
        <v>2476</v>
      </c>
      <c r="B370" t="s">
        <v>2477</v>
      </c>
      <c r="C370" t="s">
        <v>2478</v>
      </c>
      <c r="D370" t="s">
        <v>7847</v>
      </c>
      <c r="E370" t="s">
        <v>7839</v>
      </c>
      <c r="F370" t="s">
        <v>7888</v>
      </c>
      <c r="G370" t="s">
        <v>7854</v>
      </c>
      <c r="H370" t="s">
        <v>9</v>
      </c>
      <c r="I370">
        <v>626.608</v>
      </c>
      <c r="J370">
        <v>11.191</v>
      </c>
      <c r="K370">
        <v>0.06</v>
      </c>
      <c r="M370" t="s">
        <v>7941</v>
      </c>
      <c r="N370">
        <v>72.128</v>
      </c>
      <c r="V370" t="s">
        <v>7847</v>
      </c>
      <c r="W370" t="s">
        <v>7839</v>
      </c>
      <c r="X370" t="s">
        <v>7888</v>
      </c>
      <c r="Y370">
        <v>626.608</v>
      </c>
      <c r="Z370" t="s">
        <v>7854</v>
      </c>
      <c r="AA370">
        <v>11.191</v>
      </c>
      <c r="AB370">
        <v>0.06</v>
      </c>
    </row>
    <row r="371" spans="1:28">
      <c r="A371" t="s">
        <v>1826</v>
      </c>
      <c r="B371" t="s">
        <v>1827</v>
      </c>
      <c r="C371" t="s">
        <v>1828</v>
      </c>
      <c r="D371" t="s">
        <v>7844</v>
      </c>
      <c r="E371" t="s">
        <v>7839</v>
      </c>
      <c r="F371" t="s">
        <v>7888</v>
      </c>
      <c r="G371" t="s">
        <v>7988</v>
      </c>
      <c r="H371" t="s">
        <v>9</v>
      </c>
      <c r="I371">
        <v>140.651</v>
      </c>
      <c r="J371">
        <v>21.987</v>
      </c>
      <c r="K371">
        <v>0.35</v>
      </c>
      <c r="M371" t="s">
        <v>8102</v>
      </c>
      <c r="N371">
        <v>0.875</v>
      </c>
      <c r="V371" t="s">
        <v>7844</v>
      </c>
      <c r="W371" t="s">
        <v>7839</v>
      </c>
      <c r="X371" t="s">
        <v>7888</v>
      </c>
      <c r="Y371">
        <v>140.651</v>
      </c>
      <c r="Z371" t="s">
        <v>7988</v>
      </c>
      <c r="AA371">
        <v>21.987</v>
      </c>
      <c r="AB371">
        <v>0.35</v>
      </c>
    </row>
    <row r="372" spans="1:28">
      <c r="A372" t="s">
        <v>1809</v>
      </c>
      <c r="B372" t="s">
        <v>1810</v>
      </c>
      <c r="C372" t="s">
        <v>1811</v>
      </c>
      <c r="D372" t="s">
        <v>7847</v>
      </c>
      <c r="E372" t="s">
        <v>7839</v>
      </c>
      <c r="F372" t="s">
        <v>7840</v>
      </c>
      <c r="G372" t="s">
        <v>7851</v>
      </c>
      <c r="H372" t="s">
        <v>9</v>
      </c>
      <c r="I372">
        <v>10.003</v>
      </c>
      <c r="J372">
        <v>97.445</v>
      </c>
      <c r="K372">
        <v>0.7</v>
      </c>
      <c r="M372" t="s">
        <v>8056</v>
      </c>
      <c r="N372">
        <v>57.322</v>
      </c>
      <c r="V372" t="s">
        <v>7847</v>
      </c>
      <c r="W372" t="s">
        <v>7839</v>
      </c>
      <c r="X372" t="s">
        <v>7840</v>
      </c>
      <c r="Y372">
        <v>10.003</v>
      </c>
      <c r="Z372" t="s">
        <v>7851</v>
      </c>
      <c r="AA372">
        <v>97.445</v>
      </c>
      <c r="AB372">
        <v>0.7</v>
      </c>
    </row>
    <row r="373" spans="1:28">
      <c r="A373" t="s">
        <v>1635</v>
      </c>
      <c r="B373" t="s">
        <v>1636</v>
      </c>
      <c r="C373" t="s">
        <v>1637</v>
      </c>
      <c r="D373" t="s">
        <v>7847</v>
      </c>
      <c r="E373" t="s">
        <v>7839</v>
      </c>
      <c r="F373" t="s">
        <v>7840</v>
      </c>
      <c r="G373" t="s">
        <v>7905</v>
      </c>
      <c r="H373" t="s">
        <v>9</v>
      </c>
      <c r="I373">
        <v>15644.453</v>
      </c>
      <c r="J373">
        <v>16.466</v>
      </c>
      <c r="K373">
        <v>0.5</v>
      </c>
      <c r="M373" t="s">
        <v>8012</v>
      </c>
      <c r="N373">
        <v>149.419</v>
      </c>
      <c r="V373" t="s">
        <v>7847</v>
      </c>
      <c r="W373" t="s">
        <v>7839</v>
      </c>
      <c r="X373" t="s">
        <v>7840</v>
      </c>
      <c r="Y373">
        <v>15644.453</v>
      </c>
      <c r="Z373" t="s">
        <v>7905</v>
      </c>
      <c r="AA373">
        <v>16.466</v>
      </c>
      <c r="AB373">
        <v>0.5</v>
      </c>
    </row>
    <row r="374" spans="1:28">
      <c r="A374" t="s">
        <v>816</v>
      </c>
      <c r="B374" t="s">
        <v>817</v>
      </c>
      <c r="C374" t="s">
        <v>818</v>
      </c>
      <c r="D374" t="s">
        <v>7847</v>
      </c>
      <c r="E374" t="s">
        <v>7839</v>
      </c>
      <c r="F374" t="s">
        <v>7840</v>
      </c>
      <c r="G374" t="s">
        <v>7987</v>
      </c>
      <c r="H374" t="s">
        <v>9</v>
      </c>
      <c r="I374">
        <v>39.737</v>
      </c>
      <c r="J374">
        <v>13.018</v>
      </c>
      <c r="K374">
        <v>0.56</v>
      </c>
      <c r="M374" t="s">
        <v>8102</v>
      </c>
      <c r="N374">
        <v>3.261</v>
      </c>
      <c r="V374" t="s">
        <v>7847</v>
      </c>
      <c r="W374" t="s">
        <v>7839</v>
      </c>
      <c r="X374" t="s">
        <v>7840</v>
      </c>
      <c r="Y374">
        <v>39.737</v>
      </c>
      <c r="Z374" t="s">
        <v>7987</v>
      </c>
      <c r="AA374">
        <v>13.018</v>
      </c>
      <c r="AB374">
        <v>0.56</v>
      </c>
    </row>
    <row r="375" spans="1:28">
      <c r="A375" t="s">
        <v>5337</v>
      </c>
      <c r="B375" t="s">
        <v>5338</v>
      </c>
      <c r="C375" t="s">
        <v>5339</v>
      </c>
      <c r="D375" t="s">
        <v>7850</v>
      </c>
      <c r="E375" t="s">
        <v>7839</v>
      </c>
      <c r="F375" t="s">
        <v>7840</v>
      </c>
      <c r="G375" t="s">
        <v>7861</v>
      </c>
      <c r="H375" t="s">
        <v>9</v>
      </c>
      <c r="I375">
        <v>204.988</v>
      </c>
      <c r="J375">
        <v>6.784</v>
      </c>
      <c r="K375">
        <v>0.38</v>
      </c>
      <c r="M375" t="s">
        <v>7854</v>
      </c>
      <c r="N375">
        <v>626.608</v>
      </c>
      <c r="V375" t="s">
        <v>7850</v>
      </c>
      <c r="W375" t="s">
        <v>7839</v>
      </c>
      <c r="X375" t="s">
        <v>7840</v>
      </c>
      <c r="Y375">
        <v>204.988</v>
      </c>
      <c r="Z375" t="s">
        <v>7861</v>
      </c>
      <c r="AA375">
        <v>6.784</v>
      </c>
      <c r="AB375">
        <v>0.38</v>
      </c>
    </row>
    <row r="376" spans="1:28">
      <c r="A376" t="s">
        <v>4020</v>
      </c>
      <c r="B376" t="s">
        <v>4021</v>
      </c>
      <c r="C376" t="s">
        <v>4022</v>
      </c>
      <c r="D376" t="s">
        <v>7844</v>
      </c>
      <c r="E376" t="s">
        <v>7839</v>
      </c>
      <c r="F376" t="s">
        <v>7840</v>
      </c>
      <c r="G376" t="s">
        <v>7941</v>
      </c>
      <c r="H376" t="s">
        <v>9</v>
      </c>
      <c r="I376">
        <v>307.955</v>
      </c>
      <c r="J376">
        <v>3.567</v>
      </c>
      <c r="K376">
        <v>0.18</v>
      </c>
      <c r="M376" t="s">
        <v>7988</v>
      </c>
      <c r="N376">
        <v>140.651</v>
      </c>
      <c r="V376" t="s">
        <v>7844</v>
      </c>
      <c r="W376" t="s">
        <v>7839</v>
      </c>
      <c r="X376" t="s">
        <v>7840</v>
      </c>
      <c r="Y376">
        <v>307.955</v>
      </c>
      <c r="Z376" t="s">
        <v>7941</v>
      </c>
      <c r="AA376">
        <v>3.567</v>
      </c>
      <c r="AB376">
        <v>0.18</v>
      </c>
    </row>
    <row r="377" spans="1:28">
      <c r="A377" t="s">
        <v>1313</v>
      </c>
      <c r="B377" t="s">
        <v>1314</v>
      </c>
      <c r="C377" t="s">
        <v>1315</v>
      </c>
      <c r="D377" t="s">
        <v>7847</v>
      </c>
      <c r="E377" t="s">
        <v>7839</v>
      </c>
      <c r="F377" t="s">
        <v>7840</v>
      </c>
      <c r="G377" t="s">
        <v>7882</v>
      </c>
      <c r="H377" t="s">
        <v>9</v>
      </c>
      <c r="I377">
        <v>53.204</v>
      </c>
      <c r="J377">
        <v>30.231</v>
      </c>
      <c r="K377">
        <v>0.67</v>
      </c>
      <c r="M377" t="s">
        <v>7851</v>
      </c>
      <c r="N377">
        <v>10.003</v>
      </c>
      <c r="V377" t="s">
        <v>7847</v>
      </c>
      <c r="W377" t="s">
        <v>7839</v>
      </c>
      <c r="X377" t="s">
        <v>7840</v>
      </c>
      <c r="Y377">
        <v>53.204</v>
      </c>
      <c r="Z377" t="s">
        <v>7882</v>
      </c>
      <c r="AA377">
        <v>30.231</v>
      </c>
      <c r="AB377">
        <v>0.67</v>
      </c>
    </row>
    <row r="378" spans="1:28">
      <c r="A378" t="s">
        <v>3544</v>
      </c>
      <c r="B378" t="s">
        <v>3545</v>
      </c>
      <c r="C378" t="s">
        <v>3546</v>
      </c>
      <c r="D378" t="s">
        <v>7844</v>
      </c>
      <c r="E378" t="s">
        <v>7840</v>
      </c>
      <c r="F378" t="s">
        <v>7888</v>
      </c>
      <c r="G378" t="s">
        <v>7990</v>
      </c>
      <c r="H378" t="s">
        <v>9</v>
      </c>
      <c r="I378">
        <v>22.6</v>
      </c>
      <c r="K378">
        <v>0.26</v>
      </c>
      <c r="M378" t="s">
        <v>7905</v>
      </c>
      <c r="N378">
        <v>15644.453</v>
      </c>
      <c r="V378" t="s">
        <v>7844</v>
      </c>
      <c r="W378" t="s">
        <v>7840</v>
      </c>
      <c r="X378" t="s">
        <v>7888</v>
      </c>
      <c r="Y378">
        <v>22.6</v>
      </c>
      <c r="Z378" t="s">
        <v>7990</v>
      </c>
      <c r="AB378">
        <v>0.26</v>
      </c>
    </row>
    <row r="379" spans="1:28">
      <c r="A379" t="s">
        <v>4512</v>
      </c>
      <c r="B379" t="s">
        <v>4513</v>
      </c>
      <c r="C379" t="s">
        <v>4514</v>
      </c>
      <c r="D379" t="s">
        <v>7862</v>
      </c>
      <c r="E379" t="s">
        <v>7839</v>
      </c>
      <c r="F379" t="s">
        <v>7888</v>
      </c>
      <c r="G379" t="s">
        <v>8098</v>
      </c>
      <c r="H379" t="s">
        <v>9</v>
      </c>
      <c r="I379">
        <v>5.708</v>
      </c>
      <c r="J379">
        <v>88.896</v>
      </c>
      <c r="K379">
        <v>0.99</v>
      </c>
      <c r="M379" t="s">
        <v>7987</v>
      </c>
      <c r="N379">
        <v>39.737</v>
      </c>
      <c r="V379" t="s">
        <v>7862</v>
      </c>
      <c r="W379" t="s">
        <v>7839</v>
      </c>
      <c r="X379" t="s">
        <v>7888</v>
      </c>
      <c r="Y379">
        <v>5.708</v>
      </c>
      <c r="Z379" t="s">
        <v>8098</v>
      </c>
      <c r="AA379">
        <v>88.896</v>
      </c>
      <c r="AB379">
        <v>0.99</v>
      </c>
    </row>
    <row r="380" spans="1:28">
      <c r="A380" t="s">
        <v>2628</v>
      </c>
      <c r="B380" t="s">
        <v>2629</v>
      </c>
      <c r="C380" t="s">
        <v>2630</v>
      </c>
      <c r="D380" t="s">
        <v>7850</v>
      </c>
      <c r="E380" t="s">
        <v>7839</v>
      </c>
      <c r="F380" t="s">
        <v>7840</v>
      </c>
      <c r="G380" t="s">
        <v>8070</v>
      </c>
      <c r="H380" t="s">
        <v>9</v>
      </c>
      <c r="I380">
        <v>1615.492</v>
      </c>
      <c r="J380">
        <v>3.309</v>
      </c>
      <c r="K380">
        <v>0.08</v>
      </c>
      <c r="M380" t="s">
        <v>7861</v>
      </c>
      <c r="N380">
        <v>204.988</v>
      </c>
      <c r="V380" t="s">
        <v>7850</v>
      </c>
      <c r="W380" t="s">
        <v>7839</v>
      </c>
      <c r="X380" t="s">
        <v>7840</v>
      </c>
      <c r="Y380">
        <v>1615.492</v>
      </c>
      <c r="Z380" t="s">
        <v>8070</v>
      </c>
      <c r="AA380">
        <v>3.309</v>
      </c>
      <c r="AB380">
        <v>0.08</v>
      </c>
    </row>
    <row r="381" spans="1:28">
      <c r="A381" t="s">
        <v>3101</v>
      </c>
      <c r="B381" t="s">
        <v>3102</v>
      </c>
      <c r="C381" t="s">
        <v>3103</v>
      </c>
      <c r="D381" t="s">
        <v>7847</v>
      </c>
      <c r="E381" t="s">
        <v>7839</v>
      </c>
      <c r="F381" t="s">
        <v>7935</v>
      </c>
      <c r="G381" t="s">
        <v>8080</v>
      </c>
      <c r="H381" t="s">
        <v>9</v>
      </c>
      <c r="I381">
        <v>118.433</v>
      </c>
      <c r="J381">
        <v>24.716</v>
      </c>
      <c r="K381">
        <v>0.45</v>
      </c>
      <c r="M381" t="s">
        <v>7941</v>
      </c>
      <c r="N381">
        <v>307.955</v>
      </c>
      <c r="V381" t="s">
        <v>7847</v>
      </c>
      <c r="W381" t="s">
        <v>7839</v>
      </c>
      <c r="X381" t="s">
        <v>7935</v>
      </c>
      <c r="Y381">
        <v>118.433</v>
      </c>
      <c r="Z381" t="s">
        <v>8080</v>
      </c>
      <c r="AA381">
        <v>24.716</v>
      </c>
      <c r="AB381">
        <v>0.45</v>
      </c>
    </row>
    <row r="382" spans="1:28">
      <c r="A382" t="s">
        <v>4689</v>
      </c>
      <c r="B382" t="s">
        <v>4690</v>
      </c>
      <c r="C382" t="s">
        <v>4691</v>
      </c>
      <c r="D382" t="s">
        <v>7847</v>
      </c>
      <c r="E382" t="s">
        <v>7839</v>
      </c>
      <c r="F382" t="s">
        <v>7853</v>
      </c>
      <c r="G382" t="s">
        <v>8004</v>
      </c>
      <c r="H382" t="s">
        <v>9</v>
      </c>
      <c r="I382">
        <v>37.144</v>
      </c>
      <c r="J382">
        <v>21.931</v>
      </c>
      <c r="K382">
        <v>0.35</v>
      </c>
      <c r="M382" t="s">
        <v>7882</v>
      </c>
      <c r="N382">
        <v>53.204</v>
      </c>
      <c r="V382" t="s">
        <v>7847</v>
      </c>
      <c r="W382" t="s">
        <v>7839</v>
      </c>
      <c r="X382" t="s">
        <v>7853</v>
      </c>
      <c r="Y382">
        <v>37.144</v>
      </c>
      <c r="Z382" t="s">
        <v>8004</v>
      </c>
      <c r="AA382">
        <v>21.931</v>
      </c>
      <c r="AB382">
        <v>0.35</v>
      </c>
    </row>
    <row r="383" spans="1:28">
      <c r="A383" t="s">
        <v>1122</v>
      </c>
      <c r="B383" t="s">
        <v>1123</v>
      </c>
      <c r="C383" t="s">
        <v>1124</v>
      </c>
      <c r="D383" t="s">
        <v>7850</v>
      </c>
      <c r="E383" t="s">
        <v>7839</v>
      </c>
      <c r="F383" t="s">
        <v>7840</v>
      </c>
      <c r="G383" t="s">
        <v>7925</v>
      </c>
      <c r="H383" t="s">
        <v>9</v>
      </c>
      <c r="I383">
        <v>158.434</v>
      </c>
      <c r="J383">
        <v>65.081</v>
      </c>
      <c r="K383">
        <v>0.5</v>
      </c>
      <c r="M383" t="s">
        <v>7990</v>
      </c>
      <c r="N383">
        <v>22.6</v>
      </c>
      <c r="V383" t="s">
        <v>7850</v>
      </c>
      <c r="W383" t="s">
        <v>7839</v>
      </c>
      <c r="X383" t="s">
        <v>7840</v>
      </c>
      <c r="Y383">
        <v>158.434</v>
      </c>
      <c r="Z383" t="s">
        <v>7925</v>
      </c>
      <c r="AA383">
        <v>65.081</v>
      </c>
      <c r="AB383">
        <v>0.5</v>
      </c>
    </row>
    <row r="384" spans="1:28">
      <c r="A384" t="s">
        <v>2300</v>
      </c>
      <c r="B384" t="s">
        <v>2301</v>
      </c>
      <c r="C384" t="s">
        <v>2302</v>
      </c>
      <c r="D384" t="s">
        <v>7844</v>
      </c>
      <c r="E384" t="s">
        <v>7839</v>
      </c>
      <c r="F384" t="s">
        <v>7853</v>
      </c>
      <c r="G384" t="s">
        <v>7914</v>
      </c>
      <c r="H384" t="s">
        <v>9</v>
      </c>
      <c r="I384">
        <v>21.829</v>
      </c>
      <c r="J384">
        <v>19.296</v>
      </c>
      <c r="K384">
        <v>0.35</v>
      </c>
      <c r="M384" t="s">
        <v>8098</v>
      </c>
      <c r="N384">
        <v>5.708</v>
      </c>
      <c r="V384" t="s">
        <v>7844</v>
      </c>
      <c r="W384" t="s">
        <v>7839</v>
      </c>
      <c r="X384" t="s">
        <v>7853</v>
      </c>
      <c r="Y384">
        <v>21.829</v>
      </c>
      <c r="Z384" t="s">
        <v>7914</v>
      </c>
      <c r="AA384">
        <v>19.296</v>
      </c>
      <c r="AB384">
        <v>0.35</v>
      </c>
    </row>
    <row r="385" spans="1:28">
      <c r="A385" t="s">
        <v>2188</v>
      </c>
      <c r="B385" t="s">
        <v>2189</v>
      </c>
      <c r="C385" t="s">
        <v>2190</v>
      </c>
      <c r="D385" t="s">
        <v>7864</v>
      </c>
      <c r="E385" t="s">
        <v>7839</v>
      </c>
      <c r="F385" t="s">
        <v>7840</v>
      </c>
      <c r="G385" t="s">
        <v>7858</v>
      </c>
      <c r="H385" t="s">
        <v>9</v>
      </c>
      <c r="I385">
        <v>152.356</v>
      </c>
      <c r="J385">
        <v>40.427</v>
      </c>
      <c r="K385">
        <v>0.45</v>
      </c>
      <c r="M385" t="s">
        <v>8070</v>
      </c>
      <c r="N385">
        <v>1615.492</v>
      </c>
      <c r="V385" t="s">
        <v>7864</v>
      </c>
      <c r="W385" t="s">
        <v>7839</v>
      </c>
      <c r="X385" t="s">
        <v>7840</v>
      </c>
      <c r="Y385">
        <v>152.356</v>
      </c>
      <c r="Z385" t="s">
        <v>7858</v>
      </c>
      <c r="AA385">
        <v>40.427</v>
      </c>
      <c r="AB385">
        <v>0.45</v>
      </c>
    </row>
    <row r="386" spans="1:28">
      <c r="A386" t="s">
        <v>2582</v>
      </c>
      <c r="B386" t="s">
        <v>2583</v>
      </c>
      <c r="C386" t="s">
        <v>2584</v>
      </c>
      <c r="D386" t="s">
        <v>7850</v>
      </c>
      <c r="E386" t="s">
        <v>7839</v>
      </c>
      <c r="F386" t="s">
        <v>7888</v>
      </c>
      <c r="G386" t="s">
        <v>7854</v>
      </c>
      <c r="H386" t="s">
        <v>9</v>
      </c>
      <c r="I386">
        <v>12.854</v>
      </c>
      <c r="J386">
        <v>15.49</v>
      </c>
      <c r="K386">
        <v>0.35</v>
      </c>
      <c r="M386" t="s">
        <v>8080</v>
      </c>
      <c r="N386">
        <v>118.433</v>
      </c>
      <c r="V386" t="s">
        <v>7850</v>
      </c>
      <c r="W386" t="s">
        <v>7839</v>
      </c>
      <c r="X386" t="s">
        <v>7888</v>
      </c>
      <c r="Y386">
        <v>12.854</v>
      </c>
      <c r="Z386" t="s">
        <v>7854</v>
      </c>
      <c r="AA386">
        <v>15.49</v>
      </c>
      <c r="AB386">
        <v>0.35</v>
      </c>
    </row>
    <row r="387" spans="1:28">
      <c r="A387" t="s">
        <v>1879</v>
      </c>
      <c r="B387" t="s">
        <v>1880</v>
      </c>
      <c r="C387" t="s">
        <v>1881</v>
      </c>
      <c r="D387" t="s">
        <v>7844</v>
      </c>
      <c r="E387" t="s">
        <v>7839</v>
      </c>
      <c r="F387" t="s">
        <v>7935</v>
      </c>
      <c r="G387" t="s">
        <v>7969</v>
      </c>
      <c r="H387" t="s">
        <v>9</v>
      </c>
      <c r="I387">
        <v>593.541</v>
      </c>
      <c r="J387">
        <v>12.263</v>
      </c>
      <c r="K387">
        <v>0.19</v>
      </c>
      <c r="M387" t="s">
        <v>8004</v>
      </c>
      <c r="N387">
        <v>37.144</v>
      </c>
      <c r="V387" t="s">
        <v>7844</v>
      </c>
      <c r="W387" t="s">
        <v>7839</v>
      </c>
      <c r="X387" t="s">
        <v>7935</v>
      </c>
      <c r="Y387">
        <v>593.541</v>
      </c>
      <c r="Z387" t="s">
        <v>7969</v>
      </c>
      <c r="AA387">
        <v>12.263</v>
      </c>
      <c r="AB387">
        <v>0.19</v>
      </c>
    </row>
    <row r="388" spans="1:28">
      <c r="A388" t="s">
        <v>1459</v>
      </c>
      <c r="B388" t="s">
        <v>1460</v>
      </c>
      <c r="C388" t="s">
        <v>1461</v>
      </c>
      <c r="D388" t="s">
        <v>7844</v>
      </c>
      <c r="E388" t="s">
        <v>7839</v>
      </c>
      <c r="F388" t="s">
        <v>7935</v>
      </c>
      <c r="G388" t="s">
        <v>7852</v>
      </c>
      <c r="H388" t="s">
        <v>9</v>
      </c>
      <c r="I388">
        <v>3517.774</v>
      </c>
      <c r="J388">
        <v>6.384</v>
      </c>
      <c r="K388">
        <v>0.2</v>
      </c>
      <c r="M388" t="s">
        <v>7925</v>
      </c>
      <c r="N388">
        <v>158.434</v>
      </c>
      <c r="V388" t="s">
        <v>7844</v>
      </c>
      <c r="W388" t="s">
        <v>7839</v>
      </c>
      <c r="X388" t="s">
        <v>7935</v>
      </c>
      <c r="Y388">
        <v>3517.774</v>
      </c>
      <c r="Z388" t="s">
        <v>7852</v>
      </c>
      <c r="AA388">
        <v>6.384</v>
      </c>
      <c r="AB388">
        <v>0.2</v>
      </c>
    </row>
    <row r="389" spans="1:28">
      <c r="A389" t="s">
        <v>945</v>
      </c>
      <c r="B389" t="s">
        <v>946</v>
      </c>
      <c r="C389" t="s">
        <v>947</v>
      </c>
      <c r="D389" t="s">
        <v>7864</v>
      </c>
      <c r="E389" t="s">
        <v>7839</v>
      </c>
      <c r="F389" t="s">
        <v>7840</v>
      </c>
      <c r="G389" t="s">
        <v>7905</v>
      </c>
      <c r="H389" t="s">
        <v>9</v>
      </c>
      <c r="I389">
        <v>74.516</v>
      </c>
      <c r="J389">
        <v>37.397</v>
      </c>
      <c r="K389">
        <v>0.45</v>
      </c>
      <c r="M389" t="s">
        <v>7914</v>
      </c>
      <c r="N389">
        <v>21.829</v>
      </c>
      <c r="V389" t="s">
        <v>7864</v>
      </c>
      <c r="W389" t="s">
        <v>7839</v>
      </c>
      <c r="X389" t="s">
        <v>7840</v>
      </c>
      <c r="Y389">
        <v>74.516</v>
      </c>
      <c r="Z389" t="s">
        <v>7905</v>
      </c>
      <c r="AA389">
        <v>37.397</v>
      </c>
      <c r="AB389">
        <v>0.45</v>
      </c>
    </row>
    <row r="390" spans="1:28">
      <c r="A390" t="s">
        <v>2940</v>
      </c>
      <c r="B390" t="s">
        <v>2941</v>
      </c>
      <c r="C390" t="s">
        <v>2942</v>
      </c>
      <c r="D390" t="s">
        <v>7850</v>
      </c>
      <c r="E390" t="s">
        <v>7839</v>
      </c>
      <c r="F390" t="s">
        <v>7853</v>
      </c>
      <c r="G390" t="s">
        <v>7877</v>
      </c>
      <c r="H390" t="s">
        <v>9</v>
      </c>
      <c r="I390">
        <v>104.337</v>
      </c>
      <c r="J390">
        <v>10.709</v>
      </c>
      <c r="K390">
        <v>0.44</v>
      </c>
      <c r="M390" t="s">
        <v>7858</v>
      </c>
      <c r="N390">
        <v>152.356</v>
      </c>
      <c r="V390" t="s">
        <v>7850</v>
      </c>
      <c r="W390" t="s">
        <v>7839</v>
      </c>
      <c r="X390" t="s">
        <v>7853</v>
      </c>
      <c r="Y390">
        <v>104.337</v>
      </c>
      <c r="Z390" t="s">
        <v>7877</v>
      </c>
      <c r="AA390">
        <v>10.709</v>
      </c>
      <c r="AB390">
        <v>0.44</v>
      </c>
    </row>
    <row r="391" spans="1:28">
      <c r="A391" t="s">
        <v>306</v>
      </c>
      <c r="B391" t="s">
        <v>307</v>
      </c>
      <c r="C391" t="s">
        <v>308</v>
      </c>
      <c r="D391" t="s">
        <v>7850</v>
      </c>
      <c r="E391" t="s">
        <v>7839</v>
      </c>
      <c r="F391" t="s">
        <v>7840</v>
      </c>
      <c r="G391" t="s">
        <v>7858</v>
      </c>
      <c r="H391" t="s">
        <v>9</v>
      </c>
      <c r="I391">
        <v>48.36</v>
      </c>
      <c r="J391">
        <v>5.088</v>
      </c>
      <c r="K391">
        <v>0.4</v>
      </c>
      <c r="M391" t="s">
        <v>7854</v>
      </c>
      <c r="N391">
        <v>12.854</v>
      </c>
      <c r="V391" t="s">
        <v>7850</v>
      </c>
      <c r="W391" t="s">
        <v>7839</v>
      </c>
      <c r="X391" t="s">
        <v>7840</v>
      </c>
      <c r="Y391">
        <v>48.36</v>
      </c>
      <c r="Z391" t="s">
        <v>7858</v>
      </c>
      <c r="AA391">
        <v>5.088</v>
      </c>
      <c r="AB391">
        <v>0.4</v>
      </c>
    </row>
    <row r="392" spans="1:28">
      <c r="A392" t="s">
        <v>2879</v>
      </c>
      <c r="B392" t="s">
        <v>2880</v>
      </c>
      <c r="C392" t="s">
        <v>2881</v>
      </c>
      <c r="D392" t="s">
        <v>7850</v>
      </c>
      <c r="E392" t="s">
        <v>7839</v>
      </c>
      <c r="F392" t="s">
        <v>7840</v>
      </c>
      <c r="G392" t="s">
        <v>7941</v>
      </c>
      <c r="H392" t="s">
        <v>9</v>
      </c>
      <c r="I392">
        <v>606.584</v>
      </c>
      <c r="J392">
        <v>13.256</v>
      </c>
      <c r="K392">
        <v>0.42</v>
      </c>
      <c r="M392" t="s">
        <v>7969</v>
      </c>
      <c r="N392">
        <v>593.541</v>
      </c>
      <c r="V392" t="s">
        <v>7850</v>
      </c>
      <c r="W392" t="s">
        <v>7839</v>
      </c>
      <c r="X392" t="s">
        <v>7840</v>
      </c>
      <c r="Y392">
        <v>606.584</v>
      </c>
      <c r="Z392" t="s">
        <v>7941</v>
      </c>
      <c r="AA392">
        <v>13.256</v>
      </c>
      <c r="AB392">
        <v>0.42</v>
      </c>
    </row>
    <row r="393" spans="1:28">
      <c r="A393" t="s">
        <v>4203</v>
      </c>
      <c r="B393" t="s">
        <v>4204</v>
      </c>
      <c r="C393" t="s">
        <v>4205</v>
      </c>
      <c r="D393" t="s">
        <v>7862</v>
      </c>
      <c r="E393" t="s">
        <v>7839</v>
      </c>
      <c r="F393" t="s">
        <v>7888</v>
      </c>
      <c r="G393" t="s">
        <v>8092</v>
      </c>
      <c r="H393" t="s">
        <v>9</v>
      </c>
      <c r="I393">
        <v>25.242</v>
      </c>
      <c r="J393">
        <v>99.243</v>
      </c>
      <c r="K393">
        <v>0.15</v>
      </c>
      <c r="M393" t="s">
        <v>7852</v>
      </c>
      <c r="N393">
        <v>3517.774</v>
      </c>
      <c r="V393" t="s">
        <v>7862</v>
      </c>
      <c r="W393" t="s">
        <v>7839</v>
      </c>
      <c r="X393" t="s">
        <v>7888</v>
      </c>
      <c r="Y393">
        <v>25.242</v>
      </c>
      <c r="Z393" t="s">
        <v>8092</v>
      </c>
      <c r="AA393">
        <v>99.243</v>
      </c>
      <c r="AB393">
        <v>0.15</v>
      </c>
    </row>
    <row r="394" spans="1:28">
      <c r="A394" t="s">
        <v>2409</v>
      </c>
      <c r="B394" t="s">
        <v>1296</v>
      </c>
      <c r="C394" t="s">
        <v>2410</v>
      </c>
      <c r="D394" t="s">
        <v>7850</v>
      </c>
      <c r="E394" t="s">
        <v>7839</v>
      </c>
      <c r="F394" t="s">
        <v>7840</v>
      </c>
      <c r="G394" t="s">
        <v>7890</v>
      </c>
      <c r="H394" t="s">
        <v>9</v>
      </c>
      <c r="I394">
        <v>663.617</v>
      </c>
      <c r="J394">
        <v>18.389</v>
      </c>
      <c r="K394">
        <v>0.29</v>
      </c>
      <c r="M394" t="s">
        <v>7905</v>
      </c>
      <c r="N394">
        <v>74.516</v>
      </c>
      <c r="V394" t="s">
        <v>7850</v>
      </c>
      <c r="W394" t="s">
        <v>7839</v>
      </c>
      <c r="X394" t="s">
        <v>7840</v>
      </c>
      <c r="Y394">
        <v>663.617</v>
      </c>
      <c r="Z394" t="s">
        <v>7890</v>
      </c>
      <c r="AA394">
        <v>18.389</v>
      </c>
      <c r="AB394">
        <v>0.29</v>
      </c>
    </row>
    <row r="395" spans="1:28">
      <c r="A395" t="s">
        <v>2500</v>
      </c>
      <c r="B395" t="s">
        <v>2501</v>
      </c>
      <c r="C395" t="s">
        <v>2502</v>
      </c>
      <c r="D395" t="s">
        <v>7847</v>
      </c>
      <c r="E395" t="s">
        <v>7839</v>
      </c>
      <c r="F395" t="s">
        <v>7840</v>
      </c>
      <c r="G395" t="s">
        <v>7905</v>
      </c>
      <c r="H395" t="s">
        <v>9</v>
      </c>
      <c r="I395">
        <v>523.782</v>
      </c>
      <c r="J395">
        <v>36.333</v>
      </c>
      <c r="K395">
        <v>0.4</v>
      </c>
      <c r="M395" t="s">
        <v>7877</v>
      </c>
      <c r="N395">
        <v>104.337</v>
      </c>
      <c r="V395" t="s">
        <v>7847</v>
      </c>
      <c r="W395" t="s">
        <v>7839</v>
      </c>
      <c r="X395" t="s">
        <v>7840</v>
      </c>
      <c r="Y395">
        <v>523.782</v>
      </c>
      <c r="Z395" t="s">
        <v>7905</v>
      </c>
      <c r="AA395">
        <v>36.333</v>
      </c>
      <c r="AB395">
        <v>0.4</v>
      </c>
    </row>
    <row r="396" spans="1:28">
      <c r="A396" t="s">
        <v>2961</v>
      </c>
      <c r="B396" t="s">
        <v>2962</v>
      </c>
      <c r="C396" t="s">
        <v>2963</v>
      </c>
      <c r="D396" t="s">
        <v>7847</v>
      </c>
      <c r="E396" t="s">
        <v>7839</v>
      </c>
      <c r="F396" t="s">
        <v>7840</v>
      </c>
      <c r="G396" t="s">
        <v>8083</v>
      </c>
      <c r="H396" t="s">
        <v>9</v>
      </c>
      <c r="I396">
        <v>182.009</v>
      </c>
      <c r="J396">
        <v>42.991</v>
      </c>
      <c r="K396">
        <v>0.002</v>
      </c>
      <c r="M396" t="s">
        <v>7858</v>
      </c>
      <c r="N396">
        <v>48.36</v>
      </c>
      <c r="V396" t="s">
        <v>7847</v>
      </c>
      <c r="W396" t="s">
        <v>7839</v>
      </c>
      <c r="X396" t="s">
        <v>7840</v>
      </c>
      <c r="Y396">
        <v>182.009</v>
      </c>
      <c r="Z396" t="s">
        <v>8083</v>
      </c>
      <c r="AA396">
        <v>42.991</v>
      </c>
      <c r="AB396">
        <v>0.002</v>
      </c>
    </row>
    <row r="397" spans="1:28">
      <c r="A397" t="s">
        <v>810</v>
      </c>
      <c r="B397" t="s">
        <v>811</v>
      </c>
      <c r="C397" t="s">
        <v>812</v>
      </c>
      <c r="D397" t="s">
        <v>7850</v>
      </c>
      <c r="E397" t="s">
        <v>7839</v>
      </c>
      <c r="F397" t="s">
        <v>7840</v>
      </c>
      <c r="G397" t="s">
        <v>7892</v>
      </c>
      <c r="H397" t="s">
        <v>9</v>
      </c>
      <c r="I397">
        <v>16.823</v>
      </c>
      <c r="J397">
        <v>50.669</v>
      </c>
      <c r="K397">
        <v>0.75</v>
      </c>
      <c r="M397" t="s">
        <v>7941</v>
      </c>
      <c r="N397">
        <v>606.584</v>
      </c>
      <c r="V397" t="s">
        <v>7850</v>
      </c>
      <c r="W397" t="s">
        <v>7839</v>
      </c>
      <c r="X397" t="s">
        <v>7840</v>
      </c>
      <c r="Y397">
        <v>16.823</v>
      </c>
      <c r="Z397" t="s">
        <v>7892</v>
      </c>
      <c r="AA397">
        <v>50.669</v>
      </c>
      <c r="AB397">
        <v>0.75</v>
      </c>
    </row>
    <row r="398" spans="1:28">
      <c r="A398" t="s">
        <v>2784</v>
      </c>
      <c r="B398" t="s">
        <v>2785</v>
      </c>
      <c r="C398" t="s">
        <v>2786</v>
      </c>
      <c r="D398" t="s">
        <v>7847</v>
      </c>
      <c r="E398" t="s">
        <v>7839</v>
      </c>
      <c r="F398" t="s">
        <v>7840</v>
      </c>
      <c r="G398" t="s">
        <v>8104</v>
      </c>
      <c r="H398" t="s">
        <v>9</v>
      </c>
      <c r="I398">
        <v>75.518</v>
      </c>
      <c r="J398">
        <v>16.949</v>
      </c>
      <c r="K398">
        <v>0.55</v>
      </c>
      <c r="M398" t="s">
        <v>8092</v>
      </c>
      <c r="N398">
        <v>25.242</v>
      </c>
      <c r="V398" t="s">
        <v>7847</v>
      </c>
      <c r="W398" t="s">
        <v>7839</v>
      </c>
      <c r="X398" t="s">
        <v>7840</v>
      </c>
      <c r="Y398">
        <v>75.518</v>
      </c>
      <c r="Z398" t="s">
        <v>8104</v>
      </c>
      <c r="AA398">
        <v>16.949</v>
      </c>
      <c r="AB398">
        <v>0.55</v>
      </c>
    </row>
    <row r="399" spans="1:28">
      <c r="A399" t="s">
        <v>5015</v>
      </c>
      <c r="B399" t="s">
        <v>5016</v>
      </c>
      <c r="C399" t="s">
        <v>5017</v>
      </c>
      <c r="D399" t="s">
        <v>7862</v>
      </c>
      <c r="E399" t="s">
        <v>7839</v>
      </c>
      <c r="F399" t="s">
        <v>7840</v>
      </c>
      <c r="G399" t="s">
        <v>8102</v>
      </c>
      <c r="H399" t="s">
        <v>9</v>
      </c>
      <c r="I399">
        <v>3.523</v>
      </c>
      <c r="J399">
        <v>92.108</v>
      </c>
      <c r="K399">
        <v>0.25</v>
      </c>
      <c r="M399" t="s">
        <v>7890</v>
      </c>
      <c r="N399">
        <v>663.617</v>
      </c>
      <c r="V399" t="s">
        <v>7862</v>
      </c>
      <c r="W399" t="s">
        <v>7839</v>
      </c>
      <c r="X399" t="s">
        <v>7840</v>
      </c>
      <c r="Y399">
        <v>3.523</v>
      </c>
      <c r="Z399" t="s">
        <v>8102</v>
      </c>
      <c r="AA399">
        <v>92.108</v>
      </c>
      <c r="AB399">
        <v>0.25</v>
      </c>
    </row>
    <row r="400" spans="1:28">
      <c r="A400" t="s">
        <v>5590</v>
      </c>
      <c r="B400" t="s">
        <v>5591</v>
      </c>
      <c r="C400" t="s">
        <v>5592</v>
      </c>
      <c r="D400" t="s">
        <v>7847</v>
      </c>
      <c r="E400" t="s">
        <v>7839</v>
      </c>
      <c r="F400" t="s">
        <v>7840</v>
      </c>
      <c r="G400" t="s">
        <v>8041</v>
      </c>
      <c r="H400" t="s">
        <v>9</v>
      </c>
      <c r="I400">
        <v>31.24</v>
      </c>
      <c r="J400">
        <v>100.065</v>
      </c>
      <c r="K400">
        <v>1.1</v>
      </c>
      <c r="M400" t="s">
        <v>7905</v>
      </c>
      <c r="N400">
        <v>523.782</v>
      </c>
      <c r="V400" t="s">
        <v>7847</v>
      </c>
      <c r="W400" t="s">
        <v>7839</v>
      </c>
      <c r="X400" t="s">
        <v>7840</v>
      </c>
      <c r="Y400">
        <v>31.24</v>
      </c>
      <c r="Z400" t="s">
        <v>8041</v>
      </c>
      <c r="AA400">
        <v>100.065</v>
      </c>
      <c r="AB400">
        <v>1.1</v>
      </c>
    </row>
    <row r="401" spans="1:28">
      <c r="A401" t="s">
        <v>1789</v>
      </c>
      <c r="B401" t="s">
        <v>1790</v>
      </c>
      <c r="C401" t="s">
        <v>1791</v>
      </c>
      <c r="D401" t="s">
        <v>7855</v>
      </c>
      <c r="E401" t="s">
        <v>7839</v>
      </c>
      <c r="F401" t="s">
        <v>7840</v>
      </c>
      <c r="G401" t="s">
        <v>8002</v>
      </c>
      <c r="H401" t="s">
        <v>9</v>
      </c>
      <c r="I401">
        <v>214.273</v>
      </c>
      <c r="J401">
        <v>55.94</v>
      </c>
      <c r="K401">
        <v>0.12</v>
      </c>
      <c r="M401" t="s">
        <v>8083</v>
      </c>
      <c r="N401">
        <v>182.009</v>
      </c>
      <c r="V401" t="s">
        <v>7855</v>
      </c>
      <c r="W401" t="s">
        <v>7839</v>
      </c>
      <c r="X401" t="s">
        <v>7840</v>
      </c>
      <c r="Y401">
        <v>214.273</v>
      </c>
      <c r="Z401" t="s">
        <v>8002</v>
      </c>
      <c r="AA401">
        <v>55.94</v>
      </c>
      <c r="AB401">
        <v>0.12</v>
      </c>
    </row>
    <row r="402" spans="1:28">
      <c r="A402" t="s">
        <v>2098</v>
      </c>
      <c r="B402" t="s">
        <v>2099</v>
      </c>
      <c r="C402" t="s">
        <v>2100</v>
      </c>
      <c r="D402" t="s">
        <v>7850</v>
      </c>
      <c r="E402" t="s">
        <v>7839</v>
      </c>
      <c r="F402" t="s">
        <v>7840</v>
      </c>
      <c r="G402" t="s">
        <v>7999</v>
      </c>
      <c r="H402" t="s">
        <v>9</v>
      </c>
      <c r="I402">
        <v>387.446</v>
      </c>
      <c r="J402">
        <v>3.35</v>
      </c>
      <c r="K402">
        <v>0.5</v>
      </c>
      <c r="M402" t="s">
        <v>7892</v>
      </c>
      <c r="N402">
        <v>16.823</v>
      </c>
      <c r="V402" t="s">
        <v>7850</v>
      </c>
      <c r="W402" t="s">
        <v>7839</v>
      </c>
      <c r="X402" t="s">
        <v>7840</v>
      </c>
      <c r="Y402">
        <v>387.446</v>
      </c>
      <c r="Z402" t="s">
        <v>7999</v>
      </c>
      <c r="AA402">
        <v>3.35</v>
      </c>
      <c r="AB402">
        <v>0.5</v>
      </c>
    </row>
    <row r="403" spans="1:28">
      <c r="A403" t="s">
        <v>2031</v>
      </c>
      <c r="B403" t="s">
        <v>2032</v>
      </c>
      <c r="C403" t="s">
        <v>2033</v>
      </c>
      <c r="D403" t="s">
        <v>7850</v>
      </c>
      <c r="E403" t="s">
        <v>7839</v>
      </c>
      <c r="F403" t="s">
        <v>7840</v>
      </c>
      <c r="G403" t="s">
        <v>7914</v>
      </c>
      <c r="H403" t="s">
        <v>9</v>
      </c>
      <c r="I403">
        <v>31.711</v>
      </c>
      <c r="J403">
        <v>7.86</v>
      </c>
      <c r="K403">
        <v>0.3</v>
      </c>
      <c r="M403" t="s">
        <v>8104</v>
      </c>
      <c r="N403">
        <v>75.518</v>
      </c>
      <c r="V403" t="s">
        <v>7850</v>
      </c>
      <c r="W403" t="s">
        <v>7839</v>
      </c>
      <c r="X403" t="s">
        <v>7840</v>
      </c>
      <c r="Y403">
        <v>31.711</v>
      </c>
      <c r="Z403" t="s">
        <v>7914</v>
      </c>
      <c r="AA403">
        <v>7.86</v>
      </c>
      <c r="AB403">
        <v>0.3</v>
      </c>
    </row>
    <row r="404" spans="1:28">
      <c r="A404" t="s">
        <v>2429</v>
      </c>
      <c r="B404" t="s">
        <v>2430</v>
      </c>
      <c r="C404" t="s">
        <v>2431</v>
      </c>
      <c r="D404" t="s">
        <v>7850</v>
      </c>
      <c r="E404" t="s">
        <v>7839</v>
      </c>
      <c r="F404" t="s">
        <v>7853</v>
      </c>
      <c r="G404" t="s">
        <v>7854</v>
      </c>
      <c r="H404" t="s">
        <v>9</v>
      </c>
      <c r="I404">
        <v>109.007</v>
      </c>
      <c r="J404">
        <v>11.252</v>
      </c>
      <c r="K404">
        <v>0.35</v>
      </c>
      <c r="M404" t="s">
        <v>8102</v>
      </c>
      <c r="N404">
        <v>3.523</v>
      </c>
      <c r="V404" t="s">
        <v>7850</v>
      </c>
      <c r="W404" t="s">
        <v>7839</v>
      </c>
      <c r="X404" t="s">
        <v>7853</v>
      </c>
      <c r="Y404">
        <v>109.007</v>
      </c>
      <c r="Z404" t="s">
        <v>7854</v>
      </c>
      <c r="AA404">
        <v>11.252</v>
      </c>
      <c r="AB404">
        <v>0.35</v>
      </c>
    </row>
    <row r="405" spans="1:28">
      <c r="A405" t="s">
        <v>1287</v>
      </c>
      <c r="B405" t="s">
        <v>1288</v>
      </c>
      <c r="C405" t="s">
        <v>1289</v>
      </c>
      <c r="D405" t="s">
        <v>7850</v>
      </c>
      <c r="E405" t="s">
        <v>7839</v>
      </c>
      <c r="F405" t="s">
        <v>7840</v>
      </c>
      <c r="G405" t="s">
        <v>8028</v>
      </c>
      <c r="H405" t="s">
        <v>9</v>
      </c>
      <c r="I405">
        <v>70.235</v>
      </c>
      <c r="J405">
        <v>94.865</v>
      </c>
      <c r="K405">
        <v>0.2</v>
      </c>
      <c r="M405" t="s">
        <v>8041</v>
      </c>
      <c r="N405">
        <v>31.24</v>
      </c>
      <c r="V405" t="s">
        <v>7850</v>
      </c>
      <c r="W405" t="s">
        <v>7839</v>
      </c>
      <c r="X405" t="s">
        <v>7840</v>
      </c>
      <c r="Y405">
        <v>70.235</v>
      </c>
      <c r="Z405" t="s">
        <v>8028</v>
      </c>
      <c r="AA405">
        <v>94.865</v>
      </c>
      <c r="AB405">
        <v>0.2</v>
      </c>
    </row>
    <row r="406" spans="1:28">
      <c r="A406" t="s">
        <v>1566</v>
      </c>
      <c r="B406" t="s">
        <v>1567</v>
      </c>
      <c r="C406" t="s">
        <v>1568</v>
      </c>
      <c r="D406" t="s">
        <v>7844</v>
      </c>
      <c r="E406" t="s">
        <v>7839</v>
      </c>
      <c r="F406" t="s">
        <v>7935</v>
      </c>
      <c r="G406" t="s">
        <v>7988</v>
      </c>
      <c r="H406" t="s">
        <v>9</v>
      </c>
      <c r="I406">
        <v>162.803</v>
      </c>
      <c r="J406">
        <v>16.156</v>
      </c>
      <c r="K406">
        <v>0.002</v>
      </c>
      <c r="M406" t="s">
        <v>8002</v>
      </c>
      <c r="N406">
        <v>214.273</v>
      </c>
      <c r="V406" t="s">
        <v>7844</v>
      </c>
      <c r="W406" t="s">
        <v>7839</v>
      </c>
      <c r="X406" t="s">
        <v>7935</v>
      </c>
      <c r="Y406">
        <v>162.803</v>
      </c>
      <c r="Z406" t="s">
        <v>7988</v>
      </c>
      <c r="AA406">
        <v>16.156</v>
      </c>
      <c r="AB406">
        <v>0.002</v>
      </c>
    </row>
    <row r="407" spans="1:28">
      <c r="A407" t="s">
        <v>2622</v>
      </c>
      <c r="B407" t="s">
        <v>2623</v>
      </c>
      <c r="C407" t="s">
        <v>2624</v>
      </c>
      <c r="D407" t="s">
        <v>7847</v>
      </c>
      <c r="E407" t="s">
        <v>7839</v>
      </c>
      <c r="F407" t="s">
        <v>7853</v>
      </c>
      <c r="G407" t="s">
        <v>8118</v>
      </c>
      <c r="H407" t="s">
        <v>9</v>
      </c>
      <c r="I407">
        <v>5175.026</v>
      </c>
      <c r="J407">
        <v>22.942</v>
      </c>
      <c r="K407">
        <v>0.07</v>
      </c>
      <c r="M407" t="s">
        <v>7999</v>
      </c>
      <c r="N407">
        <v>387.446</v>
      </c>
      <c r="V407" t="s">
        <v>7847</v>
      </c>
      <c r="W407" t="s">
        <v>7839</v>
      </c>
      <c r="X407" t="s">
        <v>7853</v>
      </c>
      <c r="Y407">
        <v>5175.026</v>
      </c>
      <c r="Z407" t="s">
        <v>8118</v>
      </c>
      <c r="AA407">
        <v>22.942</v>
      </c>
      <c r="AB407">
        <v>0.07</v>
      </c>
    </row>
    <row r="408" spans="1:28">
      <c r="A408" t="s">
        <v>2089</v>
      </c>
      <c r="B408" t="s">
        <v>2090</v>
      </c>
      <c r="C408" t="s">
        <v>2091</v>
      </c>
      <c r="D408" t="s">
        <v>7844</v>
      </c>
      <c r="E408" t="s">
        <v>7839</v>
      </c>
      <c r="F408" t="s">
        <v>7840</v>
      </c>
      <c r="G408" t="s">
        <v>7865</v>
      </c>
      <c r="H408" t="s">
        <v>9</v>
      </c>
      <c r="I408">
        <v>1306.246</v>
      </c>
      <c r="J408">
        <v>14.793</v>
      </c>
      <c r="K408">
        <v>0.27</v>
      </c>
      <c r="M408" t="s">
        <v>7914</v>
      </c>
      <c r="N408">
        <v>31.711</v>
      </c>
      <c r="V408" t="s">
        <v>7844</v>
      </c>
      <c r="W408" t="s">
        <v>7839</v>
      </c>
      <c r="X408" t="s">
        <v>7840</v>
      </c>
      <c r="Y408">
        <v>1306.246</v>
      </c>
      <c r="Z408" t="s">
        <v>7865</v>
      </c>
      <c r="AA408">
        <v>14.793</v>
      </c>
      <c r="AB408">
        <v>0.27</v>
      </c>
    </row>
    <row r="409" spans="1:28">
      <c r="A409" t="s">
        <v>6399</v>
      </c>
      <c r="B409" t="s">
        <v>6400</v>
      </c>
      <c r="C409" t="s">
        <v>6401</v>
      </c>
      <c r="D409" t="s">
        <v>7859</v>
      </c>
      <c r="E409" t="s">
        <v>7839</v>
      </c>
      <c r="F409" t="s">
        <v>7932</v>
      </c>
      <c r="G409" t="s">
        <v>7988</v>
      </c>
      <c r="H409" t="s">
        <v>9</v>
      </c>
      <c r="I409">
        <v>939.776</v>
      </c>
      <c r="J409">
        <v>9.991</v>
      </c>
      <c r="K409">
        <v>0.45</v>
      </c>
      <c r="M409" t="s">
        <v>7854</v>
      </c>
      <c r="N409">
        <v>109.007</v>
      </c>
      <c r="V409" t="s">
        <v>7859</v>
      </c>
      <c r="W409" t="s">
        <v>7839</v>
      </c>
      <c r="X409" t="s">
        <v>7932</v>
      </c>
      <c r="Y409">
        <v>939.776</v>
      </c>
      <c r="Z409" t="s">
        <v>7988</v>
      </c>
      <c r="AA409">
        <v>9.991</v>
      </c>
      <c r="AB409">
        <v>0.45</v>
      </c>
    </row>
    <row r="410" spans="1:28">
      <c r="A410" t="s">
        <v>2742</v>
      </c>
      <c r="B410" t="s">
        <v>2743</v>
      </c>
      <c r="C410" t="s">
        <v>2744</v>
      </c>
      <c r="D410" t="s">
        <v>7844</v>
      </c>
      <c r="E410" t="s">
        <v>7839</v>
      </c>
      <c r="F410" t="s">
        <v>7840</v>
      </c>
      <c r="G410" t="s">
        <v>7941</v>
      </c>
      <c r="H410" t="s">
        <v>9</v>
      </c>
      <c r="I410">
        <v>256.351</v>
      </c>
      <c r="J410">
        <v>4.124</v>
      </c>
      <c r="K410">
        <v>0.18</v>
      </c>
      <c r="M410" t="s">
        <v>8028</v>
      </c>
      <c r="N410">
        <v>70.235</v>
      </c>
      <c r="V410" t="s">
        <v>7844</v>
      </c>
      <c r="W410" t="s">
        <v>7839</v>
      </c>
      <c r="X410" t="s">
        <v>7840</v>
      </c>
      <c r="Y410">
        <v>256.351</v>
      </c>
      <c r="Z410" t="s">
        <v>7941</v>
      </c>
      <c r="AA410">
        <v>4.124</v>
      </c>
      <c r="AB410">
        <v>0.18</v>
      </c>
    </row>
    <row r="411" spans="1:28">
      <c r="A411" t="s">
        <v>3911</v>
      </c>
      <c r="B411" t="s">
        <v>3912</v>
      </c>
      <c r="C411" t="s">
        <v>3913</v>
      </c>
      <c r="D411" t="s">
        <v>7850</v>
      </c>
      <c r="E411" t="s">
        <v>7839</v>
      </c>
      <c r="F411" t="s">
        <v>7840</v>
      </c>
      <c r="G411" t="s">
        <v>8101</v>
      </c>
      <c r="H411" t="s">
        <v>9</v>
      </c>
      <c r="I411">
        <v>5.15</v>
      </c>
      <c r="J411">
        <v>11.222</v>
      </c>
      <c r="K411">
        <v>0.5</v>
      </c>
      <c r="M411" t="s">
        <v>7988</v>
      </c>
      <c r="N411">
        <v>162.803</v>
      </c>
      <c r="V411" t="s">
        <v>7850</v>
      </c>
      <c r="W411" t="s">
        <v>7839</v>
      </c>
      <c r="X411" t="s">
        <v>7840</v>
      </c>
      <c r="Y411">
        <v>5.15</v>
      </c>
      <c r="Z411" t="s">
        <v>8101</v>
      </c>
      <c r="AA411">
        <v>11.222</v>
      </c>
      <c r="AB411">
        <v>0.5</v>
      </c>
    </row>
    <row r="412" spans="1:28">
      <c r="A412" t="s">
        <v>2312</v>
      </c>
      <c r="B412" t="s">
        <v>2313</v>
      </c>
      <c r="C412" t="s">
        <v>2314</v>
      </c>
      <c r="D412" t="s">
        <v>7850</v>
      </c>
      <c r="E412" t="s">
        <v>7839</v>
      </c>
      <c r="F412" t="s">
        <v>7840</v>
      </c>
      <c r="G412" t="s">
        <v>7990</v>
      </c>
      <c r="H412" t="s">
        <v>9</v>
      </c>
      <c r="I412">
        <v>791.133</v>
      </c>
      <c r="J412">
        <v>20.59</v>
      </c>
      <c r="K412">
        <v>0.5</v>
      </c>
      <c r="M412" t="s">
        <v>8118</v>
      </c>
      <c r="N412">
        <v>5175.026</v>
      </c>
      <c r="V412" t="s">
        <v>7850</v>
      </c>
      <c r="W412" t="s">
        <v>7839</v>
      </c>
      <c r="X412" t="s">
        <v>7840</v>
      </c>
      <c r="Y412">
        <v>791.133</v>
      </c>
      <c r="Z412" t="s">
        <v>7990</v>
      </c>
      <c r="AA412">
        <v>20.59</v>
      </c>
      <c r="AB412">
        <v>0.5</v>
      </c>
    </row>
    <row r="413" spans="1:28">
      <c r="A413" t="s">
        <v>6184</v>
      </c>
      <c r="B413" t="s">
        <v>6185</v>
      </c>
      <c r="C413" t="s">
        <v>6186</v>
      </c>
      <c r="D413" t="s">
        <v>7844</v>
      </c>
      <c r="E413" t="s">
        <v>7839</v>
      </c>
      <c r="F413" t="s">
        <v>7840</v>
      </c>
      <c r="G413" t="s">
        <v>7943</v>
      </c>
      <c r="H413" t="s">
        <v>9</v>
      </c>
      <c r="I413">
        <v>134.833</v>
      </c>
      <c r="J413">
        <v>12.745</v>
      </c>
      <c r="K413">
        <v>0.28</v>
      </c>
      <c r="M413" t="s">
        <v>7865</v>
      </c>
      <c r="N413">
        <v>1306.246</v>
      </c>
      <c r="V413" t="s">
        <v>7844</v>
      </c>
      <c r="W413" t="s">
        <v>7839</v>
      </c>
      <c r="X413" t="s">
        <v>7840</v>
      </c>
      <c r="Y413">
        <v>134.833</v>
      </c>
      <c r="Z413" t="s">
        <v>7943</v>
      </c>
      <c r="AA413">
        <v>12.745</v>
      </c>
      <c r="AB413">
        <v>0.28</v>
      </c>
    </row>
    <row r="414" spans="1:28">
      <c r="A414" t="s">
        <v>974</v>
      </c>
      <c r="B414" t="s">
        <v>975</v>
      </c>
      <c r="C414" t="s">
        <v>976</v>
      </c>
      <c r="D414" t="s">
        <v>7840</v>
      </c>
      <c r="E414" t="s">
        <v>7839</v>
      </c>
      <c r="F414" t="s">
        <v>7840</v>
      </c>
      <c r="G414" t="s">
        <v>7892</v>
      </c>
      <c r="H414" t="s">
        <v>9</v>
      </c>
      <c r="I414">
        <v>37.307</v>
      </c>
      <c r="J414">
        <v>27.234</v>
      </c>
      <c r="K414">
        <v>0.95</v>
      </c>
      <c r="M414" t="s">
        <v>7988</v>
      </c>
      <c r="N414">
        <v>939.776</v>
      </c>
      <c r="V414" t="s">
        <v>7840</v>
      </c>
      <c r="W414" t="s">
        <v>7839</v>
      </c>
      <c r="X414" t="s">
        <v>7840</v>
      </c>
      <c r="Y414">
        <v>37.307</v>
      </c>
      <c r="Z414" t="s">
        <v>7892</v>
      </c>
      <c r="AA414">
        <v>27.234</v>
      </c>
      <c r="AB414">
        <v>0.95</v>
      </c>
    </row>
    <row r="415" spans="1:28">
      <c r="A415" t="s">
        <v>2444</v>
      </c>
      <c r="B415" t="s">
        <v>2445</v>
      </c>
      <c r="C415" t="s">
        <v>2446</v>
      </c>
      <c r="D415" t="s">
        <v>7844</v>
      </c>
      <c r="E415" t="s">
        <v>7839</v>
      </c>
      <c r="F415" t="s">
        <v>7840</v>
      </c>
      <c r="G415" t="s">
        <v>7854</v>
      </c>
      <c r="H415" t="s">
        <v>9</v>
      </c>
      <c r="I415">
        <v>584.991</v>
      </c>
      <c r="J415">
        <v>4.771</v>
      </c>
      <c r="K415">
        <v>0.18</v>
      </c>
      <c r="M415" t="s">
        <v>7941</v>
      </c>
      <c r="N415">
        <v>256.351</v>
      </c>
      <c r="V415" t="s">
        <v>7844</v>
      </c>
      <c r="W415" t="s">
        <v>7839</v>
      </c>
      <c r="X415" t="s">
        <v>7840</v>
      </c>
      <c r="Y415">
        <v>584.991</v>
      </c>
      <c r="Z415" t="s">
        <v>7854</v>
      </c>
      <c r="AA415">
        <v>4.771</v>
      </c>
      <c r="AB415">
        <v>0.18</v>
      </c>
    </row>
    <row r="416" spans="1:28">
      <c r="A416" t="s">
        <v>1777</v>
      </c>
      <c r="B416" t="s">
        <v>1778</v>
      </c>
      <c r="C416" t="s">
        <v>1779</v>
      </c>
      <c r="D416" t="s">
        <v>7847</v>
      </c>
      <c r="E416" t="s">
        <v>7839</v>
      </c>
      <c r="F416" t="s">
        <v>7935</v>
      </c>
      <c r="G416" t="s">
        <v>7919</v>
      </c>
      <c r="H416" t="s">
        <v>9</v>
      </c>
      <c r="I416">
        <v>51.382</v>
      </c>
      <c r="J416">
        <v>99.764</v>
      </c>
      <c r="K416">
        <v>0.75</v>
      </c>
      <c r="M416" t="s">
        <v>8101</v>
      </c>
      <c r="N416">
        <v>5.15</v>
      </c>
      <c r="V416" t="s">
        <v>7847</v>
      </c>
      <c r="W416" t="s">
        <v>7839</v>
      </c>
      <c r="X416" t="s">
        <v>7935</v>
      </c>
      <c r="Y416">
        <v>51.382</v>
      </c>
      <c r="Z416" t="s">
        <v>7919</v>
      </c>
      <c r="AA416">
        <v>99.764</v>
      </c>
      <c r="AB416">
        <v>0.75</v>
      </c>
    </row>
    <row r="417" spans="1:28">
      <c r="A417" t="s">
        <v>3943</v>
      </c>
      <c r="B417" t="s">
        <v>3944</v>
      </c>
      <c r="C417" t="s">
        <v>3945</v>
      </c>
      <c r="D417" t="s">
        <v>7847</v>
      </c>
      <c r="E417" t="s">
        <v>7839</v>
      </c>
      <c r="F417" t="s">
        <v>7840</v>
      </c>
      <c r="G417" t="s">
        <v>8105</v>
      </c>
      <c r="H417" t="s">
        <v>9</v>
      </c>
      <c r="I417">
        <v>369.93</v>
      </c>
      <c r="J417">
        <v>22.386</v>
      </c>
      <c r="K417">
        <v>0.39</v>
      </c>
      <c r="M417" t="s">
        <v>7990</v>
      </c>
      <c r="N417">
        <v>791.133</v>
      </c>
      <c r="V417" t="s">
        <v>7847</v>
      </c>
      <c r="W417" t="s">
        <v>7839</v>
      </c>
      <c r="X417" t="s">
        <v>7840</v>
      </c>
      <c r="Y417">
        <v>369.93</v>
      </c>
      <c r="Z417" t="s">
        <v>8105</v>
      </c>
      <c r="AA417">
        <v>22.386</v>
      </c>
      <c r="AB417">
        <v>0.39</v>
      </c>
    </row>
    <row r="418" spans="1:28">
      <c r="A418" t="s">
        <v>2994</v>
      </c>
      <c r="B418" t="s">
        <v>2995</v>
      </c>
      <c r="C418" t="s">
        <v>2996</v>
      </c>
      <c r="D418" t="s">
        <v>7850</v>
      </c>
      <c r="E418" t="s">
        <v>7839</v>
      </c>
      <c r="F418" t="s">
        <v>7840</v>
      </c>
      <c r="G418" t="s">
        <v>7854</v>
      </c>
      <c r="H418" t="s">
        <v>9</v>
      </c>
      <c r="I418">
        <v>28787.682</v>
      </c>
      <c r="J418">
        <v>1.7</v>
      </c>
      <c r="K418">
        <v>0.14</v>
      </c>
      <c r="M418" t="s">
        <v>7943</v>
      </c>
      <c r="N418">
        <v>134.833</v>
      </c>
      <c r="V418" t="s">
        <v>7850</v>
      </c>
      <c r="W418" t="s">
        <v>7839</v>
      </c>
      <c r="X418" t="s">
        <v>7840</v>
      </c>
      <c r="Y418">
        <v>28787.682</v>
      </c>
      <c r="Z418" t="s">
        <v>7854</v>
      </c>
      <c r="AA418">
        <v>1.7</v>
      </c>
      <c r="AB418">
        <v>0.14</v>
      </c>
    </row>
    <row r="419" spans="1:28">
      <c r="A419" t="s">
        <v>2303</v>
      </c>
      <c r="B419" t="s">
        <v>2304</v>
      </c>
      <c r="C419" t="s">
        <v>2305</v>
      </c>
      <c r="D419" t="s">
        <v>7847</v>
      </c>
      <c r="E419" t="s">
        <v>7839</v>
      </c>
      <c r="F419" t="s">
        <v>7840</v>
      </c>
      <c r="G419" t="s">
        <v>7923</v>
      </c>
      <c r="H419" t="s">
        <v>9</v>
      </c>
      <c r="I419">
        <v>4073.993</v>
      </c>
      <c r="J419">
        <v>13.056</v>
      </c>
      <c r="K419">
        <v>0.39</v>
      </c>
      <c r="M419" t="s">
        <v>7892</v>
      </c>
      <c r="N419">
        <v>37.307</v>
      </c>
      <c r="V419" t="s">
        <v>7847</v>
      </c>
      <c r="W419" t="s">
        <v>7839</v>
      </c>
      <c r="X419" t="s">
        <v>7840</v>
      </c>
      <c r="Y419">
        <v>4073.993</v>
      </c>
      <c r="Z419" t="s">
        <v>7923</v>
      </c>
      <c r="AA419">
        <v>13.056</v>
      </c>
      <c r="AB419">
        <v>0.39</v>
      </c>
    </row>
    <row r="420" spans="1:28">
      <c r="A420" t="s">
        <v>1996</v>
      </c>
      <c r="B420" t="s">
        <v>1997</v>
      </c>
      <c r="C420" t="s">
        <v>1998</v>
      </c>
      <c r="D420" t="s">
        <v>7864</v>
      </c>
      <c r="E420" t="s">
        <v>7839</v>
      </c>
      <c r="F420" t="s">
        <v>7840</v>
      </c>
      <c r="G420" t="s">
        <v>8030</v>
      </c>
      <c r="H420" t="s">
        <v>9</v>
      </c>
      <c r="I420">
        <v>1422.366</v>
      </c>
      <c r="J420">
        <v>12.886</v>
      </c>
      <c r="K420">
        <v>0.49</v>
      </c>
      <c r="M420" t="s">
        <v>7854</v>
      </c>
      <c r="N420">
        <v>584.991</v>
      </c>
      <c r="V420" t="s">
        <v>7864</v>
      </c>
      <c r="W420" t="s">
        <v>7839</v>
      </c>
      <c r="X420" t="s">
        <v>7840</v>
      </c>
      <c r="Y420">
        <v>1422.366</v>
      </c>
      <c r="Z420" t="s">
        <v>8030</v>
      </c>
      <c r="AA420">
        <v>12.886</v>
      </c>
      <c r="AB420">
        <v>0.49</v>
      </c>
    </row>
    <row r="421" spans="1:28">
      <c r="A421" t="s">
        <v>2658</v>
      </c>
      <c r="B421" t="s">
        <v>2659</v>
      </c>
      <c r="C421" t="s">
        <v>2660</v>
      </c>
      <c r="D421" t="s">
        <v>7844</v>
      </c>
      <c r="E421" t="s">
        <v>7839</v>
      </c>
      <c r="F421" t="s">
        <v>7935</v>
      </c>
      <c r="G421" t="s">
        <v>8006</v>
      </c>
      <c r="H421" t="s">
        <v>9</v>
      </c>
      <c r="I421">
        <v>71.619</v>
      </c>
      <c r="J421">
        <v>4.061</v>
      </c>
      <c r="K421">
        <v>0.05</v>
      </c>
      <c r="M421" t="s">
        <v>7919</v>
      </c>
      <c r="N421">
        <v>51.382</v>
      </c>
      <c r="V421" t="s">
        <v>7844</v>
      </c>
      <c r="W421" t="s">
        <v>7839</v>
      </c>
      <c r="X421" t="s">
        <v>7935</v>
      </c>
      <c r="Y421">
        <v>71.619</v>
      </c>
      <c r="Z421" t="s">
        <v>8006</v>
      </c>
      <c r="AA421">
        <v>4.061</v>
      </c>
      <c r="AB421">
        <v>0.05</v>
      </c>
    </row>
    <row r="422" spans="1:28">
      <c r="A422" t="s">
        <v>4753</v>
      </c>
      <c r="B422" t="s">
        <v>4754</v>
      </c>
      <c r="C422" t="s">
        <v>4755</v>
      </c>
      <c r="D422" t="s">
        <v>7850</v>
      </c>
      <c r="E422" t="s">
        <v>7839</v>
      </c>
      <c r="F422" t="s">
        <v>7840</v>
      </c>
      <c r="G422" t="s">
        <v>8085</v>
      </c>
      <c r="H422" t="s">
        <v>9</v>
      </c>
      <c r="I422">
        <v>151.32</v>
      </c>
      <c r="J422">
        <v>17.706</v>
      </c>
      <c r="K422">
        <v>0.19</v>
      </c>
      <c r="M422" t="s">
        <v>8105</v>
      </c>
      <c r="N422">
        <v>369.93</v>
      </c>
      <c r="V422" t="s">
        <v>7850</v>
      </c>
      <c r="W422" t="s">
        <v>7839</v>
      </c>
      <c r="X422" t="s">
        <v>7840</v>
      </c>
      <c r="Y422">
        <v>151.32</v>
      </c>
      <c r="Z422" t="s">
        <v>8085</v>
      </c>
      <c r="AA422">
        <v>17.706</v>
      </c>
      <c r="AB422">
        <v>0.19</v>
      </c>
    </row>
    <row r="423" spans="1:28">
      <c r="A423" t="s">
        <v>5243</v>
      </c>
      <c r="B423" t="s">
        <v>5244</v>
      </c>
      <c r="C423" t="s">
        <v>5245</v>
      </c>
      <c r="D423" t="s">
        <v>7862</v>
      </c>
      <c r="E423" t="s">
        <v>7839</v>
      </c>
      <c r="F423" t="s">
        <v>7840</v>
      </c>
      <c r="G423" t="s">
        <v>8102</v>
      </c>
      <c r="H423" t="s">
        <v>9</v>
      </c>
      <c r="I423">
        <v>4.422</v>
      </c>
      <c r="J423">
        <v>89.674</v>
      </c>
      <c r="K423">
        <v>0.25</v>
      </c>
      <c r="M423" t="s">
        <v>7854</v>
      </c>
      <c r="N423">
        <v>28787.682</v>
      </c>
      <c r="V423" t="s">
        <v>7862</v>
      </c>
      <c r="W423" t="s">
        <v>7839</v>
      </c>
      <c r="X423" t="s">
        <v>7840</v>
      </c>
      <c r="Y423">
        <v>4.422</v>
      </c>
      <c r="Z423" t="s">
        <v>8102</v>
      </c>
      <c r="AA423">
        <v>89.674</v>
      </c>
      <c r="AB423">
        <v>0.25</v>
      </c>
    </row>
    <row r="424" spans="1:28">
      <c r="A424" t="s">
        <v>6041</v>
      </c>
      <c r="B424" t="s">
        <v>6042</v>
      </c>
      <c r="C424" t="s">
        <v>6043</v>
      </c>
      <c r="D424" t="s">
        <v>7850</v>
      </c>
      <c r="E424" t="s">
        <v>7839</v>
      </c>
      <c r="F424" t="s">
        <v>7840</v>
      </c>
      <c r="G424" t="s">
        <v>7845</v>
      </c>
      <c r="H424" t="s">
        <v>9</v>
      </c>
      <c r="I424">
        <v>1775.853</v>
      </c>
      <c r="J424">
        <v>13.172</v>
      </c>
      <c r="K424">
        <v>0.95</v>
      </c>
      <c r="M424" t="s">
        <v>7923</v>
      </c>
      <c r="N424">
        <v>4073.993</v>
      </c>
      <c r="V424" t="s">
        <v>7850</v>
      </c>
      <c r="W424" t="s">
        <v>7839</v>
      </c>
      <c r="X424" t="s">
        <v>7840</v>
      </c>
      <c r="Y424">
        <v>1775.853</v>
      </c>
      <c r="Z424" t="s">
        <v>7845</v>
      </c>
      <c r="AA424">
        <v>13.172</v>
      </c>
      <c r="AB424">
        <v>0.95</v>
      </c>
    </row>
    <row r="425" spans="1:28">
      <c r="A425" t="s">
        <v>5378</v>
      </c>
      <c r="B425" t="s">
        <v>5379</v>
      </c>
      <c r="C425" t="s">
        <v>5380</v>
      </c>
      <c r="D425" t="s">
        <v>7844</v>
      </c>
      <c r="E425" t="s">
        <v>7839</v>
      </c>
      <c r="F425" t="s">
        <v>7888</v>
      </c>
      <c r="G425" t="s">
        <v>8106</v>
      </c>
      <c r="H425" t="s">
        <v>9</v>
      </c>
      <c r="I425">
        <v>19.622</v>
      </c>
      <c r="J425">
        <v>34.442</v>
      </c>
      <c r="K425">
        <v>0.55</v>
      </c>
      <c r="M425" t="s">
        <v>8030</v>
      </c>
      <c r="N425">
        <v>1422.366</v>
      </c>
      <c r="V425" t="s">
        <v>7844</v>
      </c>
      <c r="W425" t="s">
        <v>7839</v>
      </c>
      <c r="X425" t="s">
        <v>7888</v>
      </c>
      <c r="Y425">
        <v>19.622</v>
      </c>
      <c r="Z425" t="s">
        <v>8106</v>
      </c>
      <c r="AA425">
        <v>34.442</v>
      </c>
      <c r="AB425">
        <v>0.55</v>
      </c>
    </row>
    <row r="426" spans="1:28">
      <c r="A426" t="s">
        <v>6953</v>
      </c>
      <c r="B426" t="s">
        <v>6954</v>
      </c>
      <c r="C426" t="s">
        <v>6955</v>
      </c>
      <c r="D426" t="s">
        <v>7859</v>
      </c>
      <c r="E426" t="s">
        <v>7839</v>
      </c>
      <c r="F426" t="s">
        <v>7932</v>
      </c>
      <c r="G426" t="s">
        <v>7943</v>
      </c>
      <c r="H426" t="s">
        <v>9</v>
      </c>
      <c r="I426">
        <v>7428.952</v>
      </c>
      <c r="J426">
        <v>26.252</v>
      </c>
      <c r="K426">
        <v>0.65</v>
      </c>
      <c r="M426" t="s">
        <v>8006</v>
      </c>
      <c r="N426">
        <v>71.619</v>
      </c>
      <c r="V426" t="s">
        <v>7859</v>
      </c>
      <c r="W426" t="s">
        <v>7839</v>
      </c>
      <c r="X426" t="s">
        <v>7932</v>
      </c>
      <c r="Y426">
        <v>7428.952</v>
      </c>
      <c r="Z426" t="s">
        <v>7943</v>
      </c>
      <c r="AA426">
        <v>26.252</v>
      </c>
      <c r="AB426">
        <v>0.65</v>
      </c>
    </row>
    <row r="427" spans="1:28">
      <c r="A427" t="s">
        <v>2976</v>
      </c>
      <c r="B427" t="s">
        <v>2977</v>
      </c>
      <c r="C427" t="s">
        <v>2978</v>
      </c>
      <c r="D427" t="s">
        <v>7844</v>
      </c>
      <c r="E427" t="s">
        <v>7839</v>
      </c>
      <c r="F427" t="s">
        <v>7935</v>
      </c>
      <c r="G427" t="s">
        <v>8075</v>
      </c>
      <c r="H427" t="s">
        <v>9</v>
      </c>
      <c r="I427">
        <v>6.171</v>
      </c>
      <c r="J427">
        <v>40.213</v>
      </c>
      <c r="K427">
        <v>0.2</v>
      </c>
      <c r="M427" t="s">
        <v>8085</v>
      </c>
      <c r="N427">
        <v>151.32</v>
      </c>
      <c r="V427" t="s">
        <v>7844</v>
      </c>
      <c r="W427" t="s">
        <v>7839</v>
      </c>
      <c r="X427" t="s">
        <v>7935</v>
      </c>
      <c r="Y427">
        <v>6.171</v>
      </c>
      <c r="Z427" t="s">
        <v>8075</v>
      </c>
      <c r="AA427">
        <v>40.213</v>
      </c>
      <c r="AB427">
        <v>0.2</v>
      </c>
    </row>
    <row r="428" spans="1:28">
      <c r="A428" t="s">
        <v>3053</v>
      </c>
      <c r="B428" t="s">
        <v>3054</v>
      </c>
      <c r="C428" t="s">
        <v>3055</v>
      </c>
      <c r="D428" t="s">
        <v>7847</v>
      </c>
      <c r="E428" t="s">
        <v>7839</v>
      </c>
      <c r="F428" t="s">
        <v>7840</v>
      </c>
      <c r="G428" t="s">
        <v>8118</v>
      </c>
      <c r="H428" t="s">
        <v>9</v>
      </c>
      <c r="I428">
        <v>1129.599</v>
      </c>
      <c r="J428">
        <v>8.116</v>
      </c>
      <c r="K428">
        <v>0.13</v>
      </c>
      <c r="M428" t="s">
        <v>8102</v>
      </c>
      <c r="N428">
        <v>4.422</v>
      </c>
      <c r="V428" t="s">
        <v>7847</v>
      </c>
      <c r="W428" t="s">
        <v>7839</v>
      </c>
      <c r="X428" t="s">
        <v>7840</v>
      </c>
      <c r="Y428">
        <v>1129.599</v>
      </c>
      <c r="Z428" t="s">
        <v>8118</v>
      </c>
      <c r="AA428">
        <v>8.116</v>
      </c>
      <c r="AB428">
        <v>0.13</v>
      </c>
    </row>
    <row r="429" spans="1:28">
      <c r="A429" t="s">
        <v>3121</v>
      </c>
      <c r="B429" t="s">
        <v>3122</v>
      </c>
      <c r="C429" t="s">
        <v>3123</v>
      </c>
      <c r="D429" t="s">
        <v>7847</v>
      </c>
      <c r="E429" t="s">
        <v>7839</v>
      </c>
      <c r="F429" t="s">
        <v>7840</v>
      </c>
      <c r="G429" t="s">
        <v>8056</v>
      </c>
      <c r="H429" t="s">
        <v>9</v>
      </c>
      <c r="I429">
        <v>293.183</v>
      </c>
      <c r="J429">
        <v>19.578</v>
      </c>
      <c r="K429">
        <v>0.35</v>
      </c>
      <c r="M429" t="s">
        <v>7845</v>
      </c>
      <c r="N429">
        <v>1775.853</v>
      </c>
      <c r="V429" t="s">
        <v>7847</v>
      </c>
      <c r="W429" t="s">
        <v>7839</v>
      </c>
      <c r="X429" t="s">
        <v>7840</v>
      </c>
      <c r="Y429">
        <v>293.183</v>
      </c>
      <c r="Z429" t="s">
        <v>8056</v>
      </c>
      <c r="AA429">
        <v>19.578</v>
      </c>
      <c r="AB429">
        <v>0.35</v>
      </c>
    </row>
    <row r="430" spans="1:28">
      <c r="A430" t="s">
        <v>4978</v>
      </c>
      <c r="B430" t="s">
        <v>4979</v>
      </c>
      <c r="C430" t="s">
        <v>4980</v>
      </c>
      <c r="D430" t="s">
        <v>7850</v>
      </c>
      <c r="E430" t="s">
        <v>7839</v>
      </c>
      <c r="F430" t="s">
        <v>7840</v>
      </c>
      <c r="G430" t="s">
        <v>8075</v>
      </c>
      <c r="H430" t="s">
        <v>9</v>
      </c>
      <c r="I430">
        <v>569.605</v>
      </c>
      <c r="J430">
        <v>6.779</v>
      </c>
      <c r="K430">
        <v>0.7</v>
      </c>
      <c r="M430" t="s">
        <v>8106</v>
      </c>
      <c r="N430">
        <v>19.622</v>
      </c>
      <c r="V430" t="s">
        <v>7850</v>
      </c>
      <c r="W430" t="s">
        <v>7839</v>
      </c>
      <c r="X430" t="s">
        <v>7840</v>
      </c>
      <c r="Y430">
        <v>569.605</v>
      </c>
      <c r="Z430" t="s">
        <v>8075</v>
      </c>
      <c r="AA430">
        <v>6.779</v>
      </c>
      <c r="AB430">
        <v>0.7</v>
      </c>
    </row>
    <row r="431" spans="1:28">
      <c r="A431" t="s">
        <v>5733</v>
      </c>
      <c r="B431" t="s">
        <v>5734</v>
      </c>
      <c r="C431" t="s">
        <v>5735</v>
      </c>
      <c r="D431" t="s">
        <v>7862</v>
      </c>
      <c r="E431" t="s">
        <v>7839</v>
      </c>
      <c r="F431" t="s">
        <v>7853</v>
      </c>
      <c r="G431" t="s">
        <v>7914</v>
      </c>
      <c r="H431" t="s">
        <v>9</v>
      </c>
      <c r="I431">
        <v>867.534</v>
      </c>
      <c r="J431">
        <v>37.785</v>
      </c>
      <c r="K431">
        <v>0.075</v>
      </c>
      <c r="M431" t="s">
        <v>7943</v>
      </c>
      <c r="N431">
        <v>7428.952</v>
      </c>
      <c r="V431" t="s">
        <v>7862</v>
      </c>
      <c r="W431" t="s">
        <v>7839</v>
      </c>
      <c r="X431" t="s">
        <v>7853</v>
      </c>
      <c r="Y431">
        <v>867.534</v>
      </c>
      <c r="Z431" t="s">
        <v>7914</v>
      </c>
      <c r="AA431">
        <v>37.785</v>
      </c>
      <c r="AB431">
        <v>0.075</v>
      </c>
    </row>
    <row r="432" spans="1:28">
      <c r="A432" t="s">
        <v>366</v>
      </c>
      <c r="B432" t="s">
        <v>367</v>
      </c>
      <c r="C432" t="s">
        <v>368</v>
      </c>
      <c r="D432" t="s">
        <v>7847</v>
      </c>
      <c r="E432" t="s">
        <v>7848</v>
      </c>
      <c r="F432" t="s">
        <v>7840</v>
      </c>
      <c r="G432" t="s">
        <v>7851</v>
      </c>
      <c r="H432" t="s">
        <v>9</v>
      </c>
      <c r="I432">
        <v>41.887</v>
      </c>
      <c r="J432">
        <v>28.477</v>
      </c>
      <c r="K432">
        <v>0.49</v>
      </c>
      <c r="M432" t="s">
        <v>8075</v>
      </c>
      <c r="N432">
        <v>6.171</v>
      </c>
      <c r="V432" t="s">
        <v>7847</v>
      </c>
      <c r="W432" t="s">
        <v>7848</v>
      </c>
      <c r="X432" t="s">
        <v>7840</v>
      </c>
      <c r="Y432">
        <v>41.887</v>
      </c>
      <c r="Z432" t="s">
        <v>7851</v>
      </c>
      <c r="AA432">
        <v>28.477</v>
      </c>
      <c r="AB432">
        <v>0.49</v>
      </c>
    </row>
    <row r="433" spans="1:28">
      <c r="A433" t="s">
        <v>3508</v>
      </c>
      <c r="B433" t="s">
        <v>3509</v>
      </c>
      <c r="C433" t="s">
        <v>3510</v>
      </c>
      <c r="D433" t="s">
        <v>7847</v>
      </c>
      <c r="E433" t="s">
        <v>7839</v>
      </c>
      <c r="F433" t="s">
        <v>7840</v>
      </c>
      <c r="G433" t="s">
        <v>7880</v>
      </c>
      <c r="H433" t="s">
        <v>9</v>
      </c>
      <c r="I433">
        <v>178.506</v>
      </c>
      <c r="J433">
        <v>18.053</v>
      </c>
      <c r="K433">
        <v>0.19</v>
      </c>
      <c r="M433" t="s">
        <v>8118</v>
      </c>
      <c r="N433">
        <v>1129.599</v>
      </c>
      <c r="V433" t="s">
        <v>7847</v>
      </c>
      <c r="W433" t="s">
        <v>7839</v>
      </c>
      <c r="X433" t="s">
        <v>7840</v>
      </c>
      <c r="Y433">
        <v>178.506</v>
      </c>
      <c r="Z433" t="s">
        <v>7880</v>
      </c>
      <c r="AA433">
        <v>18.053</v>
      </c>
      <c r="AB433">
        <v>0.19</v>
      </c>
    </row>
    <row r="434" spans="1:28">
      <c r="A434" t="s">
        <v>3251</v>
      </c>
      <c r="B434" t="s">
        <v>3252</v>
      </c>
      <c r="C434" t="s">
        <v>3253</v>
      </c>
      <c r="D434" t="s">
        <v>7847</v>
      </c>
      <c r="E434" t="s">
        <v>7839</v>
      </c>
      <c r="F434" t="s">
        <v>7840</v>
      </c>
      <c r="G434" t="s">
        <v>7987</v>
      </c>
      <c r="H434" t="s">
        <v>9</v>
      </c>
      <c r="I434">
        <v>2523.941</v>
      </c>
      <c r="J434">
        <v>35.585</v>
      </c>
      <c r="K434">
        <v>0.4</v>
      </c>
      <c r="M434" t="s">
        <v>8056</v>
      </c>
      <c r="N434">
        <v>293.183</v>
      </c>
      <c r="V434" t="s">
        <v>7847</v>
      </c>
      <c r="W434" t="s">
        <v>7839</v>
      </c>
      <c r="X434" t="s">
        <v>7840</v>
      </c>
      <c r="Y434">
        <v>2523.941</v>
      </c>
      <c r="Z434" t="s">
        <v>7987</v>
      </c>
      <c r="AA434">
        <v>35.585</v>
      </c>
      <c r="AB434">
        <v>0.4</v>
      </c>
    </row>
    <row r="435" spans="1:28">
      <c r="A435" t="s">
        <v>2002</v>
      </c>
      <c r="B435" t="s">
        <v>2003</v>
      </c>
      <c r="C435" t="s">
        <v>2004</v>
      </c>
      <c r="D435" t="s">
        <v>7844</v>
      </c>
      <c r="E435" t="s">
        <v>7839</v>
      </c>
      <c r="F435" t="s">
        <v>7935</v>
      </c>
      <c r="G435" t="s">
        <v>7865</v>
      </c>
      <c r="H435" t="s">
        <v>9</v>
      </c>
      <c r="I435">
        <v>1073.809</v>
      </c>
      <c r="J435">
        <v>10.284</v>
      </c>
      <c r="K435">
        <v>0.27</v>
      </c>
      <c r="M435" t="s">
        <v>8075</v>
      </c>
      <c r="N435">
        <v>569.605</v>
      </c>
      <c r="V435" t="s">
        <v>7844</v>
      </c>
      <c r="W435" t="s">
        <v>7839</v>
      </c>
      <c r="X435" t="s">
        <v>7935</v>
      </c>
      <c r="Y435">
        <v>1073.809</v>
      </c>
      <c r="Z435" t="s">
        <v>7865</v>
      </c>
      <c r="AA435">
        <v>10.284</v>
      </c>
      <c r="AB435">
        <v>0.27</v>
      </c>
    </row>
    <row r="436" spans="1:28">
      <c r="A436" t="s">
        <v>3612</v>
      </c>
      <c r="B436" t="s">
        <v>414</v>
      </c>
      <c r="C436" t="s">
        <v>3613</v>
      </c>
      <c r="D436" t="s">
        <v>7850</v>
      </c>
      <c r="E436" t="s">
        <v>7839</v>
      </c>
      <c r="F436" t="s">
        <v>7840</v>
      </c>
      <c r="G436" t="s">
        <v>7914</v>
      </c>
      <c r="H436" t="s">
        <v>9</v>
      </c>
      <c r="I436">
        <v>27.557</v>
      </c>
      <c r="J436">
        <v>11.885</v>
      </c>
      <c r="K436">
        <v>0.35</v>
      </c>
      <c r="M436" t="s">
        <v>7914</v>
      </c>
      <c r="N436">
        <v>867.534</v>
      </c>
      <c r="V436" t="s">
        <v>7850</v>
      </c>
      <c r="W436" t="s">
        <v>7839</v>
      </c>
      <c r="X436" t="s">
        <v>7840</v>
      </c>
      <c r="Y436">
        <v>27.557</v>
      </c>
      <c r="Z436" t="s">
        <v>7914</v>
      </c>
      <c r="AA436">
        <v>11.885</v>
      </c>
      <c r="AB436">
        <v>0.35</v>
      </c>
    </row>
    <row r="437" spans="1:28">
      <c r="A437" t="s">
        <v>3620</v>
      </c>
      <c r="B437" t="s">
        <v>3621</v>
      </c>
      <c r="C437" t="s">
        <v>3622</v>
      </c>
      <c r="D437" t="s">
        <v>7847</v>
      </c>
      <c r="E437" t="s">
        <v>7839</v>
      </c>
      <c r="F437" t="s">
        <v>7840</v>
      </c>
      <c r="G437" t="s">
        <v>7956</v>
      </c>
      <c r="H437" t="s">
        <v>9</v>
      </c>
      <c r="I437">
        <v>15.935</v>
      </c>
      <c r="J437">
        <v>17.271</v>
      </c>
      <c r="K437">
        <v>0.24</v>
      </c>
      <c r="M437" t="s">
        <v>7851</v>
      </c>
      <c r="N437">
        <v>41.887</v>
      </c>
      <c r="V437" t="s">
        <v>7847</v>
      </c>
      <c r="W437" t="s">
        <v>7839</v>
      </c>
      <c r="X437" t="s">
        <v>7840</v>
      </c>
      <c r="Y437">
        <v>15.935</v>
      </c>
      <c r="Z437" t="s">
        <v>7956</v>
      </c>
      <c r="AA437">
        <v>17.271</v>
      </c>
      <c r="AB437">
        <v>0.24</v>
      </c>
    </row>
    <row r="438" spans="1:28">
      <c r="A438" t="s">
        <v>3923</v>
      </c>
      <c r="B438" t="s">
        <v>3924</v>
      </c>
      <c r="C438" t="s">
        <v>3925</v>
      </c>
      <c r="D438" t="s">
        <v>7850</v>
      </c>
      <c r="E438" t="s">
        <v>7839</v>
      </c>
      <c r="F438" t="s">
        <v>7840</v>
      </c>
      <c r="G438" t="s">
        <v>7854</v>
      </c>
      <c r="H438" t="s">
        <v>9</v>
      </c>
      <c r="I438">
        <v>435.702</v>
      </c>
      <c r="J438">
        <v>11.38</v>
      </c>
      <c r="K438">
        <v>0.35</v>
      </c>
      <c r="M438" t="s">
        <v>7880</v>
      </c>
      <c r="N438">
        <v>178.506</v>
      </c>
      <c r="V438" t="s">
        <v>7850</v>
      </c>
      <c r="W438" t="s">
        <v>7839</v>
      </c>
      <c r="X438" t="s">
        <v>7840</v>
      </c>
      <c r="Y438">
        <v>435.702</v>
      </c>
      <c r="Z438" t="s">
        <v>7854</v>
      </c>
      <c r="AA438">
        <v>11.38</v>
      </c>
      <c r="AB438">
        <v>0.35</v>
      </c>
    </row>
    <row r="439" spans="1:28">
      <c r="A439" t="s">
        <v>3200</v>
      </c>
      <c r="B439" t="s">
        <v>3201</v>
      </c>
      <c r="C439" t="s">
        <v>3202</v>
      </c>
      <c r="D439" t="s">
        <v>7846</v>
      </c>
      <c r="E439" t="s">
        <v>7839</v>
      </c>
      <c r="F439" t="s">
        <v>7853</v>
      </c>
      <c r="G439" t="s">
        <v>8034</v>
      </c>
      <c r="H439" t="s">
        <v>9</v>
      </c>
      <c r="I439">
        <v>6485.793</v>
      </c>
      <c r="J439">
        <v>8.989</v>
      </c>
      <c r="K439">
        <v>0.25</v>
      </c>
      <c r="M439" t="s">
        <v>7987</v>
      </c>
      <c r="N439">
        <v>2523.941</v>
      </c>
      <c r="V439" t="s">
        <v>7846</v>
      </c>
      <c r="W439" t="s">
        <v>7839</v>
      </c>
      <c r="X439" t="s">
        <v>7853</v>
      </c>
      <c r="Y439">
        <v>6485.793</v>
      </c>
      <c r="Z439" t="s">
        <v>8034</v>
      </c>
      <c r="AA439">
        <v>8.989</v>
      </c>
      <c r="AB439">
        <v>0.25</v>
      </c>
    </row>
    <row r="440" spans="1:28">
      <c r="A440" t="s">
        <v>3231</v>
      </c>
      <c r="B440" t="s">
        <v>3232</v>
      </c>
      <c r="C440" t="s">
        <v>3233</v>
      </c>
      <c r="D440" t="s">
        <v>7847</v>
      </c>
      <c r="E440" t="s">
        <v>7839</v>
      </c>
      <c r="F440" t="s">
        <v>7853</v>
      </c>
      <c r="G440" t="s">
        <v>7969</v>
      </c>
      <c r="H440" t="s">
        <v>9</v>
      </c>
      <c r="I440">
        <v>4331.568</v>
      </c>
      <c r="J440">
        <v>47.014</v>
      </c>
      <c r="K440">
        <v>0.32</v>
      </c>
      <c r="M440" t="s">
        <v>7865</v>
      </c>
      <c r="N440">
        <v>1073.809</v>
      </c>
      <c r="V440" t="s">
        <v>7847</v>
      </c>
      <c r="W440" t="s">
        <v>7839</v>
      </c>
      <c r="X440" t="s">
        <v>7853</v>
      </c>
      <c r="Y440">
        <v>4331.568</v>
      </c>
      <c r="Z440" t="s">
        <v>7969</v>
      </c>
      <c r="AA440">
        <v>47.014</v>
      </c>
      <c r="AB440">
        <v>0.32</v>
      </c>
    </row>
    <row r="441" spans="1:28">
      <c r="A441" t="s">
        <v>4856</v>
      </c>
      <c r="B441" t="s">
        <v>4857</v>
      </c>
      <c r="C441" t="s">
        <v>4858</v>
      </c>
      <c r="D441" t="s">
        <v>7847</v>
      </c>
      <c r="E441" t="s">
        <v>7839</v>
      </c>
      <c r="F441" t="s">
        <v>7853</v>
      </c>
      <c r="G441" t="s">
        <v>7854</v>
      </c>
      <c r="H441" t="s">
        <v>9</v>
      </c>
      <c r="I441">
        <v>278.736</v>
      </c>
      <c r="J441">
        <v>9.396</v>
      </c>
      <c r="K441">
        <v>0.06</v>
      </c>
      <c r="M441" t="s">
        <v>7914</v>
      </c>
      <c r="N441">
        <v>27.557</v>
      </c>
      <c r="V441" t="s">
        <v>7847</v>
      </c>
      <c r="W441" t="s">
        <v>7839</v>
      </c>
      <c r="X441" t="s">
        <v>7853</v>
      </c>
      <c r="Y441">
        <v>278.736</v>
      </c>
      <c r="Z441" t="s">
        <v>7854</v>
      </c>
      <c r="AA441">
        <v>9.396</v>
      </c>
      <c r="AB441">
        <v>0.06</v>
      </c>
    </row>
    <row r="442" spans="1:28">
      <c r="A442" t="s">
        <v>2602</v>
      </c>
      <c r="B442" t="s">
        <v>2603</v>
      </c>
      <c r="C442" t="s">
        <v>2604</v>
      </c>
      <c r="D442" t="s">
        <v>7850</v>
      </c>
      <c r="E442" t="s">
        <v>7839</v>
      </c>
      <c r="F442" t="s">
        <v>7840</v>
      </c>
      <c r="G442" t="s">
        <v>8118</v>
      </c>
      <c r="H442" t="s">
        <v>9</v>
      </c>
      <c r="I442">
        <v>174.822</v>
      </c>
      <c r="J442">
        <v>14.483</v>
      </c>
      <c r="K442">
        <v>0.21</v>
      </c>
      <c r="M442" t="s">
        <v>7956</v>
      </c>
      <c r="N442">
        <v>15.935</v>
      </c>
      <c r="V442" t="s">
        <v>7850</v>
      </c>
      <c r="W442" t="s">
        <v>7839</v>
      </c>
      <c r="X442" t="s">
        <v>7840</v>
      </c>
      <c r="Y442">
        <v>174.822</v>
      </c>
      <c r="Z442" t="s">
        <v>8118</v>
      </c>
      <c r="AA442">
        <v>14.483</v>
      </c>
      <c r="AB442">
        <v>0.21</v>
      </c>
    </row>
    <row r="443" spans="1:28">
      <c r="A443" t="s">
        <v>3290</v>
      </c>
      <c r="B443" t="s">
        <v>3291</v>
      </c>
      <c r="C443" t="s">
        <v>3292</v>
      </c>
      <c r="D443" t="s">
        <v>7847</v>
      </c>
      <c r="E443" t="s">
        <v>7839</v>
      </c>
      <c r="F443" t="s">
        <v>7840</v>
      </c>
      <c r="G443" t="s">
        <v>7990</v>
      </c>
      <c r="H443" t="s">
        <v>9</v>
      </c>
      <c r="I443">
        <v>549.839</v>
      </c>
      <c r="J443">
        <v>40.39</v>
      </c>
      <c r="K443">
        <v>0.31</v>
      </c>
      <c r="M443" t="s">
        <v>7854</v>
      </c>
      <c r="N443">
        <v>435.702</v>
      </c>
      <c r="V443" t="s">
        <v>7847</v>
      </c>
      <c r="W443" t="s">
        <v>7839</v>
      </c>
      <c r="X443" t="s">
        <v>7840</v>
      </c>
      <c r="Y443">
        <v>549.839</v>
      </c>
      <c r="Z443" t="s">
        <v>7990</v>
      </c>
      <c r="AA443">
        <v>40.39</v>
      </c>
      <c r="AB443">
        <v>0.31</v>
      </c>
    </row>
    <row r="444" spans="1:28">
      <c r="A444" t="s">
        <v>6378</v>
      </c>
      <c r="B444" t="s">
        <v>6379</v>
      </c>
      <c r="C444" t="s">
        <v>6380</v>
      </c>
      <c r="D444" t="s">
        <v>7859</v>
      </c>
      <c r="E444" t="s">
        <v>7839</v>
      </c>
      <c r="F444" t="s">
        <v>7840</v>
      </c>
      <c r="G444" t="s">
        <v>7987</v>
      </c>
      <c r="H444" t="s">
        <v>9</v>
      </c>
      <c r="I444">
        <v>246.279</v>
      </c>
      <c r="J444">
        <v>16.4</v>
      </c>
      <c r="K444">
        <v>0.65</v>
      </c>
      <c r="M444" t="s">
        <v>8034</v>
      </c>
      <c r="N444">
        <v>6485.793</v>
      </c>
      <c r="V444" t="s">
        <v>7859</v>
      </c>
      <c r="W444" t="s">
        <v>7839</v>
      </c>
      <c r="X444" t="s">
        <v>7840</v>
      </c>
      <c r="Y444">
        <v>246.279</v>
      </c>
      <c r="Z444" t="s">
        <v>7987</v>
      </c>
      <c r="AA444">
        <v>16.4</v>
      </c>
      <c r="AB444">
        <v>0.65</v>
      </c>
    </row>
    <row r="445" spans="1:28">
      <c r="A445" t="s">
        <v>1732</v>
      </c>
      <c r="B445" t="s">
        <v>1733</v>
      </c>
      <c r="C445" t="s">
        <v>1734</v>
      </c>
      <c r="D445" t="s">
        <v>7850</v>
      </c>
      <c r="E445" t="s">
        <v>7839</v>
      </c>
      <c r="F445" t="s">
        <v>7840</v>
      </c>
      <c r="G445" t="s">
        <v>8028</v>
      </c>
      <c r="H445" t="s">
        <v>9</v>
      </c>
      <c r="I445">
        <v>547.451</v>
      </c>
      <c r="J445">
        <v>94.792</v>
      </c>
      <c r="K445">
        <v>0.3</v>
      </c>
      <c r="M445" t="s">
        <v>7969</v>
      </c>
      <c r="N445">
        <v>4331.568</v>
      </c>
      <c r="V445" t="s">
        <v>7850</v>
      </c>
      <c r="W445" t="s">
        <v>7839</v>
      </c>
      <c r="X445" t="s">
        <v>7840</v>
      </c>
      <c r="Y445">
        <v>547.451</v>
      </c>
      <c r="Z445" t="s">
        <v>8028</v>
      </c>
      <c r="AA445">
        <v>94.792</v>
      </c>
      <c r="AB445">
        <v>0.3</v>
      </c>
    </row>
    <row r="446" spans="1:28">
      <c r="A446" t="s">
        <v>3905</v>
      </c>
      <c r="B446" t="s">
        <v>3906</v>
      </c>
      <c r="C446" t="s">
        <v>3907</v>
      </c>
      <c r="D446" t="s">
        <v>7847</v>
      </c>
      <c r="E446" t="s">
        <v>7839</v>
      </c>
      <c r="F446" t="s">
        <v>7840</v>
      </c>
      <c r="G446" t="s">
        <v>7854</v>
      </c>
      <c r="H446" t="s">
        <v>9</v>
      </c>
      <c r="I446">
        <v>125.998</v>
      </c>
      <c r="J446">
        <v>7.061</v>
      </c>
      <c r="K446">
        <v>0.2</v>
      </c>
      <c r="M446" t="s">
        <v>7854</v>
      </c>
      <c r="N446">
        <v>278.736</v>
      </c>
      <c r="V446" t="s">
        <v>7847</v>
      </c>
      <c r="W446" t="s">
        <v>7839</v>
      </c>
      <c r="X446" t="s">
        <v>7840</v>
      </c>
      <c r="Y446">
        <v>125.998</v>
      </c>
      <c r="Z446" t="s">
        <v>7854</v>
      </c>
      <c r="AA446">
        <v>7.061</v>
      </c>
      <c r="AB446">
        <v>0.2</v>
      </c>
    </row>
    <row r="447" spans="1:28">
      <c r="A447" t="s">
        <v>3127</v>
      </c>
      <c r="B447" t="s">
        <v>3128</v>
      </c>
      <c r="C447" t="s">
        <v>3129</v>
      </c>
      <c r="D447" t="s">
        <v>7846</v>
      </c>
      <c r="E447" t="s">
        <v>7839</v>
      </c>
      <c r="F447" t="s">
        <v>7840</v>
      </c>
      <c r="G447" t="s">
        <v>7969</v>
      </c>
      <c r="H447" t="s">
        <v>9</v>
      </c>
      <c r="I447">
        <v>803.563</v>
      </c>
      <c r="J447">
        <v>18.359</v>
      </c>
      <c r="K447">
        <v>0.45</v>
      </c>
      <c r="M447" t="s">
        <v>8118</v>
      </c>
      <c r="N447">
        <v>174.822</v>
      </c>
      <c r="V447" t="s">
        <v>7846</v>
      </c>
      <c r="W447" t="s">
        <v>7839</v>
      </c>
      <c r="X447" t="s">
        <v>7840</v>
      </c>
      <c r="Y447">
        <v>803.563</v>
      </c>
      <c r="Z447" t="s">
        <v>7969</v>
      </c>
      <c r="AA447">
        <v>18.359</v>
      </c>
      <c r="AB447">
        <v>0.45</v>
      </c>
    </row>
    <row r="448" spans="1:28">
      <c r="A448" t="s">
        <v>3152</v>
      </c>
      <c r="B448" t="s">
        <v>3153</v>
      </c>
      <c r="C448" t="s">
        <v>3154</v>
      </c>
      <c r="D448" t="s">
        <v>7847</v>
      </c>
      <c r="E448" t="s">
        <v>7839</v>
      </c>
      <c r="F448" t="s">
        <v>7840</v>
      </c>
      <c r="G448" t="s">
        <v>8070</v>
      </c>
      <c r="H448" t="s">
        <v>9</v>
      </c>
      <c r="I448">
        <v>56.923</v>
      </c>
      <c r="J448">
        <v>19.197</v>
      </c>
      <c r="K448">
        <v>0.3</v>
      </c>
      <c r="M448" t="s">
        <v>7990</v>
      </c>
      <c r="N448">
        <v>549.839</v>
      </c>
      <c r="V448" t="s">
        <v>7847</v>
      </c>
      <c r="W448" t="s">
        <v>7839</v>
      </c>
      <c r="X448" t="s">
        <v>7840</v>
      </c>
      <c r="Y448">
        <v>56.923</v>
      </c>
      <c r="Z448" t="s">
        <v>8070</v>
      </c>
      <c r="AA448">
        <v>19.197</v>
      </c>
      <c r="AB448">
        <v>0.3</v>
      </c>
    </row>
    <row r="449" spans="1:28">
      <c r="A449" t="s">
        <v>3696</v>
      </c>
      <c r="B449" t="s">
        <v>3697</v>
      </c>
      <c r="C449" t="s">
        <v>3698</v>
      </c>
      <c r="D449" t="s">
        <v>7847</v>
      </c>
      <c r="E449" t="s">
        <v>7839</v>
      </c>
      <c r="F449" t="s">
        <v>7840</v>
      </c>
      <c r="G449" t="s">
        <v>8002</v>
      </c>
      <c r="H449" t="s">
        <v>9</v>
      </c>
      <c r="I449">
        <v>68.688</v>
      </c>
      <c r="J449">
        <v>46.213</v>
      </c>
      <c r="K449">
        <v>0.25</v>
      </c>
      <c r="M449" t="s">
        <v>7987</v>
      </c>
      <c r="N449">
        <v>246.279</v>
      </c>
      <c r="V449" t="s">
        <v>7847</v>
      </c>
      <c r="W449" t="s">
        <v>7839</v>
      </c>
      <c r="X449" t="s">
        <v>7840</v>
      </c>
      <c r="Y449">
        <v>68.688</v>
      </c>
      <c r="Z449" t="s">
        <v>8002</v>
      </c>
      <c r="AA449">
        <v>46.213</v>
      </c>
      <c r="AB449">
        <v>0.25</v>
      </c>
    </row>
    <row r="450" spans="1:28">
      <c r="A450" t="s">
        <v>3629</v>
      </c>
      <c r="B450" t="s">
        <v>3630</v>
      </c>
      <c r="C450" t="s">
        <v>3631</v>
      </c>
      <c r="D450" t="s">
        <v>7847</v>
      </c>
      <c r="E450" t="s">
        <v>7848</v>
      </c>
      <c r="F450" t="s">
        <v>7840</v>
      </c>
      <c r="G450" t="s">
        <v>7923</v>
      </c>
      <c r="H450" t="s">
        <v>9</v>
      </c>
      <c r="I450">
        <v>6638.457</v>
      </c>
      <c r="J450">
        <v>40.828</v>
      </c>
      <c r="K450">
        <v>0.34</v>
      </c>
      <c r="M450" t="s">
        <v>8028</v>
      </c>
      <c r="N450">
        <v>547.451</v>
      </c>
      <c r="V450" t="s">
        <v>7847</v>
      </c>
      <c r="W450" t="s">
        <v>7848</v>
      </c>
      <c r="X450" t="s">
        <v>7840</v>
      </c>
      <c r="Y450">
        <v>6638.457</v>
      </c>
      <c r="Z450" t="s">
        <v>7923</v>
      </c>
      <c r="AA450">
        <v>40.828</v>
      </c>
      <c r="AB450">
        <v>0.34</v>
      </c>
    </row>
    <row r="451" spans="1:28">
      <c r="A451" t="s">
        <v>2167</v>
      </c>
      <c r="B451" t="s">
        <v>2168</v>
      </c>
      <c r="C451" t="s">
        <v>2169</v>
      </c>
      <c r="D451" t="s">
        <v>7855</v>
      </c>
      <c r="E451" t="s">
        <v>7839</v>
      </c>
      <c r="F451" t="s">
        <v>7840</v>
      </c>
      <c r="G451" t="s">
        <v>8033</v>
      </c>
      <c r="H451" t="s">
        <v>9</v>
      </c>
      <c r="I451">
        <v>14593.39</v>
      </c>
      <c r="J451">
        <v>35.689</v>
      </c>
      <c r="K451">
        <v>0.03</v>
      </c>
      <c r="M451" t="s">
        <v>7854</v>
      </c>
      <c r="N451">
        <v>125.998</v>
      </c>
      <c r="V451" t="s">
        <v>7855</v>
      </c>
      <c r="W451" t="s">
        <v>7839</v>
      </c>
      <c r="X451" t="s">
        <v>7840</v>
      </c>
      <c r="Y451">
        <v>14593.39</v>
      </c>
      <c r="Z451" t="s">
        <v>8033</v>
      </c>
      <c r="AA451">
        <v>35.689</v>
      </c>
      <c r="AB451">
        <v>0.03</v>
      </c>
    </row>
    <row r="452" spans="1:28">
      <c r="A452" t="s">
        <v>3552</v>
      </c>
      <c r="B452" t="s">
        <v>3553</v>
      </c>
      <c r="C452" t="s">
        <v>3554</v>
      </c>
      <c r="D452" t="s">
        <v>7850</v>
      </c>
      <c r="E452" t="s">
        <v>7839</v>
      </c>
      <c r="F452" t="s">
        <v>7853</v>
      </c>
      <c r="G452" t="s">
        <v>7854</v>
      </c>
      <c r="H452" t="s">
        <v>9</v>
      </c>
      <c r="I452">
        <v>6.495</v>
      </c>
      <c r="J452">
        <v>99.874</v>
      </c>
      <c r="K452">
        <v>0</v>
      </c>
      <c r="M452" t="s">
        <v>7969</v>
      </c>
      <c r="N452">
        <v>803.563</v>
      </c>
      <c r="V452" t="s">
        <v>7850</v>
      </c>
      <c r="W452" t="s">
        <v>7839</v>
      </c>
      <c r="X452" t="s">
        <v>7853</v>
      </c>
      <c r="Y452">
        <v>6.495</v>
      </c>
      <c r="Z452" t="s">
        <v>7854</v>
      </c>
      <c r="AA452">
        <v>99.874</v>
      </c>
      <c r="AB452">
        <v>0</v>
      </c>
    </row>
    <row r="453" spans="1:28">
      <c r="A453" t="s">
        <v>5646</v>
      </c>
      <c r="B453" t="s">
        <v>5647</v>
      </c>
      <c r="C453" t="s">
        <v>5648</v>
      </c>
      <c r="D453" t="s">
        <v>7862</v>
      </c>
      <c r="E453" t="s">
        <v>7839</v>
      </c>
      <c r="F453" t="s">
        <v>7840</v>
      </c>
      <c r="G453" t="s">
        <v>8102</v>
      </c>
      <c r="H453" t="s">
        <v>9</v>
      </c>
      <c r="I453">
        <v>4.614</v>
      </c>
      <c r="J453">
        <v>87.719</v>
      </c>
      <c r="K453">
        <v>0.25</v>
      </c>
      <c r="M453" t="s">
        <v>8070</v>
      </c>
      <c r="N453">
        <v>56.923</v>
      </c>
      <c r="V453" t="s">
        <v>7862</v>
      </c>
      <c r="W453" t="s">
        <v>7839</v>
      </c>
      <c r="X453" t="s">
        <v>7840</v>
      </c>
      <c r="Y453">
        <v>4.614</v>
      </c>
      <c r="Z453" t="s">
        <v>8102</v>
      </c>
      <c r="AA453">
        <v>87.719</v>
      </c>
      <c r="AB453">
        <v>0.25</v>
      </c>
    </row>
    <row r="454" spans="1:28">
      <c r="A454" t="s">
        <v>1714</v>
      </c>
      <c r="B454" t="s">
        <v>1715</v>
      </c>
      <c r="C454" t="s">
        <v>1716</v>
      </c>
      <c r="D454" t="s">
        <v>7846</v>
      </c>
      <c r="E454" t="s">
        <v>7839</v>
      </c>
      <c r="F454" t="s">
        <v>7840</v>
      </c>
      <c r="G454" t="s">
        <v>7899</v>
      </c>
      <c r="H454" t="s">
        <v>9</v>
      </c>
      <c r="I454">
        <v>738.825</v>
      </c>
      <c r="J454">
        <v>11.291</v>
      </c>
      <c r="K454">
        <v>0.99</v>
      </c>
      <c r="M454" t="s">
        <v>8002</v>
      </c>
      <c r="N454">
        <v>68.688</v>
      </c>
      <c r="V454" t="s">
        <v>7846</v>
      </c>
      <c r="W454" t="s">
        <v>7839</v>
      </c>
      <c r="X454" t="s">
        <v>7840</v>
      </c>
      <c r="Y454">
        <v>738.825</v>
      </c>
      <c r="Z454" t="s">
        <v>7899</v>
      </c>
      <c r="AA454">
        <v>11.291</v>
      </c>
      <c r="AB454">
        <v>0.99</v>
      </c>
    </row>
    <row r="455" spans="1:28">
      <c r="A455" t="s">
        <v>2697</v>
      </c>
      <c r="B455" t="s">
        <v>2698</v>
      </c>
      <c r="C455" t="s">
        <v>2699</v>
      </c>
      <c r="D455" t="s">
        <v>7855</v>
      </c>
      <c r="E455" t="s">
        <v>7839</v>
      </c>
      <c r="F455" t="s">
        <v>7888</v>
      </c>
      <c r="G455" t="s">
        <v>8006</v>
      </c>
      <c r="H455" t="s">
        <v>9</v>
      </c>
      <c r="I455">
        <v>3.018</v>
      </c>
      <c r="J455">
        <v>72.632</v>
      </c>
      <c r="K455">
        <v>0.1</v>
      </c>
      <c r="M455" t="s">
        <v>7923</v>
      </c>
      <c r="N455">
        <v>6638.457</v>
      </c>
      <c r="V455" t="s">
        <v>7855</v>
      </c>
      <c r="W455" t="s">
        <v>7839</v>
      </c>
      <c r="X455" t="s">
        <v>7888</v>
      </c>
      <c r="Y455">
        <v>3.018</v>
      </c>
      <c r="Z455" t="s">
        <v>8006</v>
      </c>
      <c r="AA455">
        <v>72.632</v>
      </c>
      <c r="AB455">
        <v>0.1</v>
      </c>
    </row>
    <row r="456" spans="1:28">
      <c r="A456" t="s">
        <v>2506</v>
      </c>
      <c r="B456" t="s">
        <v>2507</v>
      </c>
      <c r="C456" t="s">
        <v>2508</v>
      </c>
      <c r="D456" t="s">
        <v>7847</v>
      </c>
      <c r="E456" t="s">
        <v>7839</v>
      </c>
      <c r="F456" t="s">
        <v>7840</v>
      </c>
      <c r="G456" t="s">
        <v>8077</v>
      </c>
      <c r="H456" t="s">
        <v>9</v>
      </c>
      <c r="I456">
        <v>114.935</v>
      </c>
      <c r="J456">
        <v>3.517</v>
      </c>
      <c r="K456">
        <v>0.6</v>
      </c>
      <c r="M456" t="s">
        <v>8033</v>
      </c>
      <c r="N456">
        <v>14593.39</v>
      </c>
      <c r="V456" t="s">
        <v>7847</v>
      </c>
      <c r="W456" t="s">
        <v>7839</v>
      </c>
      <c r="X456" t="s">
        <v>7840</v>
      </c>
      <c r="Y456">
        <v>114.935</v>
      </c>
      <c r="Z456" t="s">
        <v>8077</v>
      </c>
      <c r="AA456">
        <v>3.517</v>
      </c>
      <c r="AB456">
        <v>0.6</v>
      </c>
    </row>
    <row r="457" spans="1:28">
      <c r="A457" t="s">
        <v>4097</v>
      </c>
      <c r="B457" t="s">
        <v>4098</v>
      </c>
      <c r="C457" t="s">
        <v>4099</v>
      </c>
      <c r="D457" t="s">
        <v>7847</v>
      </c>
      <c r="E457" t="s">
        <v>7839</v>
      </c>
      <c r="F457" t="s">
        <v>7853</v>
      </c>
      <c r="G457" t="s">
        <v>8033</v>
      </c>
      <c r="H457" t="s">
        <v>9</v>
      </c>
      <c r="I457">
        <v>9610.109</v>
      </c>
      <c r="J457">
        <v>4.765</v>
      </c>
      <c r="K457">
        <v>0.03</v>
      </c>
      <c r="M457" t="s">
        <v>7854</v>
      </c>
      <c r="N457">
        <v>6.495</v>
      </c>
      <c r="V457" t="s">
        <v>7847</v>
      </c>
      <c r="W457" t="s">
        <v>7839</v>
      </c>
      <c r="X457" t="s">
        <v>7853</v>
      </c>
      <c r="Y457">
        <v>9610.109</v>
      </c>
      <c r="Z457" t="s">
        <v>8033</v>
      </c>
      <c r="AA457">
        <v>4.765</v>
      </c>
      <c r="AB457">
        <v>0.03</v>
      </c>
    </row>
    <row r="458" spans="1:28">
      <c r="A458" t="s">
        <v>4636</v>
      </c>
      <c r="B458" t="s">
        <v>4637</v>
      </c>
      <c r="C458" t="s">
        <v>4638</v>
      </c>
      <c r="D458" t="s">
        <v>7847</v>
      </c>
      <c r="E458" t="s">
        <v>7840</v>
      </c>
      <c r="F458" t="s">
        <v>7840</v>
      </c>
      <c r="G458" t="s">
        <v>7868</v>
      </c>
      <c r="H458" t="s">
        <v>9</v>
      </c>
      <c r="I458">
        <v>7.941</v>
      </c>
      <c r="K458">
        <v>0.79</v>
      </c>
      <c r="M458" t="s">
        <v>8102</v>
      </c>
      <c r="N458">
        <v>4.614</v>
      </c>
      <c r="V458" t="s">
        <v>7847</v>
      </c>
      <c r="W458" t="s">
        <v>7840</v>
      </c>
      <c r="X458" t="s">
        <v>7840</v>
      </c>
      <c r="Y458">
        <v>7.941</v>
      </c>
      <c r="Z458" t="s">
        <v>7868</v>
      </c>
      <c r="AB458">
        <v>0.79</v>
      </c>
    </row>
    <row r="459" spans="1:28">
      <c r="A459" t="s">
        <v>5018</v>
      </c>
      <c r="B459" t="s">
        <v>5019</v>
      </c>
      <c r="C459" t="s">
        <v>5020</v>
      </c>
      <c r="D459" t="s">
        <v>7847</v>
      </c>
      <c r="E459" t="s">
        <v>7839</v>
      </c>
      <c r="F459" t="s">
        <v>7888</v>
      </c>
      <c r="G459" t="s">
        <v>8089</v>
      </c>
      <c r="H459" t="s">
        <v>9</v>
      </c>
      <c r="I459">
        <v>906.842</v>
      </c>
      <c r="J459">
        <v>31.26</v>
      </c>
      <c r="K459">
        <v>0.35</v>
      </c>
      <c r="M459" t="s">
        <v>7899</v>
      </c>
      <c r="N459">
        <v>738.825</v>
      </c>
      <c r="V459" t="s">
        <v>7847</v>
      </c>
      <c r="W459" t="s">
        <v>7839</v>
      </c>
      <c r="X459" t="s">
        <v>7888</v>
      </c>
      <c r="Y459">
        <v>906.842</v>
      </c>
      <c r="Z459" t="s">
        <v>8089</v>
      </c>
      <c r="AA459">
        <v>31.26</v>
      </c>
      <c r="AB459">
        <v>0.35</v>
      </c>
    </row>
    <row r="460" spans="1:28">
      <c r="A460" t="s">
        <v>4944</v>
      </c>
      <c r="B460" t="s">
        <v>4945</v>
      </c>
      <c r="C460" t="s">
        <v>4946</v>
      </c>
      <c r="D460" t="s">
        <v>7862</v>
      </c>
      <c r="E460" t="s">
        <v>7839</v>
      </c>
      <c r="F460" t="s">
        <v>7840</v>
      </c>
      <c r="G460" t="s">
        <v>7943</v>
      </c>
      <c r="H460" t="s">
        <v>9</v>
      </c>
      <c r="I460">
        <v>888.292</v>
      </c>
      <c r="J460">
        <v>34.147</v>
      </c>
      <c r="K460">
        <v>0.15</v>
      </c>
      <c r="M460" t="s">
        <v>8006</v>
      </c>
      <c r="N460">
        <v>3.018</v>
      </c>
      <c r="V460" t="s">
        <v>7862</v>
      </c>
      <c r="W460" t="s">
        <v>7839</v>
      </c>
      <c r="X460" t="s">
        <v>7840</v>
      </c>
      <c r="Y460">
        <v>888.292</v>
      </c>
      <c r="Z460" t="s">
        <v>7943</v>
      </c>
      <c r="AA460">
        <v>34.147</v>
      </c>
      <c r="AB460">
        <v>0.15</v>
      </c>
    </row>
    <row r="461" spans="1:28">
      <c r="A461" t="s">
        <v>3275</v>
      </c>
      <c r="B461" t="s">
        <v>3276</v>
      </c>
      <c r="C461" t="s">
        <v>3277</v>
      </c>
      <c r="D461" t="s">
        <v>7847</v>
      </c>
      <c r="E461" t="s">
        <v>7839</v>
      </c>
      <c r="F461" t="s">
        <v>7840</v>
      </c>
      <c r="G461" t="s">
        <v>8034</v>
      </c>
      <c r="H461" t="s">
        <v>9</v>
      </c>
      <c r="I461">
        <v>9534.895</v>
      </c>
      <c r="J461">
        <v>17.486</v>
      </c>
      <c r="K461">
        <v>0.4</v>
      </c>
      <c r="M461" t="s">
        <v>8077</v>
      </c>
      <c r="N461">
        <v>114.935</v>
      </c>
      <c r="V461" t="s">
        <v>7847</v>
      </c>
      <c r="W461" t="s">
        <v>7839</v>
      </c>
      <c r="X461" t="s">
        <v>7840</v>
      </c>
      <c r="Y461">
        <v>9534.895</v>
      </c>
      <c r="Z461" t="s">
        <v>8034</v>
      </c>
      <c r="AA461">
        <v>17.486</v>
      </c>
      <c r="AB461">
        <v>0.4</v>
      </c>
    </row>
    <row r="462" spans="1:28">
      <c r="A462" t="s">
        <v>1900</v>
      </c>
      <c r="B462" t="s">
        <v>1901</v>
      </c>
      <c r="C462" t="s">
        <v>1902</v>
      </c>
      <c r="D462" t="s">
        <v>7862</v>
      </c>
      <c r="E462" t="s">
        <v>7839</v>
      </c>
      <c r="F462" t="s">
        <v>7935</v>
      </c>
      <c r="G462" t="s">
        <v>7892</v>
      </c>
      <c r="H462" t="s">
        <v>9</v>
      </c>
      <c r="I462">
        <v>349.358</v>
      </c>
      <c r="J462">
        <v>99.792</v>
      </c>
      <c r="K462">
        <v>0.35</v>
      </c>
      <c r="M462" t="s">
        <v>8033</v>
      </c>
      <c r="N462">
        <v>9610.109</v>
      </c>
      <c r="V462" t="s">
        <v>7862</v>
      </c>
      <c r="W462" t="s">
        <v>7839</v>
      </c>
      <c r="X462" t="s">
        <v>7935</v>
      </c>
      <c r="Y462">
        <v>349.358</v>
      </c>
      <c r="Z462" t="s">
        <v>7892</v>
      </c>
      <c r="AA462">
        <v>99.792</v>
      </c>
      <c r="AB462">
        <v>0.35</v>
      </c>
    </row>
    <row r="463" spans="1:28">
      <c r="A463" t="s">
        <v>1429</v>
      </c>
      <c r="B463" t="s">
        <v>1430</v>
      </c>
      <c r="C463" t="s">
        <v>1431</v>
      </c>
      <c r="D463" t="s">
        <v>7855</v>
      </c>
      <c r="E463" t="s">
        <v>7839</v>
      </c>
      <c r="F463" t="s">
        <v>7853</v>
      </c>
      <c r="G463" t="s">
        <v>7854</v>
      </c>
      <c r="H463" t="s">
        <v>9</v>
      </c>
      <c r="I463">
        <v>28.35</v>
      </c>
      <c r="J463">
        <v>100</v>
      </c>
      <c r="K463">
        <v>0.1</v>
      </c>
      <c r="M463" t="s">
        <v>7868</v>
      </c>
      <c r="N463">
        <v>7.941</v>
      </c>
      <c r="V463" t="s">
        <v>7855</v>
      </c>
      <c r="W463" t="s">
        <v>7839</v>
      </c>
      <c r="X463" t="s">
        <v>7853</v>
      </c>
      <c r="Y463">
        <v>28.35</v>
      </c>
      <c r="Z463" t="s">
        <v>7854</v>
      </c>
      <c r="AA463">
        <v>100</v>
      </c>
      <c r="AB463">
        <v>0.1</v>
      </c>
    </row>
    <row r="464" spans="1:28">
      <c r="A464" t="s">
        <v>3514</v>
      </c>
      <c r="B464" t="s">
        <v>3515</v>
      </c>
      <c r="C464" t="s">
        <v>3516</v>
      </c>
      <c r="D464" t="s">
        <v>7847</v>
      </c>
      <c r="E464" t="s">
        <v>7839</v>
      </c>
      <c r="F464" t="s">
        <v>7840</v>
      </c>
      <c r="G464" t="s">
        <v>7908</v>
      </c>
      <c r="H464" t="s">
        <v>9</v>
      </c>
      <c r="I464">
        <v>2142.451</v>
      </c>
      <c r="J464">
        <v>7.367</v>
      </c>
      <c r="K464">
        <v>0</v>
      </c>
      <c r="M464" t="s">
        <v>8089</v>
      </c>
      <c r="N464">
        <v>906.842</v>
      </c>
      <c r="V464" t="s">
        <v>7847</v>
      </c>
      <c r="W464" t="s">
        <v>7839</v>
      </c>
      <c r="X464" t="s">
        <v>7840</v>
      </c>
      <c r="Y464">
        <v>2142.451</v>
      </c>
      <c r="Z464" t="s">
        <v>7908</v>
      </c>
      <c r="AA464">
        <v>7.367</v>
      </c>
      <c r="AB464">
        <v>0</v>
      </c>
    </row>
    <row r="465" spans="1:28">
      <c r="A465" t="s">
        <v>3392</v>
      </c>
      <c r="B465" t="s">
        <v>3393</v>
      </c>
      <c r="C465" t="s">
        <v>3394</v>
      </c>
      <c r="D465" t="s">
        <v>7847</v>
      </c>
      <c r="E465" t="s">
        <v>7839</v>
      </c>
      <c r="F465" t="s">
        <v>7840</v>
      </c>
      <c r="G465" t="s">
        <v>8051</v>
      </c>
      <c r="H465" t="s">
        <v>9</v>
      </c>
      <c r="I465">
        <v>134.344</v>
      </c>
      <c r="J465">
        <v>99.269</v>
      </c>
      <c r="K465">
        <v>0.58</v>
      </c>
      <c r="M465" t="s">
        <v>7943</v>
      </c>
      <c r="N465">
        <v>888.292</v>
      </c>
      <c r="V465" t="s">
        <v>7847</v>
      </c>
      <c r="W465" t="s">
        <v>7839</v>
      </c>
      <c r="X465" t="s">
        <v>7840</v>
      </c>
      <c r="Y465">
        <v>134.344</v>
      </c>
      <c r="Z465" t="s">
        <v>8051</v>
      </c>
      <c r="AA465">
        <v>99.269</v>
      </c>
      <c r="AB465">
        <v>0.58</v>
      </c>
    </row>
    <row r="466" spans="1:28">
      <c r="A466" t="s">
        <v>3112</v>
      </c>
      <c r="B466" t="s">
        <v>3113</v>
      </c>
      <c r="C466" t="s">
        <v>3114</v>
      </c>
      <c r="D466" t="s">
        <v>7847</v>
      </c>
      <c r="E466" t="s">
        <v>7839</v>
      </c>
      <c r="F466" t="s">
        <v>7840</v>
      </c>
      <c r="G466" t="s">
        <v>8030</v>
      </c>
      <c r="H466" t="s">
        <v>9</v>
      </c>
      <c r="I466">
        <v>149.02</v>
      </c>
      <c r="J466">
        <v>12.849</v>
      </c>
      <c r="K466">
        <v>0.52</v>
      </c>
      <c r="M466" t="s">
        <v>8034</v>
      </c>
      <c r="N466">
        <v>9534.895</v>
      </c>
      <c r="V466" t="s">
        <v>7847</v>
      </c>
      <c r="W466" t="s">
        <v>7839</v>
      </c>
      <c r="X466" t="s">
        <v>7840</v>
      </c>
      <c r="Y466">
        <v>149.02</v>
      </c>
      <c r="Z466" t="s">
        <v>8030</v>
      </c>
      <c r="AA466">
        <v>12.849</v>
      </c>
      <c r="AB466">
        <v>0.52</v>
      </c>
    </row>
    <row r="467" spans="1:28">
      <c r="A467" t="s">
        <v>4820</v>
      </c>
      <c r="B467" t="s">
        <v>4821</v>
      </c>
      <c r="C467" t="s">
        <v>4822</v>
      </c>
      <c r="D467" t="s">
        <v>7847</v>
      </c>
      <c r="E467" t="s">
        <v>7839</v>
      </c>
      <c r="F467" t="s">
        <v>7840</v>
      </c>
      <c r="G467" t="s">
        <v>7854</v>
      </c>
      <c r="H467" t="s">
        <v>9</v>
      </c>
      <c r="I467">
        <v>4407.565</v>
      </c>
      <c r="J467">
        <v>4.115</v>
      </c>
      <c r="K467">
        <v>0.1</v>
      </c>
      <c r="M467" t="s">
        <v>7892</v>
      </c>
      <c r="N467">
        <v>349.358</v>
      </c>
      <c r="V467" t="s">
        <v>7847</v>
      </c>
      <c r="W467" t="s">
        <v>7839</v>
      </c>
      <c r="X467" t="s">
        <v>7840</v>
      </c>
      <c r="Y467">
        <v>4407.565</v>
      </c>
      <c r="Z467" t="s">
        <v>7854</v>
      </c>
      <c r="AA467">
        <v>4.115</v>
      </c>
      <c r="AB467">
        <v>0.1</v>
      </c>
    </row>
    <row r="468" spans="1:28">
      <c r="A468" t="s">
        <v>2333</v>
      </c>
      <c r="B468" t="s">
        <v>2334</v>
      </c>
      <c r="C468" t="s">
        <v>2335</v>
      </c>
      <c r="D468" t="s">
        <v>7855</v>
      </c>
      <c r="E468" t="s">
        <v>7839</v>
      </c>
      <c r="F468" t="s">
        <v>7840</v>
      </c>
      <c r="G468" t="s">
        <v>7852</v>
      </c>
      <c r="H468" t="s">
        <v>9</v>
      </c>
      <c r="I468">
        <v>970.428</v>
      </c>
      <c r="J468">
        <v>31.385</v>
      </c>
      <c r="K468">
        <v>0.12</v>
      </c>
      <c r="M468" t="s">
        <v>7854</v>
      </c>
      <c r="N468">
        <v>28.35</v>
      </c>
      <c r="V468" t="s">
        <v>7855</v>
      </c>
      <c r="W468" t="s">
        <v>7839</v>
      </c>
      <c r="X468" t="s">
        <v>7840</v>
      </c>
      <c r="Y468">
        <v>970.428</v>
      </c>
      <c r="Z468" t="s">
        <v>7852</v>
      </c>
      <c r="AA468">
        <v>31.385</v>
      </c>
      <c r="AB468">
        <v>0.12</v>
      </c>
    </row>
    <row r="469" spans="1:28">
      <c r="A469" t="s">
        <v>2778</v>
      </c>
      <c r="B469" t="s">
        <v>2779</v>
      </c>
      <c r="C469" t="s">
        <v>2780</v>
      </c>
      <c r="D469" t="s">
        <v>7844</v>
      </c>
      <c r="E469" t="s">
        <v>7839</v>
      </c>
      <c r="F469" t="s">
        <v>7932</v>
      </c>
      <c r="G469" t="s">
        <v>7974</v>
      </c>
      <c r="H469" t="s">
        <v>9</v>
      </c>
      <c r="I469">
        <v>236.33</v>
      </c>
      <c r="J469">
        <v>9.643</v>
      </c>
      <c r="K469">
        <v>0.29</v>
      </c>
      <c r="M469" t="s">
        <v>7908</v>
      </c>
      <c r="N469">
        <v>2142.451</v>
      </c>
      <c r="V469" t="s">
        <v>7844</v>
      </c>
      <c r="W469" t="s">
        <v>7839</v>
      </c>
      <c r="X469" t="s">
        <v>7932</v>
      </c>
      <c r="Y469">
        <v>236.33</v>
      </c>
      <c r="Z469" t="s">
        <v>7974</v>
      </c>
      <c r="AA469">
        <v>9.643</v>
      </c>
      <c r="AB469">
        <v>0.29</v>
      </c>
    </row>
    <row r="470" spans="1:28">
      <c r="A470" t="s">
        <v>4171</v>
      </c>
      <c r="B470" t="s">
        <v>4172</v>
      </c>
      <c r="C470" t="s">
        <v>4173</v>
      </c>
      <c r="D470" t="s">
        <v>7847</v>
      </c>
      <c r="E470" t="s">
        <v>7839</v>
      </c>
      <c r="F470" t="s">
        <v>7840</v>
      </c>
      <c r="G470" t="s">
        <v>7944</v>
      </c>
      <c r="H470" t="s">
        <v>9</v>
      </c>
      <c r="I470">
        <v>626.376</v>
      </c>
      <c r="J470">
        <v>25.841</v>
      </c>
      <c r="K470">
        <v>0.45</v>
      </c>
      <c r="M470" t="s">
        <v>8051</v>
      </c>
      <c r="N470">
        <v>134.344</v>
      </c>
      <c r="V470" t="s">
        <v>7847</v>
      </c>
      <c r="W470" t="s">
        <v>7839</v>
      </c>
      <c r="X470" t="s">
        <v>7840</v>
      </c>
      <c r="Y470">
        <v>626.376</v>
      </c>
      <c r="Z470" t="s">
        <v>7944</v>
      </c>
      <c r="AA470">
        <v>25.841</v>
      </c>
      <c r="AB470">
        <v>0.45</v>
      </c>
    </row>
    <row r="471" spans="1:28">
      <c r="A471" t="s">
        <v>3089</v>
      </c>
      <c r="B471" t="s">
        <v>3090</v>
      </c>
      <c r="C471" t="s">
        <v>3091</v>
      </c>
      <c r="D471" t="s">
        <v>7864</v>
      </c>
      <c r="E471" t="s">
        <v>7839</v>
      </c>
      <c r="F471" t="s">
        <v>7840</v>
      </c>
      <c r="G471" t="s">
        <v>7977</v>
      </c>
      <c r="H471" t="s">
        <v>9</v>
      </c>
      <c r="I471">
        <v>122.935</v>
      </c>
      <c r="J471">
        <v>26.234</v>
      </c>
      <c r="K471">
        <v>0.34</v>
      </c>
      <c r="M471" t="s">
        <v>8030</v>
      </c>
      <c r="N471">
        <v>149.02</v>
      </c>
      <c r="V471" t="s">
        <v>7864</v>
      </c>
      <c r="W471" t="s">
        <v>7839</v>
      </c>
      <c r="X471" t="s">
        <v>7840</v>
      </c>
      <c r="Y471">
        <v>122.935</v>
      </c>
      <c r="Z471" t="s">
        <v>7977</v>
      </c>
      <c r="AA471">
        <v>26.234</v>
      </c>
      <c r="AB471">
        <v>0.34</v>
      </c>
    </row>
    <row r="472" spans="1:28">
      <c r="A472" t="s">
        <v>431</v>
      </c>
      <c r="B472" t="s">
        <v>432</v>
      </c>
      <c r="C472" t="s">
        <v>433</v>
      </c>
      <c r="D472" t="s">
        <v>7850</v>
      </c>
      <c r="E472" t="s">
        <v>7839</v>
      </c>
      <c r="F472" t="s">
        <v>7840</v>
      </c>
      <c r="G472" t="s">
        <v>7926</v>
      </c>
      <c r="H472" t="s">
        <v>9</v>
      </c>
      <c r="I472">
        <v>10.003</v>
      </c>
      <c r="J472">
        <v>17.653</v>
      </c>
      <c r="K472">
        <v>0.5</v>
      </c>
      <c r="M472" t="s">
        <v>7854</v>
      </c>
      <c r="N472">
        <v>4407.565</v>
      </c>
      <c r="V472" t="s">
        <v>7850</v>
      </c>
      <c r="W472" t="s">
        <v>7839</v>
      </c>
      <c r="X472" t="s">
        <v>7840</v>
      </c>
      <c r="Y472">
        <v>10.003</v>
      </c>
      <c r="Z472" t="s">
        <v>7926</v>
      </c>
      <c r="AA472">
        <v>17.653</v>
      </c>
      <c r="AB472">
        <v>0.5</v>
      </c>
    </row>
    <row r="473" spans="1:28">
      <c r="A473" t="s">
        <v>3188</v>
      </c>
      <c r="B473" t="s">
        <v>3189</v>
      </c>
      <c r="C473" t="s">
        <v>3190</v>
      </c>
      <c r="D473" t="s">
        <v>7850</v>
      </c>
      <c r="E473" t="s">
        <v>7839</v>
      </c>
      <c r="F473" t="s">
        <v>7853</v>
      </c>
      <c r="G473" t="s">
        <v>7970</v>
      </c>
      <c r="H473" t="s">
        <v>9</v>
      </c>
      <c r="I473">
        <v>313.672</v>
      </c>
      <c r="J473">
        <v>12.168</v>
      </c>
      <c r="K473">
        <v>0.36</v>
      </c>
      <c r="M473" t="s">
        <v>7852</v>
      </c>
      <c r="N473">
        <v>970.428</v>
      </c>
      <c r="V473" t="s">
        <v>7850</v>
      </c>
      <c r="W473" t="s">
        <v>7839</v>
      </c>
      <c r="X473" t="s">
        <v>7853</v>
      </c>
      <c r="Y473">
        <v>313.672</v>
      </c>
      <c r="Z473" t="s">
        <v>7970</v>
      </c>
      <c r="AA473">
        <v>12.168</v>
      </c>
      <c r="AB473">
        <v>0.36</v>
      </c>
    </row>
    <row r="474" spans="1:28">
      <c r="A474" t="s">
        <v>4188</v>
      </c>
      <c r="B474" t="s">
        <v>4189</v>
      </c>
      <c r="C474" t="s">
        <v>4190</v>
      </c>
      <c r="D474" t="s">
        <v>7847</v>
      </c>
      <c r="E474" t="s">
        <v>7839</v>
      </c>
      <c r="F474" t="s">
        <v>7840</v>
      </c>
      <c r="G474" t="s">
        <v>8070</v>
      </c>
      <c r="H474" t="s">
        <v>9</v>
      </c>
      <c r="I474">
        <v>468.747</v>
      </c>
      <c r="J474">
        <v>10.522</v>
      </c>
      <c r="K474">
        <v>0.15</v>
      </c>
      <c r="M474" t="s">
        <v>7974</v>
      </c>
      <c r="N474">
        <v>236.33</v>
      </c>
      <c r="V474" t="s">
        <v>7847</v>
      </c>
      <c r="W474" t="s">
        <v>7839</v>
      </c>
      <c r="X474" t="s">
        <v>7840</v>
      </c>
      <c r="Y474">
        <v>468.747</v>
      </c>
      <c r="Z474" t="s">
        <v>8070</v>
      </c>
      <c r="AA474">
        <v>10.522</v>
      </c>
      <c r="AB474">
        <v>0.15</v>
      </c>
    </row>
    <row r="475" spans="1:28">
      <c r="A475" t="s">
        <v>2235</v>
      </c>
      <c r="B475" t="s">
        <v>2236</v>
      </c>
      <c r="C475" t="s">
        <v>2237</v>
      </c>
      <c r="D475" t="s">
        <v>7855</v>
      </c>
      <c r="E475" t="s">
        <v>7839</v>
      </c>
      <c r="F475" t="s">
        <v>7853</v>
      </c>
      <c r="G475" t="s">
        <v>7854</v>
      </c>
      <c r="H475" t="s">
        <v>9</v>
      </c>
      <c r="I475">
        <v>13838.416</v>
      </c>
      <c r="J475">
        <v>35.701</v>
      </c>
      <c r="K475">
        <v>0.18</v>
      </c>
      <c r="M475" t="s">
        <v>7944</v>
      </c>
      <c r="N475">
        <v>626.376</v>
      </c>
      <c r="V475" t="s">
        <v>7855</v>
      </c>
      <c r="W475" t="s">
        <v>7839</v>
      </c>
      <c r="X475" t="s">
        <v>7853</v>
      </c>
      <c r="Y475">
        <v>13838.416</v>
      </c>
      <c r="Z475" t="s">
        <v>7854</v>
      </c>
      <c r="AA475">
        <v>35.701</v>
      </c>
      <c r="AB475">
        <v>0.18</v>
      </c>
    </row>
    <row r="476" spans="1:28">
      <c r="A476" t="s">
        <v>3024</v>
      </c>
      <c r="B476" t="s">
        <v>3025</v>
      </c>
      <c r="C476" t="s">
        <v>3026</v>
      </c>
      <c r="D476" t="s">
        <v>7864</v>
      </c>
      <c r="E476" t="s">
        <v>7839</v>
      </c>
      <c r="F476" t="s">
        <v>7840</v>
      </c>
      <c r="G476" t="s">
        <v>8079</v>
      </c>
      <c r="H476" t="s">
        <v>9</v>
      </c>
      <c r="I476">
        <v>76.415</v>
      </c>
      <c r="J476">
        <v>29.896</v>
      </c>
      <c r="K476">
        <v>0.2</v>
      </c>
      <c r="M476" t="s">
        <v>7977</v>
      </c>
      <c r="N476">
        <v>122.935</v>
      </c>
      <c r="V476" t="s">
        <v>7864</v>
      </c>
      <c r="W476" t="s">
        <v>7839</v>
      </c>
      <c r="X476" t="s">
        <v>7840</v>
      </c>
      <c r="Y476">
        <v>76.415</v>
      </c>
      <c r="Z476" t="s">
        <v>8079</v>
      </c>
      <c r="AA476">
        <v>29.896</v>
      </c>
      <c r="AB476">
        <v>0.2</v>
      </c>
    </row>
    <row r="477" spans="1:28">
      <c r="A477" t="s">
        <v>4253</v>
      </c>
      <c r="B477" t="s">
        <v>4254</v>
      </c>
      <c r="C477" t="s">
        <v>4255</v>
      </c>
      <c r="D477" t="s">
        <v>7847</v>
      </c>
      <c r="E477" t="s">
        <v>7839</v>
      </c>
      <c r="F477" t="s">
        <v>7840</v>
      </c>
      <c r="G477" t="s">
        <v>7854</v>
      </c>
      <c r="H477" t="s">
        <v>9</v>
      </c>
      <c r="I477">
        <v>710.222</v>
      </c>
      <c r="J477">
        <v>28.79</v>
      </c>
      <c r="K477">
        <v>0.25</v>
      </c>
      <c r="M477" t="s">
        <v>7926</v>
      </c>
      <c r="N477">
        <v>10.003</v>
      </c>
      <c r="V477" t="s">
        <v>7847</v>
      </c>
      <c r="W477" t="s">
        <v>7839</v>
      </c>
      <c r="X477" t="s">
        <v>7840</v>
      </c>
      <c r="Y477">
        <v>710.222</v>
      </c>
      <c r="Z477" t="s">
        <v>7854</v>
      </c>
      <c r="AA477">
        <v>28.79</v>
      </c>
      <c r="AB477">
        <v>0.25</v>
      </c>
    </row>
    <row r="478" spans="1:28">
      <c r="A478" t="s">
        <v>2509</v>
      </c>
      <c r="B478" t="s">
        <v>2510</v>
      </c>
      <c r="C478" t="s">
        <v>2511</v>
      </c>
      <c r="D478" t="s">
        <v>7846</v>
      </c>
      <c r="E478" t="s">
        <v>7839</v>
      </c>
      <c r="F478" t="s">
        <v>7935</v>
      </c>
      <c r="G478" t="s">
        <v>7944</v>
      </c>
      <c r="H478" t="s">
        <v>9</v>
      </c>
      <c r="I478">
        <v>334.825</v>
      </c>
      <c r="J478">
        <v>15.673</v>
      </c>
      <c r="K478">
        <v>0.39</v>
      </c>
      <c r="M478" t="s">
        <v>7970</v>
      </c>
      <c r="N478">
        <v>313.672</v>
      </c>
      <c r="V478" t="s">
        <v>7846</v>
      </c>
      <c r="W478" t="s">
        <v>7839</v>
      </c>
      <c r="X478" t="s">
        <v>7935</v>
      </c>
      <c r="Y478">
        <v>334.825</v>
      </c>
      <c r="Z478" t="s">
        <v>7944</v>
      </c>
      <c r="AA478">
        <v>15.673</v>
      </c>
      <c r="AB478">
        <v>0.39</v>
      </c>
    </row>
    <row r="479" spans="1:28">
      <c r="A479" t="s">
        <v>3823</v>
      </c>
      <c r="B479" t="s">
        <v>3824</v>
      </c>
      <c r="C479" t="s">
        <v>3825</v>
      </c>
      <c r="D479" t="s">
        <v>7847</v>
      </c>
      <c r="E479" t="s">
        <v>7839</v>
      </c>
      <c r="F479" t="s">
        <v>7840</v>
      </c>
      <c r="G479" t="s">
        <v>8043</v>
      </c>
      <c r="H479" t="s">
        <v>9</v>
      </c>
      <c r="I479">
        <v>64.723</v>
      </c>
      <c r="J479">
        <v>23.504</v>
      </c>
      <c r="K479">
        <v>0.4</v>
      </c>
      <c r="M479" t="s">
        <v>8070</v>
      </c>
      <c r="N479">
        <v>468.747</v>
      </c>
      <c r="V479" t="s">
        <v>7847</v>
      </c>
      <c r="W479" t="s">
        <v>7839</v>
      </c>
      <c r="X479" t="s">
        <v>7840</v>
      </c>
      <c r="Y479">
        <v>64.723</v>
      </c>
      <c r="Z479" t="s">
        <v>8043</v>
      </c>
      <c r="AA479">
        <v>23.504</v>
      </c>
      <c r="AB479">
        <v>0.4</v>
      </c>
    </row>
    <row r="480" spans="1:28">
      <c r="A480" t="s">
        <v>1915</v>
      </c>
      <c r="B480" t="s">
        <v>1916</v>
      </c>
      <c r="C480" t="s">
        <v>1917</v>
      </c>
      <c r="D480" t="s">
        <v>7850</v>
      </c>
      <c r="E480" t="s">
        <v>7839</v>
      </c>
      <c r="F480" t="s">
        <v>7840</v>
      </c>
      <c r="G480" t="s">
        <v>7963</v>
      </c>
      <c r="H480" t="s">
        <v>9</v>
      </c>
      <c r="I480">
        <v>478.698</v>
      </c>
      <c r="J480">
        <v>9.641</v>
      </c>
      <c r="K480">
        <v>0.35</v>
      </c>
      <c r="M480" t="s">
        <v>7854</v>
      </c>
      <c r="N480">
        <v>13838.416</v>
      </c>
      <c r="V480" t="s">
        <v>7850</v>
      </c>
      <c r="W480" t="s">
        <v>7839</v>
      </c>
      <c r="X480" t="s">
        <v>7840</v>
      </c>
      <c r="Y480">
        <v>478.698</v>
      </c>
      <c r="Z480" t="s">
        <v>7963</v>
      </c>
      <c r="AA480">
        <v>9.641</v>
      </c>
      <c r="AB480">
        <v>0.35</v>
      </c>
    </row>
    <row r="481" spans="1:28">
      <c r="A481" t="s">
        <v>3245</v>
      </c>
      <c r="B481" t="s">
        <v>3246</v>
      </c>
      <c r="C481" t="s">
        <v>3247</v>
      </c>
      <c r="D481" t="s">
        <v>7844</v>
      </c>
      <c r="E481" t="s">
        <v>7839</v>
      </c>
      <c r="F481" t="s">
        <v>7935</v>
      </c>
      <c r="G481" t="s">
        <v>8075</v>
      </c>
      <c r="H481" t="s">
        <v>9</v>
      </c>
      <c r="I481">
        <v>7.414</v>
      </c>
      <c r="J481">
        <v>31.902</v>
      </c>
      <c r="K481">
        <v>0.2</v>
      </c>
      <c r="M481" t="s">
        <v>8079</v>
      </c>
      <c r="N481">
        <v>76.415</v>
      </c>
      <c r="V481" t="s">
        <v>7844</v>
      </c>
      <c r="W481" t="s">
        <v>7839</v>
      </c>
      <c r="X481" t="s">
        <v>7935</v>
      </c>
      <c r="Y481">
        <v>7.414</v>
      </c>
      <c r="Z481" t="s">
        <v>8075</v>
      </c>
      <c r="AA481">
        <v>31.902</v>
      </c>
      <c r="AB481">
        <v>0.2</v>
      </c>
    </row>
    <row r="482" spans="1:28">
      <c r="A482" t="s">
        <v>2973</v>
      </c>
      <c r="B482" t="s">
        <v>2974</v>
      </c>
      <c r="C482" t="s">
        <v>2975</v>
      </c>
      <c r="D482" t="s">
        <v>7850</v>
      </c>
      <c r="E482" t="s">
        <v>7839</v>
      </c>
      <c r="F482" t="s">
        <v>7840</v>
      </c>
      <c r="G482" t="s">
        <v>7854</v>
      </c>
      <c r="H482" t="s">
        <v>9</v>
      </c>
      <c r="I482">
        <v>48.01</v>
      </c>
      <c r="J482">
        <v>4.2</v>
      </c>
      <c r="K482">
        <v>0.15</v>
      </c>
      <c r="M482" t="s">
        <v>7854</v>
      </c>
      <c r="N482">
        <v>710.222</v>
      </c>
      <c r="V482" t="s">
        <v>7850</v>
      </c>
      <c r="W482" t="s">
        <v>7839</v>
      </c>
      <c r="X482" t="s">
        <v>7840</v>
      </c>
      <c r="Y482">
        <v>48.01</v>
      </c>
      <c r="Z482" t="s">
        <v>7854</v>
      </c>
      <c r="AA482">
        <v>4.2</v>
      </c>
      <c r="AB482">
        <v>0.15</v>
      </c>
    </row>
    <row r="483" spans="1:28">
      <c r="A483" t="s">
        <v>5231</v>
      </c>
      <c r="B483" t="s">
        <v>5232</v>
      </c>
      <c r="C483" t="s">
        <v>5233</v>
      </c>
      <c r="D483" t="s">
        <v>7850</v>
      </c>
      <c r="E483" t="s">
        <v>7839</v>
      </c>
      <c r="F483" t="s">
        <v>7840</v>
      </c>
      <c r="G483" t="s">
        <v>8123</v>
      </c>
      <c r="H483" t="s">
        <v>9</v>
      </c>
      <c r="I483">
        <v>1615.138</v>
      </c>
      <c r="J483">
        <v>13.752</v>
      </c>
      <c r="K483">
        <v>0.35</v>
      </c>
      <c r="M483" t="s">
        <v>7944</v>
      </c>
      <c r="N483">
        <v>334.825</v>
      </c>
      <c r="V483" t="s">
        <v>7850</v>
      </c>
      <c r="W483" t="s">
        <v>7839</v>
      </c>
      <c r="X483" t="s">
        <v>7840</v>
      </c>
      <c r="Y483">
        <v>1615.138</v>
      </c>
      <c r="Z483" t="s">
        <v>8123</v>
      </c>
      <c r="AA483">
        <v>13.752</v>
      </c>
      <c r="AB483">
        <v>0.35</v>
      </c>
    </row>
    <row r="484" spans="1:28">
      <c r="A484" t="s">
        <v>2258</v>
      </c>
      <c r="B484" t="s">
        <v>2259</v>
      </c>
      <c r="C484" t="s">
        <v>2260</v>
      </c>
      <c r="D484" t="s">
        <v>7847</v>
      </c>
      <c r="E484" t="s">
        <v>7848</v>
      </c>
      <c r="F484" t="s">
        <v>7840</v>
      </c>
      <c r="G484" t="s">
        <v>8004</v>
      </c>
      <c r="H484" t="s">
        <v>9</v>
      </c>
      <c r="I484">
        <v>32.928</v>
      </c>
      <c r="J484">
        <v>35.91</v>
      </c>
      <c r="K484">
        <v>0.5</v>
      </c>
      <c r="M484" t="s">
        <v>8043</v>
      </c>
      <c r="N484">
        <v>64.723</v>
      </c>
      <c r="V484" t="s">
        <v>7847</v>
      </c>
      <c r="W484" t="s">
        <v>7848</v>
      </c>
      <c r="X484" t="s">
        <v>7840</v>
      </c>
      <c r="Y484">
        <v>32.928</v>
      </c>
      <c r="Z484" t="s">
        <v>8004</v>
      </c>
      <c r="AA484">
        <v>35.91</v>
      </c>
      <c r="AB484">
        <v>0.5</v>
      </c>
    </row>
    <row r="485" spans="1:28">
      <c r="A485" t="s">
        <v>1894</v>
      </c>
      <c r="B485" t="s">
        <v>1895</v>
      </c>
      <c r="C485" t="s">
        <v>1896</v>
      </c>
      <c r="D485" t="s">
        <v>7855</v>
      </c>
      <c r="E485" t="s">
        <v>7839</v>
      </c>
      <c r="F485" t="s">
        <v>7840</v>
      </c>
      <c r="G485" t="s">
        <v>7939</v>
      </c>
      <c r="H485" t="s">
        <v>9</v>
      </c>
      <c r="I485">
        <v>1051.342</v>
      </c>
      <c r="J485">
        <v>82.367</v>
      </c>
      <c r="K485">
        <v>0.09</v>
      </c>
      <c r="M485" t="s">
        <v>7963</v>
      </c>
      <c r="N485">
        <v>478.698</v>
      </c>
      <c r="V485" t="s">
        <v>7855</v>
      </c>
      <c r="W485" t="s">
        <v>7839</v>
      </c>
      <c r="X485" t="s">
        <v>7840</v>
      </c>
      <c r="Y485">
        <v>1051.342</v>
      </c>
      <c r="Z485" t="s">
        <v>7939</v>
      </c>
      <c r="AA485">
        <v>82.367</v>
      </c>
      <c r="AB485">
        <v>0.09</v>
      </c>
    </row>
    <row r="486" spans="1:28">
      <c r="A486" t="s">
        <v>1943</v>
      </c>
      <c r="B486" t="s">
        <v>1944</v>
      </c>
      <c r="C486" t="s">
        <v>1945</v>
      </c>
      <c r="D486" t="s">
        <v>7864</v>
      </c>
      <c r="E486" t="s">
        <v>7839</v>
      </c>
      <c r="F486" t="s">
        <v>7840</v>
      </c>
      <c r="G486" t="s">
        <v>7845</v>
      </c>
      <c r="H486" t="s">
        <v>9</v>
      </c>
      <c r="I486">
        <v>136.217</v>
      </c>
      <c r="J486">
        <v>29.614</v>
      </c>
      <c r="K486">
        <v>0.85</v>
      </c>
      <c r="M486" t="s">
        <v>8075</v>
      </c>
      <c r="N486">
        <v>7.414</v>
      </c>
      <c r="V486" t="s">
        <v>7864</v>
      </c>
      <c r="W486" t="s">
        <v>7839</v>
      </c>
      <c r="X486" t="s">
        <v>7840</v>
      </c>
      <c r="Y486">
        <v>136.217</v>
      </c>
      <c r="Z486" t="s">
        <v>7845</v>
      </c>
      <c r="AA486">
        <v>29.614</v>
      </c>
      <c r="AB486">
        <v>0.85</v>
      </c>
    </row>
    <row r="487" spans="1:28">
      <c r="A487" t="s">
        <v>3603</v>
      </c>
      <c r="B487" t="s">
        <v>3604</v>
      </c>
      <c r="C487" t="s">
        <v>3605</v>
      </c>
      <c r="D487" t="s">
        <v>7847</v>
      </c>
      <c r="E487" t="s">
        <v>7839</v>
      </c>
      <c r="F487" t="s">
        <v>7840</v>
      </c>
      <c r="G487" t="s">
        <v>7969</v>
      </c>
      <c r="H487" t="s">
        <v>9</v>
      </c>
      <c r="I487">
        <v>34.486</v>
      </c>
      <c r="J487">
        <v>9.647</v>
      </c>
      <c r="K487">
        <v>0.48</v>
      </c>
      <c r="M487" t="s">
        <v>7854</v>
      </c>
      <c r="N487">
        <v>48.01</v>
      </c>
      <c r="V487" t="s">
        <v>7847</v>
      </c>
      <c r="W487" t="s">
        <v>7839</v>
      </c>
      <c r="X487" t="s">
        <v>7840</v>
      </c>
      <c r="Y487">
        <v>34.486</v>
      </c>
      <c r="Z487" t="s">
        <v>7969</v>
      </c>
      <c r="AA487">
        <v>9.647</v>
      </c>
      <c r="AB487">
        <v>0.48</v>
      </c>
    </row>
    <row r="488" spans="1:28">
      <c r="A488" t="s">
        <v>843</v>
      </c>
      <c r="B488" t="s">
        <v>844</v>
      </c>
      <c r="C488" t="s">
        <v>845</v>
      </c>
      <c r="D488" t="s">
        <v>7864</v>
      </c>
      <c r="E488" t="s">
        <v>7839</v>
      </c>
      <c r="F488" t="s">
        <v>7840</v>
      </c>
      <c r="G488" t="s">
        <v>8039</v>
      </c>
      <c r="H488" t="s">
        <v>9</v>
      </c>
      <c r="I488">
        <v>27.618</v>
      </c>
      <c r="J488">
        <v>50.635</v>
      </c>
      <c r="K488">
        <v>0.5</v>
      </c>
      <c r="M488" t="s">
        <v>8123</v>
      </c>
      <c r="N488">
        <v>1615.138</v>
      </c>
      <c r="V488" t="s">
        <v>7864</v>
      </c>
      <c r="W488" t="s">
        <v>7839</v>
      </c>
      <c r="X488" t="s">
        <v>7840</v>
      </c>
      <c r="Y488">
        <v>27.618</v>
      </c>
      <c r="Z488" t="s">
        <v>8039</v>
      </c>
      <c r="AA488">
        <v>50.635</v>
      </c>
      <c r="AB488">
        <v>0.5</v>
      </c>
    </row>
    <row r="489" spans="1:28">
      <c r="A489" t="s">
        <v>6460</v>
      </c>
      <c r="B489" t="s">
        <v>6461</v>
      </c>
      <c r="C489" t="s">
        <v>6462</v>
      </c>
      <c r="D489" t="s">
        <v>7859</v>
      </c>
      <c r="E489" t="s">
        <v>7839</v>
      </c>
      <c r="F489" t="s">
        <v>7840</v>
      </c>
      <c r="G489" t="s">
        <v>7905</v>
      </c>
      <c r="H489" t="s">
        <v>9</v>
      </c>
      <c r="I489">
        <v>59.737</v>
      </c>
      <c r="J489">
        <v>9.398</v>
      </c>
      <c r="K489">
        <v>0.6</v>
      </c>
      <c r="M489" t="s">
        <v>8004</v>
      </c>
      <c r="N489">
        <v>32.928</v>
      </c>
      <c r="V489" t="s">
        <v>7859</v>
      </c>
      <c r="W489" t="s">
        <v>7839</v>
      </c>
      <c r="X489" t="s">
        <v>7840</v>
      </c>
      <c r="Y489">
        <v>59.737</v>
      </c>
      <c r="Z489" t="s">
        <v>7905</v>
      </c>
      <c r="AA489">
        <v>9.398</v>
      </c>
      <c r="AB489">
        <v>0.6</v>
      </c>
    </row>
    <row r="490" spans="1:28">
      <c r="A490" t="s">
        <v>2616</v>
      </c>
      <c r="B490" t="s">
        <v>2617</v>
      </c>
      <c r="C490" t="s">
        <v>2618</v>
      </c>
      <c r="D490" t="s">
        <v>7855</v>
      </c>
      <c r="E490" t="s">
        <v>7839</v>
      </c>
      <c r="F490" t="s">
        <v>7840</v>
      </c>
      <c r="G490" t="s">
        <v>8118</v>
      </c>
      <c r="H490" t="s">
        <v>9</v>
      </c>
      <c r="I490">
        <v>77.746</v>
      </c>
      <c r="J490">
        <v>35.714</v>
      </c>
      <c r="K490">
        <v>0</v>
      </c>
      <c r="M490" t="s">
        <v>7939</v>
      </c>
      <c r="N490">
        <v>1051.342</v>
      </c>
      <c r="V490" t="s">
        <v>7855</v>
      </c>
      <c r="W490" t="s">
        <v>7839</v>
      </c>
      <c r="X490" t="s">
        <v>7840</v>
      </c>
      <c r="Y490">
        <v>77.746</v>
      </c>
      <c r="Z490" t="s">
        <v>8118</v>
      </c>
      <c r="AA490">
        <v>35.714</v>
      </c>
      <c r="AB490">
        <v>0</v>
      </c>
    </row>
    <row r="491" spans="1:28">
      <c r="A491" t="s">
        <v>5369</v>
      </c>
      <c r="B491" t="s">
        <v>5370</v>
      </c>
      <c r="C491" t="s">
        <v>5371</v>
      </c>
      <c r="D491" t="s">
        <v>7847</v>
      </c>
      <c r="E491" t="s">
        <v>7840</v>
      </c>
      <c r="F491" t="s">
        <v>7840</v>
      </c>
      <c r="G491" t="s">
        <v>8054</v>
      </c>
      <c r="H491" t="s">
        <v>9</v>
      </c>
      <c r="I491">
        <v>54.5</v>
      </c>
      <c r="K491">
        <v>0.37</v>
      </c>
      <c r="M491" t="s">
        <v>7845</v>
      </c>
      <c r="N491">
        <v>136.217</v>
      </c>
      <c r="V491" t="s">
        <v>7847</v>
      </c>
      <c r="W491" t="s">
        <v>7840</v>
      </c>
      <c r="X491" t="s">
        <v>7840</v>
      </c>
      <c r="Y491">
        <v>54.5</v>
      </c>
      <c r="Z491" t="s">
        <v>8054</v>
      </c>
      <c r="AB491">
        <v>0.37</v>
      </c>
    </row>
    <row r="492" spans="1:28">
      <c r="A492" t="s">
        <v>5875</v>
      </c>
      <c r="B492" t="s">
        <v>5876</v>
      </c>
      <c r="C492" t="s">
        <v>5877</v>
      </c>
      <c r="D492" t="s">
        <v>7847</v>
      </c>
      <c r="E492" t="s">
        <v>7839</v>
      </c>
      <c r="F492" t="s">
        <v>7840</v>
      </c>
      <c r="G492" t="s">
        <v>7861</v>
      </c>
      <c r="H492" t="s">
        <v>9</v>
      </c>
      <c r="I492">
        <v>90.581</v>
      </c>
      <c r="J492">
        <v>98.846</v>
      </c>
      <c r="K492">
        <v>0.5</v>
      </c>
      <c r="M492" t="s">
        <v>7969</v>
      </c>
      <c r="N492">
        <v>34.486</v>
      </c>
      <c r="V492" t="s">
        <v>7847</v>
      </c>
      <c r="W492" t="s">
        <v>7839</v>
      </c>
      <c r="X492" t="s">
        <v>7840</v>
      </c>
      <c r="Y492">
        <v>90.581</v>
      </c>
      <c r="Z492" t="s">
        <v>7861</v>
      </c>
      <c r="AA492">
        <v>98.846</v>
      </c>
      <c r="AB492">
        <v>0.5</v>
      </c>
    </row>
    <row r="493" spans="1:28">
      <c r="A493" t="s">
        <v>2841</v>
      </c>
      <c r="B493" t="s">
        <v>2842</v>
      </c>
      <c r="C493" t="s">
        <v>2842</v>
      </c>
      <c r="D493" t="s">
        <v>7864</v>
      </c>
      <c r="E493" t="s">
        <v>7839</v>
      </c>
      <c r="F493" t="s">
        <v>7840</v>
      </c>
      <c r="G493" t="s">
        <v>8080</v>
      </c>
      <c r="H493" t="s">
        <v>9</v>
      </c>
      <c r="I493">
        <v>6492.229</v>
      </c>
      <c r="J493">
        <v>11.116</v>
      </c>
      <c r="K493">
        <v>0.19</v>
      </c>
      <c r="M493" t="s">
        <v>8039</v>
      </c>
      <c r="N493">
        <v>27.618</v>
      </c>
      <c r="V493" t="s">
        <v>7864</v>
      </c>
      <c r="W493" t="s">
        <v>7839</v>
      </c>
      <c r="X493" t="s">
        <v>7840</v>
      </c>
      <c r="Y493">
        <v>6492.229</v>
      </c>
      <c r="Z493" t="s">
        <v>8080</v>
      </c>
      <c r="AA493">
        <v>11.116</v>
      </c>
      <c r="AB493">
        <v>0.19</v>
      </c>
    </row>
    <row r="494" spans="1:28">
      <c r="A494" t="s">
        <v>4168</v>
      </c>
      <c r="B494" t="s">
        <v>4169</v>
      </c>
      <c r="C494" t="s">
        <v>4170</v>
      </c>
      <c r="D494" t="s">
        <v>7847</v>
      </c>
      <c r="E494" t="s">
        <v>7839</v>
      </c>
      <c r="F494" t="s">
        <v>7840</v>
      </c>
      <c r="G494" t="s">
        <v>8080</v>
      </c>
      <c r="H494" t="s">
        <v>9</v>
      </c>
      <c r="I494">
        <v>97.431</v>
      </c>
      <c r="J494">
        <v>28.428</v>
      </c>
      <c r="K494">
        <v>0.19</v>
      </c>
      <c r="M494" t="s">
        <v>7905</v>
      </c>
      <c r="N494">
        <v>59.737</v>
      </c>
      <c r="V494" t="s">
        <v>7847</v>
      </c>
      <c r="W494" t="s">
        <v>7839</v>
      </c>
      <c r="X494" t="s">
        <v>7840</v>
      </c>
      <c r="Y494">
        <v>97.431</v>
      </c>
      <c r="Z494" t="s">
        <v>8080</v>
      </c>
      <c r="AA494">
        <v>28.428</v>
      </c>
      <c r="AB494">
        <v>0.19</v>
      </c>
    </row>
    <row r="495" spans="1:28">
      <c r="A495" t="s">
        <v>1837</v>
      </c>
      <c r="B495" t="s">
        <v>1838</v>
      </c>
      <c r="C495" t="s">
        <v>1839</v>
      </c>
      <c r="D495" t="s">
        <v>7850</v>
      </c>
      <c r="E495" t="s">
        <v>7839</v>
      </c>
      <c r="F495" t="s">
        <v>7840</v>
      </c>
      <c r="G495" t="s">
        <v>8009</v>
      </c>
      <c r="H495" t="s">
        <v>9</v>
      </c>
      <c r="I495">
        <v>186.583</v>
      </c>
      <c r="J495">
        <v>98.234</v>
      </c>
      <c r="K495">
        <v>0.65</v>
      </c>
      <c r="M495" t="s">
        <v>8118</v>
      </c>
      <c r="N495">
        <v>77.746</v>
      </c>
      <c r="V495" t="s">
        <v>7850</v>
      </c>
      <c r="W495" t="s">
        <v>7839</v>
      </c>
      <c r="X495" t="s">
        <v>7840</v>
      </c>
      <c r="Y495">
        <v>186.583</v>
      </c>
      <c r="Z495" t="s">
        <v>8009</v>
      </c>
      <c r="AA495">
        <v>98.234</v>
      </c>
      <c r="AB495">
        <v>0.65</v>
      </c>
    </row>
    <row r="496" spans="1:28">
      <c r="A496" t="s">
        <v>3146</v>
      </c>
      <c r="B496" t="s">
        <v>3147</v>
      </c>
      <c r="C496" t="s">
        <v>3148</v>
      </c>
      <c r="D496" t="s">
        <v>7850</v>
      </c>
      <c r="E496" t="s">
        <v>7839</v>
      </c>
      <c r="F496" t="s">
        <v>7840</v>
      </c>
      <c r="G496" t="s">
        <v>7854</v>
      </c>
      <c r="H496" t="s">
        <v>9</v>
      </c>
      <c r="I496">
        <v>497.758</v>
      </c>
      <c r="J496">
        <v>4.079</v>
      </c>
      <c r="K496">
        <v>0.25</v>
      </c>
      <c r="M496" t="s">
        <v>8054</v>
      </c>
      <c r="N496">
        <v>54.5</v>
      </c>
      <c r="V496" t="s">
        <v>7850</v>
      </c>
      <c r="W496" t="s">
        <v>7839</v>
      </c>
      <c r="X496" t="s">
        <v>7840</v>
      </c>
      <c r="Y496">
        <v>497.758</v>
      </c>
      <c r="Z496" t="s">
        <v>7854</v>
      </c>
      <c r="AA496">
        <v>4.079</v>
      </c>
      <c r="AB496">
        <v>0.25</v>
      </c>
    </row>
    <row r="497" spans="1:28">
      <c r="A497" t="s">
        <v>2564</v>
      </c>
      <c r="B497" t="s">
        <v>2565</v>
      </c>
      <c r="C497" t="s">
        <v>2566</v>
      </c>
      <c r="D497" t="s">
        <v>7847</v>
      </c>
      <c r="E497" t="s">
        <v>7839</v>
      </c>
      <c r="F497" t="s">
        <v>7935</v>
      </c>
      <c r="G497" t="s">
        <v>7978</v>
      </c>
      <c r="H497" t="s">
        <v>9</v>
      </c>
      <c r="I497">
        <v>150.744</v>
      </c>
      <c r="J497">
        <v>100</v>
      </c>
      <c r="K497">
        <v>0.2</v>
      </c>
      <c r="M497" t="s">
        <v>7861</v>
      </c>
      <c r="N497">
        <v>90.581</v>
      </c>
      <c r="V497" t="s">
        <v>7847</v>
      </c>
      <c r="W497" t="s">
        <v>7839</v>
      </c>
      <c r="X497" t="s">
        <v>7935</v>
      </c>
      <c r="Y497">
        <v>150.744</v>
      </c>
      <c r="Z497" t="s">
        <v>7978</v>
      </c>
      <c r="AA497">
        <v>100</v>
      </c>
      <c r="AB497">
        <v>0.2</v>
      </c>
    </row>
    <row r="498" spans="1:28">
      <c r="A498" t="s">
        <v>4365</v>
      </c>
      <c r="B498" t="s">
        <v>4366</v>
      </c>
      <c r="C498" t="s">
        <v>4367</v>
      </c>
      <c r="D498" t="s">
        <v>7847</v>
      </c>
      <c r="E498" t="s">
        <v>7839</v>
      </c>
      <c r="F498" t="s">
        <v>7840</v>
      </c>
      <c r="G498" t="s">
        <v>7852</v>
      </c>
      <c r="H498" t="s">
        <v>9</v>
      </c>
      <c r="I498">
        <v>9119.431</v>
      </c>
      <c r="J498">
        <v>6.965</v>
      </c>
      <c r="K498">
        <v>0.03</v>
      </c>
      <c r="M498" t="s">
        <v>8080</v>
      </c>
      <c r="N498">
        <v>6492.229</v>
      </c>
      <c r="V498" t="s">
        <v>7847</v>
      </c>
      <c r="W498" t="s">
        <v>7839</v>
      </c>
      <c r="X498" t="s">
        <v>7840</v>
      </c>
      <c r="Y498">
        <v>9119.431</v>
      </c>
      <c r="Z498" t="s">
        <v>7852</v>
      </c>
      <c r="AA498">
        <v>6.965</v>
      </c>
      <c r="AB498">
        <v>0.03</v>
      </c>
    </row>
    <row r="499" spans="1:28">
      <c r="A499" t="s">
        <v>3003</v>
      </c>
      <c r="B499" t="s">
        <v>3004</v>
      </c>
      <c r="C499" t="s">
        <v>3005</v>
      </c>
      <c r="D499" t="s">
        <v>7850</v>
      </c>
      <c r="E499" t="s">
        <v>7839</v>
      </c>
      <c r="F499" t="s">
        <v>7840</v>
      </c>
      <c r="G499" t="s">
        <v>7956</v>
      </c>
      <c r="H499" t="s">
        <v>9</v>
      </c>
      <c r="I499">
        <v>103.295</v>
      </c>
      <c r="J499">
        <v>16.105</v>
      </c>
      <c r="K499">
        <v>0.24</v>
      </c>
      <c r="M499" t="s">
        <v>8080</v>
      </c>
      <c r="N499">
        <v>97.431</v>
      </c>
      <c r="V499" t="s">
        <v>7850</v>
      </c>
      <c r="W499" t="s">
        <v>7839</v>
      </c>
      <c r="X499" t="s">
        <v>7840</v>
      </c>
      <c r="Y499">
        <v>103.295</v>
      </c>
      <c r="Z499" t="s">
        <v>7956</v>
      </c>
      <c r="AA499">
        <v>16.105</v>
      </c>
      <c r="AB499">
        <v>0.24</v>
      </c>
    </row>
    <row r="500" spans="1:28">
      <c r="A500" t="s">
        <v>1858</v>
      </c>
      <c r="B500" t="s">
        <v>1859</v>
      </c>
      <c r="C500" t="s">
        <v>1860</v>
      </c>
      <c r="D500" t="s">
        <v>7855</v>
      </c>
      <c r="E500" t="s">
        <v>7839</v>
      </c>
      <c r="F500" t="s">
        <v>7932</v>
      </c>
      <c r="G500" t="s">
        <v>7854</v>
      </c>
      <c r="H500" t="s">
        <v>9</v>
      </c>
      <c r="I500">
        <v>40.123</v>
      </c>
      <c r="J500">
        <v>100.001</v>
      </c>
      <c r="K500">
        <v>0.1</v>
      </c>
      <c r="M500" t="s">
        <v>8009</v>
      </c>
      <c r="N500">
        <v>186.583</v>
      </c>
      <c r="V500" t="s">
        <v>7855</v>
      </c>
      <c r="W500" t="s">
        <v>7839</v>
      </c>
      <c r="X500" t="s">
        <v>7932</v>
      </c>
      <c r="Y500">
        <v>40.123</v>
      </c>
      <c r="Z500" t="s">
        <v>7854</v>
      </c>
      <c r="AA500">
        <v>100.001</v>
      </c>
      <c r="AB500">
        <v>0.1</v>
      </c>
    </row>
    <row r="501" spans="1:28">
      <c r="A501" t="s">
        <v>3970</v>
      </c>
      <c r="B501" t="s">
        <v>3971</v>
      </c>
      <c r="C501" t="s">
        <v>3972</v>
      </c>
      <c r="D501" t="s">
        <v>7844</v>
      </c>
      <c r="E501" t="s">
        <v>7839</v>
      </c>
      <c r="F501" t="s">
        <v>7840</v>
      </c>
      <c r="G501" t="s">
        <v>8108</v>
      </c>
      <c r="H501" t="s">
        <v>9</v>
      </c>
      <c r="I501">
        <v>36.24</v>
      </c>
      <c r="J501">
        <v>23.705</v>
      </c>
      <c r="K501">
        <v>0.25</v>
      </c>
      <c r="M501" t="s">
        <v>7854</v>
      </c>
      <c r="N501">
        <v>497.758</v>
      </c>
      <c r="V501" t="s">
        <v>7844</v>
      </c>
      <c r="W501" t="s">
        <v>7839</v>
      </c>
      <c r="X501" t="s">
        <v>7840</v>
      </c>
      <c r="Y501">
        <v>36.24</v>
      </c>
      <c r="Z501" t="s">
        <v>8108</v>
      </c>
      <c r="AA501">
        <v>23.705</v>
      </c>
      <c r="AB501">
        <v>0.25</v>
      </c>
    </row>
    <row r="502" spans="1:28">
      <c r="A502" t="s">
        <v>4380</v>
      </c>
      <c r="B502" t="s">
        <v>4381</v>
      </c>
      <c r="C502" t="s">
        <v>4382</v>
      </c>
      <c r="D502" t="s">
        <v>7847</v>
      </c>
      <c r="E502" t="s">
        <v>7839</v>
      </c>
      <c r="F502" t="s">
        <v>7840</v>
      </c>
      <c r="G502" t="s">
        <v>7854</v>
      </c>
      <c r="H502" t="s">
        <v>9</v>
      </c>
      <c r="I502">
        <v>136720.812</v>
      </c>
      <c r="J502">
        <v>4.154</v>
      </c>
      <c r="K502">
        <v>0.03</v>
      </c>
      <c r="M502" t="s">
        <v>7978</v>
      </c>
      <c r="N502">
        <v>150.744</v>
      </c>
      <c r="V502" t="s">
        <v>7847</v>
      </c>
      <c r="W502" t="s">
        <v>7839</v>
      </c>
      <c r="X502" t="s">
        <v>7840</v>
      </c>
      <c r="Y502">
        <v>136720.812</v>
      </c>
      <c r="Z502" t="s">
        <v>7854</v>
      </c>
      <c r="AA502">
        <v>4.154</v>
      </c>
      <c r="AB502">
        <v>0.03</v>
      </c>
    </row>
    <row r="503" spans="1:28">
      <c r="A503" t="s">
        <v>2173</v>
      </c>
      <c r="B503" t="s">
        <v>2174</v>
      </c>
      <c r="C503" t="s">
        <v>2175</v>
      </c>
      <c r="D503" t="s">
        <v>7850</v>
      </c>
      <c r="E503" t="s">
        <v>7839</v>
      </c>
      <c r="F503" t="s">
        <v>7840</v>
      </c>
      <c r="G503" t="s">
        <v>8000</v>
      </c>
      <c r="H503" t="s">
        <v>9</v>
      </c>
      <c r="I503">
        <v>19.29</v>
      </c>
      <c r="J503">
        <v>10.266</v>
      </c>
      <c r="K503">
        <v>0.25</v>
      </c>
      <c r="M503" t="s">
        <v>7852</v>
      </c>
      <c r="N503">
        <v>9119.431</v>
      </c>
      <c r="V503" t="s">
        <v>7850</v>
      </c>
      <c r="W503" t="s">
        <v>7839</v>
      </c>
      <c r="X503" t="s">
        <v>7840</v>
      </c>
      <c r="Y503">
        <v>19.29</v>
      </c>
      <c r="Z503" t="s">
        <v>8000</v>
      </c>
      <c r="AA503">
        <v>10.266</v>
      </c>
      <c r="AB503">
        <v>0.25</v>
      </c>
    </row>
    <row r="504" spans="1:28">
      <c r="A504" t="s">
        <v>4530</v>
      </c>
      <c r="B504" t="s">
        <v>4531</v>
      </c>
      <c r="C504" t="s">
        <v>4532</v>
      </c>
      <c r="D504" t="s">
        <v>7862</v>
      </c>
      <c r="E504" t="s">
        <v>7839</v>
      </c>
      <c r="F504" t="s">
        <v>7840</v>
      </c>
      <c r="G504" t="s">
        <v>8118</v>
      </c>
      <c r="H504" t="s">
        <v>9</v>
      </c>
      <c r="I504">
        <v>38.035</v>
      </c>
      <c r="J504">
        <v>34.79</v>
      </c>
      <c r="K504">
        <v>0</v>
      </c>
      <c r="M504" t="s">
        <v>7956</v>
      </c>
      <c r="N504">
        <v>103.295</v>
      </c>
      <c r="V504" t="s">
        <v>7862</v>
      </c>
      <c r="W504" t="s">
        <v>7839</v>
      </c>
      <c r="X504" t="s">
        <v>7840</v>
      </c>
      <c r="Y504">
        <v>38.035</v>
      </c>
      <c r="Z504" t="s">
        <v>8118</v>
      </c>
      <c r="AA504">
        <v>34.79</v>
      </c>
      <c r="AB504">
        <v>0</v>
      </c>
    </row>
    <row r="505" spans="1:28">
      <c r="A505" t="s">
        <v>4430</v>
      </c>
      <c r="B505" t="s">
        <v>4431</v>
      </c>
      <c r="C505" t="s">
        <v>4432</v>
      </c>
      <c r="D505" t="s">
        <v>7847</v>
      </c>
      <c r="E505" t="s">
        <v>7839</v>
      </c>
      <c r="F505" t="s">
        <v>7840</v>
      </c>
      <c r="G505" t="s">
        <v>8002</v>
      </c>
      <c r="H505" t="s">
        <v>9</v>
      </c>
      <c r="I505">
        <v>719.749</v>
      </c>
      <c r="J505">
        <v>34.316</v>
      </c>
      <c r="K505">
        <v>0.08</v>
      </c>
      <c r="M505" t="s">
        <v>7854</v>
      </c>
      <c r="N505">
        <v>40.123</v>
      </c>
      <c r="V505" t="s">
        <v>7847</v>
      </c>
      <c r="W505" t="s">
        <v>7839</v>
      </c>
      <c r="X505" t="s">
        <v>7840</v>
      </c>
      <c r="Y505">
        <v>719.749</v>
      </c>
      <c r="Z505" t="s">
        <v>8002</v>
      </c>
      <c r="AA505">
        <v>34.316</v>
      </c>
      <c r="AB505">
        <v>0.08</v>
      </c>
    </row>
    <row r="506" spans="1:28">
      <c r="A506" t="s">
        <v>2588</v>
      </c>
      <c r="B506" t="s">
        <v>2589</v>
      </c>
      <c r="C506" t="s">
        <v>2589</v>
      </c>
      <c r="D506" t="s">
        <v>7864</v>
      </c>
      <c r="E506" t="s">
        <v>7839</v>
      </c>
      <c r="F506" t="s">
        <v>7840</v>
      </c>
      <c r="G506" t="s">
        <v>7987</v>
      </c>
      <c r="H506" t="s">
        <v>9</v>
      </c>
      <c r="I506">
        <v>320.006</v>
      </c>
      <c r="J506">
        <v>16.666</v>
      </c>
      <c r="K506">
        <v>0.2</v>
      </c>
      <c r="M506" t="s">
        <v>8108</v>
      </c>
      <c r="N506">
        <v>36.24</v>
      </c>
      <c r="V506" t="s">
        <v>7864</v>
      </c>
      <c r="W506" t="s">
        <v>7839</v>
      </c>
      <c r="X506" t="s">
        <v>7840</v>
      </c>
      <c r="Y506">
        <v>320.006</v>
      </c>
      <c r="Z506" t="s">
        <v>7987</v>
      </c>
      <c r="AA506">
        <v>16.666</v>
      </c>
      <c r="AB506">
        <v>0.2</v>
      </c>
    </row>
    <row r="507" spans="1:28">
      <c r="A507" t="s">
        <v>2158</v>
      </c>
      <c r="B507" t="s">
        <v>2159</v>
      </c>
      <c r="C507" t="s">
        <v>2160</v>
      </c>
      <c r="D507" t="s">
        <v>7850</v>
      </c>
      <c r="E507" t="s">
        <v>7839</v>
      </c>
      <c r="F507" t="s">
        <v>7840</v>
      </c>
      <c r="G507" t="s">
        <v>7990</v>
      </c>
      <c r="H507" t="s">
        <v>9</v>
      </c>
      <c r="I507">
        <v>27.729</v>
      </c>
      <c r="J507">
        <v>30.848</v>
      </c>
      <c r="K507">
        <v>0.37</v>
      </c>
      <c r="M507" t="s">
        <v>7854</v>
      </c>
      <c r="N507">
        <v>136720.812</v>
      </c>
      <c r="V507" t="s">
        <v>7850</v>
      </c>
      <c r="W507" t="s">
        <v>7839</v>
      </c>
      <c r="X507" t="s">
        <v>7840</v>
      </c>
      <c r="Y507">
        <v>27.729</v>
      </c>
      <c r="Z507" t="s">
        <v>7990</v>
      </c>
      <c r="AA507">
        <v>30.848</v>
      </c>
      <c r="AB507">
        <v>0.37</v>
      </c>
    </row>
    <row r="508" spans="1:28">
      <c r="A508" t="s">
        <v>2700</v>
      </c>
      <c r="B508" t="s">
        <v>2701</v>
      </c>
      <c r="C508" t="s">
        <v>2702</v>
      </c>
      <c r="D508" t="s">
        <v>7847</v>
      </c>
      <c r="E508" t="s">
        <v>7839</v>
      </c>
      <c r="F508" t="s">
        <v>7840</v>
      </c>
      <c r="G508" t="s">
        <v>7950</v>
      </c>
      <c r="H508" t="s">
        <v>9</v>
      </c>
      <c r="I508">
        <v>2.327</v>
      </c>
      <c r="J508">
        <v>94.091</v>
      </c>
      <c r="K508">
        <v>0.5</v>
      </c>
      <c r="M508" t="s">
        <v>8000</v>
      </c>
      <c r="N508">
        <v>19.29</v>
      </c>
      <c r="V508" t="s">
        <v>7847</v>
      </c>
      <c r="W508" t="s">
        <v>7839</v>
      </c>
      <c r="X508" t="s">
        <v>7840</v>
      </c>
      <c r="Y508">
        <v>2.327</v>
      </c>
      <c r="Z508" t="s">
        <v>7950</v>
      </c>
      <c r="AA508">
        <v>94.091</v>
      </c>
      <c r="AB508">
        <v>0.5</v>
      </c>
    </row>
    <row r="509" spans="1:28">
      <c r="A509" t="s">
        <v>2464</v>
      </c>
      <c r="B509" t="s">
        <v>2465</v>
      </c>
      <c r="C509" t="s">
        <v>2466</v>
      </c>
      <c r="D509" t="s">
        <v>7844</v>
      </c>
      <c r="E509" t="s">
        <v>7839</v>
      </c>
      <c r="F509" t="s">
        <v>7935</v>
      </c>
      <c r="G509" t="s">
        <v>8080</v>
      </c>
      <c r="H509" t="s">
        <v>9</v>
      </c>
      <c r="I509">
        <v>49.185</v>
      </c>
      <c r="J509">
        <v>30.547</v>
      </c>
      <c r="K509">
        <v>0.15</v>
      </c>
      <c r="M509" t="s">
        <v>8118</v>
      </c>
      <c r="N509">
        <v>38.035</v>
      </c>
      <c r="V509" t="s">
        <v>7844</v>
      </c>
      <c r="W509" t="s">
        <v>7839</v>
      </c>
      <c r="X509" t="s">
        <v>7935</v>
      </c>
      <c r="Y509">
        <v>49.185</v>
      </c>
      <c r="Z509" t="s">
        <v>8080</v>
      </c>
      <c r="AA509">
        <v>30.547</v>
      </c>
      <c r="AB509">
        <v>0.15</v>
      </c>
    </row>
    <row r="510" spans="1:28">
      <c r="A510" t="s">
        <v>3841</v>
      </c>
      <c r="B510" t="s">
        <v>3842</v>
      </c>
      <c r="C510" t="s">
        <v>3843</v>
      </c>
      <c r="D510" t="s">
        <v>7847</v>
      </c>
      <c r="E510" t="s">
        <v>7839</v>
      </c>
      <c r="F510" t="s">
        <v>7840</v>
      </c>
      <c r="G510" t="s">
        <v>8007</v>
      </c>
      <c r="H510" t="s">
        <v>9</v>
      </c>
      <c r="I510">
        <v>346.216</v>
      </c>
      <c r="J510">
        <v>25.004</v>
      </c>
      <c r="K510">
        <v>0.29</v>
      </c>
      <c r="M510" t="s">
        <v>8002</v>
      </c>
      <c r="N510">
        <v>719.749</v>
      </c>
      <c r="V510" t="s">
        <v>7847</v>
      </c>
      <c r="W510" t="s">
        <v>7839</v>
      </c>
      <c r="X510" t="s">
        <v>7840</v>
      </c>
      <c r="Y510">
        <v>346.216</v>
      </c>
      <c r="Z510" t="s">
        <v>8007</v>
      </c>
      <c r="AA510">
        <v>25.004</v>
      </c>
      <c r="AB510">
        <v>0.29</v>
      </c>
    </row>
    <row r="511" spans="1:28">
      <c r="A511" t="s">
        <v>3480</v>
      </c>
      <c r="B511" t="s">
        <v>3481</v>
      </c>
      <c r="C511" t="s">
        <v>3482</v>
      </c>
      <c r="D511" t="s">
        <v>7847</v>
      </c>
      <c r="E511" t="s">
        <v>7848</v>
      </c>
      <c r="F511" t="s">
        <v>7840</v>
      </c>
      <c r="G511" t="s">
        <v>7946</v>
      </c>
      <c r="H511" t="s">
        <v>9</v>
      </c>
      <c r="I511">
        <v>13.723</v>
      </c>
      <c r="J511">
        <v>9.718</v>
      </c>
      <c r="K511">
        <v>0.195</v>
      </c>
      <c r="M511" t="s">
        <v>7987</v>
      </c>
      <c r="N511">
        <v>320.006</v>
      </c>
      <c r="V511" t="s">
        <v>7847</v>
      </c>
      <c r="W511" t="s">
        <v>7848</v>
      </c>
      <c r="X511" t="s">
        <v>7840</v>
      </c>
      <c r="Y511">
        <v>13.723</v>
      </c>
      <c r="Z511" t="s">
        <v>7946</v>
      </c>
      <c r="AA511">
        <v>9.718</v>
      </c>
      <c r="AB511">
        <v>0.195</v>
      </c>
    </row>
    <row r="512" spans="1:28">
      <c r="A512" t="s">
        <v>3606</v>
      </c>
      <c r="B512" t="s">
        <v>3607</v>
      </c>
      <c r="C512" t="s">
        <v>3608</v>
      </c>
      <c r="D512" t="s">
        <v>7850</v>
      </c>
      <c r="E512" t="s">
        <v>7839</v>
      </c>
      <c r="F512" t="s">
        <v>7853</v>
      </c>
      <c r="G512" t="s">
        <v>7941</v>
      </c>
      <c r="H512" t="s">
        <v>9</v>
      </c>
      <c r="I512">
        <v>759.142</v>
      </c>
      <c r="J512">
        <v>24.381</v>
      </c>
      <c r="K512">
        <v>0.42</v>
      </c>
      <c r="M512" t="s">
        <v>7990</v>
      </c>
      <c r="N512">
        <v>27.729</v>
      </c>
      <c r="V512" t="s">
        <v>7850</v>
      </c>
      <c r="W512" t="s">
        <v>7839</v>
      </c>
      <c r="X512" t="s">
        <v>7853</v>
      </c>
      <c r="Y512">
        <v>759.142</v>
      </c>
      <c r="Z512" t="s">
        <v>7941</v>
      </c>
      <c r="AA512">
        <v>24.381</v>
      </c>
      <c r="AB512">
        <v>0.42</v>
      </c>
    </row>
    <row r="513" spans="1:28">
      <c r="A513" t="s">
        <v>2816</v>
      </c>
      <c r="B513" t="s">
        <v>2817</v>
      </c>
      <c r="C513" t="s">
        <v>2818</v>
      </c>
      <c r="D513" t="s">
        <v>7847</v>
      </c>
      <c r="E513" t="s">
        <v>7839</v>
      </c>
      <c r="F513" t="s">
        <v>7840</v>
      </c>
      <c r="G513" t="s">
        <v>7865</v>
      </c>
      <c r="H513" t="s">
        <v>9</v>
      </c>
      <c r="I513">
        <v>869.419</v>
      </c>
      <c r="J513">
        <v>12.862</v>
      </c>
      <c r="K513">
        <v>0.4</v>
      </c>
      <c r="M513" t="s">
        <v>7950</v>
      </c>
      <c r="N513">
        <v>2.327</v>
      </c>
      <c r="V513" t="s">
        <v>7847</v>
      </c>
      <c r="W513" t="s">
        <v>7839</v>
      </c>
      <c r="X513" t="s">
        <v>7840</v>
      </c>
      <c r="Y513">
        <v>869.419</v>
      </c>
      <c r="Z513" t="s">
        <v>7865</v>
      </c>
      <c r="AA513">
        <v>12.862</v>
      </c>
      <c r="AB513">
        <v>0.4</v>
      </c>
    </row>
    <row r="514" spans="1:28">
      <c r="A514" t="s">
        <v>3769</v>
      </c>
      <c r="B514" t="s">
        <v>3770</v>
      </c>
      <c r="C514" t="s">
        <v>3771</v>
      </c>
      <c r="D514" t="s">
        <v>7844</v>
      </c>
      <c r="E514" t="s">
        <v>7839</v>
      </c>
      <c r="F514" t="s">
        <v>7888</v>
      </c>
      <c r="G514" t="s">
        <v>7988</v>
      </c>
      <c r="H514" t="s">
        <v>9</v>
      </c>
      <c r="I514">
        <v>240.511</v>
      </c>
      <c r="J514">
        <v>19.531</v>
      </c>
      <c r="K514">
        <v>0.35</v>
      </c>
      <c r="M514" t="s">
        <v>8080</v>
      </c>
      <c r="N514">
        <v>49.185</v>
      </c>
      <c r="V514" t="s">
        <v>7844</v>
      </c>
      <c r="W514" t="s">
        <v>7839</v>
      </c>
      <c r="X514" t="s">
        <v>7888</v>
      </c>
      <c r="Y514">
        <v>240.511</v>
      </c>
      <c r="Z514" t="s">
        <v>7988</v>
      </c>
      <c r="AA514">
        <v>19.531</v>
      </c>
      <c r="AB514">
        <v>0.35</v>
      </c>
    </row>
    <row r="515" spans="1:28">
      <c r="A515" t="s">
        <v>4371</v>
      </c>
      <c r="B515" t="s">
        <v>4372</v>
      </c>
      <c r="C515" t="s">
        <v>4373</v>
      </c>
      <c r="D515" t="s">
        <v>7847</v>
      </c>
      <c r="E515" t="s">
        <v>7839</v>
      </c>
      <c r="F515" t="s">
        <v>7840</v>
      </c>
      <c r="G515" t="s">
        <v>8092</v>
      </c>
      <c r="H515" t="s">
        <v>9</v>
      </c>
      <c r="I515">
        <v>49.969</v>
      </c>
      <c r="J515">
        <v>37.202</v>
      </c>
      <c r="K515">
        <v>0.3</v>
      </c>
      <c r="M515" t="s">
        <v>8007</v>
      </c>
      <c r="N515">
        <v>346.216</v>
      </c>
      <c r="V515" t="s">
        <v>7847</v>
      </c>
      <c r="W515" t="s">
        <v>7839</v>
      </c>
      <c r="X515" t="s">
        <v>7840</v>
      </c>
      <c r="Y515">
        <v>49.969</v>
      </c>
      <c r="Z515" t="s">
        <v>8092</v>
      </c>
      <c r="AA515">
        <v>37.202</v>
      </c>
      <c r="AB515">
        <v>0.3</v>
      </c>
    </row>
    <row r="516" spans="1:28">
      <c r="A516" t="s">
        <v>5495</v>
      </c>
      <c r="B516" t="s">
        <v>5496</v>
      </c>
      <c r="C516" t="s">
        <v>5497</v>
      </c>
      <c r="D516" t="s">
        <v>7850</v>
      </c>
      <c r="E516" t="s">
        <v>7839</v>
      </c>
      <c r="F516" t="s">
        <v>7840</v>
      </c>
      <c r="G516" t="s">
        <v>7883</v>
      </c>
      <c r="H516" t="s">
        <v>9</v>
      </c>
      <c r="I516">
        <v>16.481</v>
      </c>
      <c r="J516">
        <v>42.209</v>
      </c>
      <c r="K516">
        <v>0.51</v>
      </c>
      <c r="M516" t="s">
        <v>7946</v>
      </c>
      <c r="N516">
        <v>13.723</v>
      </c>
      <c r="V516" t="s">
        <v>7850</v>
      </c>
      <c r="W516" t="s">
        <v>7839</v>
      </c>
      <c r="X516" t="s">
        <v>7840</v>
      </c>
      <c r="Y516">
        <v>16.481</v>
      </c>
      <c r="Z516" t="s">
        <v>7883</v>
      </c>
      <c r="AA516">
        <v>42.209</v>
      </c>
      <c r="AB516">
        <v>0.51</v>
      </c>
    </row>
    <row r="517" spans="1:28">
      <c r="A517" t="s">
        <v>3173</v>
      </c>
      <c r="B517" t="s">
        <v>3174</v>
      </c>
      <c r="C517" t="s">
        <v>3175</v>
      </c>
      <c r="D517" t="s">
        <v>7864</v>
      </c>
      <c r="E517" t="s">
        <v>7839</v>
      </c>
      <c r="F517" t="s">
        <v>7840</v>
      </c>
      <c r="G517" t="s">
        <v>7913</v>
      </c>
      <c r="H517" t="s">
        <v>9</v>
      </c>
      <c r="I517">
        <v>17.5</v>
      </c>
      <c r="J517">
        <v>53.086</v>
      </c>
      <c r="K517">
        <v>0.29</v>
      </c>
      <c r="M517" t="s">
        <v>7941</v>
      </c>
      <c r="N517">
        <v>759.142</v>
      </c>
      <c r="V517" t="s">
        <v>7864</v>
      </c>
      <c r="W517" t="s">
        <v>7839</v>
      </c>
      <c r="X517" t="s">
        <v>7840</v>
      </c>
      <c r="Y517">
        <v>17.5</v>
      </c>
      <c r="Z517" t="s">
        <v>7913</v>
      </c>
      <c r="AA517">
        <v>53.086</v>
      </c>
      <c r="AB517">
        <v>0.29</v>
      </c>
    </row>
    <row r="518" spans="1:28">
      <c r="A518" t="s">
        <v>3191</v>
      </c>
      <c r="B518" t="s">
        <v>3192</v>
      </c>
      <c r="C518" t="s">
        <v>3193</v>
      </c>
      <c r="D518" t="s">
        <v>7850</v>
      </c>
      <c r="E518" t="s">
        <v>7839</v>
      </c>
      <c r="F518" t="s">
        <v>7840</v>
      </c>
      <c r="G518" t="s">
        <v>8053</v>
      </c>
      <c r="H518" t="s">
        <v>9</v>
      </c>
      <c r="I518">
        <v>1532.65</v>
      </c>
      <c r="J518">
        <v>1.575</v>
      </c>
      <c r="K518">
        <v>0.01</v>
      </c>
      <c r="M518" t="s">
        <v>7865</v>
      </c>
      <c r="N518">
        <v>869.419</v>
      </c>
      <c r="V518" t="s">
        <v>7850</v>
      </c>
      <c r="W518" t="s">
        <v>7839</v>
      </c>
      <c r="X518" t="s">
        <v>7840</v>
      </c>
      <c r="Y518">
        <v>1532.65</v>
      </c>
      <c r="Z518" t="s">
        <v>8053</v>
      </c>
      <c r="AA518">
        <v>1.575</v>
      </c>
      <c r="AB518">
        <v>0.01</v>
      </c>
    </row>
    <row r="519" spans="1:28">
      <c r="A519" t="s">
        <v>3032</v>
      </c>
      <c r="B519" t="s">
        <v>3033</v>
      </c>
      <c r="C519" t="s">
        <v>3034</v>
      </c>
      <c r="D519" t="s">
        <v>7850</v>
      </c>
      <c r="E519" t="s">
        <v>7839</v>
      </c>
      <c r="F519" t="s">
        <v>7840</v>
      </c>
      <c r="G519" t="s">
        <v>7852</v>
      </c>
      <c r="H519" t="s">
        <v>9</v>
      </c>
      <c r="I519">
        <v>23.967</v>
      </c>
      <c r="J519">
        <v>7.606</v>
      </c>
      <c r="K519">
        <v>0.09</v>
      </c>
      <c r="M519" t="s">
        <v>7988</v>
      </c>
      <c r="N519">
        <v>240.511</v>
      </c>
      <c r="V519" t="s">
        <v>7850</v>
      </c>
      <c r="W519" t="s">
        <v>7839</v>
      </c>
      <c r="X519" t="s">
        <v>7840</v>
      </c>
      <c r="Y519">
        <v>23.967</v>
      </c>
      <c r="Z519" t="s">
        <v>7852</v>
      </c>
      <c r="AA519">
        <v>7.606</v>
      </c>
      <c r="AB519">
        <v>0.09</v>
      </c>
    </row>
    <row r="520" spans="1:28">
      <c r="A520" t="s">
        <v>3000</v>
      </c>
      <c r="B520" t="s">
        <v>3001</v>
      </c>
      <c r="C520" t="s">
        <v>3002</v>
      </c>
      <c r="D520" t="s">
        <v>7847</v>
      </c>
      <c r="E520" t="s">
        <v>7839</v>
      </c>
      <c r="F520" t="s">
        <v>7935</v>
      </c>
      <c r="G520" t="s">
        <v>7970</v>
      </c>
      <c r="H520" t="s">
        <v>9</v>
      </c>
      <c r="I520">
        <v>341.941</v>
      </c>
      <c r="J520">
        <v>17.376</v>
      </c>
      <c r="K520">
        <v>0.25</v>
      </c>
      <c r="M520" t="s">
        <v>8092</v>
      </c>
      <c r="N520">
        <v>49.969</v>
      </c>
      <c r="V520" t="s">
        <v>7847</v>
      </c>
      <c r="W520" t="s">
        <v>7839</v>
      </c>
      <c r="X520" t="s">
        <v>7935</v>
      </c>
      <c r="Y520">
        <v>341.941</v>
      </c>
      <c r="Z520" t="s">
        <v>7970</v>
      </c>
      <c r="AA520">
        <v>17.376</v>
      </c>
      <c r="AB520">
        <v>0.25</v>
      </c>
    </row>
    <row r="521" spans="1:28">
      <c r="A521" t="s">
        <v>1328</v>
      </c>
      <c r="B521" t="s">
        <v>1329</v>
      </c>
      <c r="C521" t="s">
        <v>1330</v>
      </c>
      <c r="D521" t="s">
        <v>7847</v>
      </c>
      <c r="E521" t="s">
        <v>7839</v>
      </c>
      <c r="F521" t="s">
        <v>7853</v>
      </c>
      <c r="G521" t="s">
        <v>7913</v>
      </c>
      <c r="H521" t="s">
        <v>9</v>
      </c>
      <c r="I521">
        <v>356.898</v>
      </c>
      <c r="J521">
        <v>10.87</v>
      </c>
      <c r="K521">
        <v>0.45</v>
      </c>
      <c r="M521" t="s">
        <v>7883</v>
      </c>
      <c r="N521">
        <v>16.481</v>
      </c>
      <c r="V521" t="s">
        <v>7847</v>
      </c>
      <c r="W521" t="s">
        <v>7839</v>
      </c>
      <c r="X521" t="s">
        <v>7853</v>
      </c>
      <c r="Y521">
        <v>356.898</v>
      </c>
      <c r="Z521" t="s">
        <v>7913</v>
      </c>
      <c r="AA521">
        <v>10.87</v>
      </c>
      <c r="AB521">
        <v>0.45</v>
      </c>
    </row>
    <row r="522" spans="1:28">
      <c r="A522" t="s">
        <v>2870</v>
      </c>
      <c r="B522" t="s">
        <v>2871</v>
      </c>
      <c r="C522" t="s">
        <v>2872</v>
      </c>
      <c r="D522" t="s">
        <v>7850</v>
      </c>
      <c r="E522" t="s">
        <v>7839</v>
      </c>
      <c r="F522" t="s">
        <v>7840</v>
      </c>
      <c r="G522" t="s">
        <v>8002</v>
      </c>
      <c r="H522" t="s">
        <v>9</v>
      </c>
      <c r="I522">
        <v>765.547</v>
      </c>
      <c r="J522">
        <v>3.168</v>
      </c>
      <c r="K522">
        <v>0.08</v>
      </c>
      <c r="M522" t="s">
        <v>7913</v>
      </c>
      <c r="N522">
        <v>17.5</v>
      </c>
      <c r="V522" t="s">
        <v>7850</v>
      </c>
      <c r="W522" t="s">
        <v>7839</v>
      </c>
      <c r="X522" t="s">
        <v>7840</v>
      </c>
      <c r="Y522">
        <v>765.547</v>
      </c>
      <c r="Z522" t="s">
        <v>8002</v>
      </c>
      <c r="AA522">
        <v>3.168</v>
      </c>
      <c r="AB522">
        <v>0.08</v>
      </c>
    </row>
    <row r="523" spans="1:28">
      <c r="A523" t="s">
        <v>3133</v>
      </c>
      <c r="B523" t="s">
        <v>2971</v>
      </c>
      <c r="C523" t="s">
        <v>3134</v>
      </c>
      <c r="D523" t="s">
        <v>7847</v>
      </c>
      <c r="E523" t="s">
        <v>7839</v>
      </c>
      <c r="F523" t="s">
        <v>7840</v>
      </c>
      <c r="G523" t="s">
        <v>7890</v>
      </c>
      <c r="H523" t="s">
        <v>9</v>
      </c>
      <c r="I523">
        <v>190.111</v>
      </c>
      <c r="J523">
        <v>31.667</v>
      </c>
      <c r="K523">
        <v>0.35</v>
      </c>
      <c r="M523" t="s">
        <v>8053</v>
      </c>
      <c r="N523">
        <v>1532.65</v>
      </c>
      <c r="V523" t="s">
        <v>7847</v>
      </c>
      <c r="W523" t="s">
        <v>7839</v>
      </c>
      <c r="X523" t="s">
        <v>7840</v>
      </c>
      <c r="Y523">
        <v>190.111</v>
      </c>
      <c r="Z523" t="s">
        <v>7890</v>
      </c>
      <c r="AA523">
        <v>31.667</v>
      </c>
      <c r="AB523">
        <v>0.35</v>
      </c>
    </row>
    <row r="524" spans="1:28">
      <c r="A524" t="s">
        <v>4088</v>
      </c>
      <c r="B524" t="s">
        <v>4089</v>
      </c>
      <c r="C524" t="s">
        <v>4090</v>
      </c>
      <c r="D524" t="s">
        <v>7847</v>
      </c>
      <c r="E524" t="s">
        <v>7839</v>
      </c>
      <c r="F524" t="s">
        <v>7840</v>
      </c>
      <c r="G524" t="s">
        <v>7854</v>
      </c>
      <c r="H524" t="s">
        <v>9</v>
      </c>
      <c r="I524">
        <v>34793.316</v>
      </c>
      <c r="J524">
        <v>3.804</v>
      </c>
      <c r="K524">
        <v>0.06</v>
      </c>
      <c r="M524" t="s">
        <v>7852</v>
      </c>
      <c r="N524">
        <v>23.967</v>
      </c>
      <c r="V524" t="s">
        <v>7847</v>
      </c>
      <c r="W524" t="s">
        <v>7839</v>
      </c>
      <c r="X524" t="s">
        <v>7840</v>
      </c>
      <c r="Y524">
        <v>34793.316</v>
      </c>
      <c r="Z524" t="s">
        <v>7854</v>
      </c>
      <c r="AA524">
        <v>3.804</v>
      </c>
      <c r="AB524">
        <v>0.06</v>
      </c>
    </row>
    <row r="525" spans="1:28">
      <c r="A525" t="s">
        <v>4518</v>
      </c>
      <c r="B525" t="s">
        <v>4519</v>
      </c>
      <c r="C525" t="s">
        <v>4520</v>
      </c>
      <c r="D525" t="s">
        <v>7850</v>
      </c>
      <c r="E525" t="s">
        <v>7839</v>
      </c>
      <c r="F525" t="s">
        <v>7935</v>
      </c>
      <c r="G525" t="s">
        <v>7965</v>
      </c>
      <c r="H525" t="s">
        <v>9</v>
      </c>
      <c r="I525">
        <v>51.352</v>
      </c>
      <c r="J525">
        <v>12.478</v>
      </c>
      <c r="K525">
        <v>0.6</v>
      </c>
      <c r="M525" t="s">
        <v>7970</v>
      </c>
      <c r="N525">
        <v>341.941</v>
      </c>
      <c r="V525" t="s">
        <v>7850</v>
      </c>
      <c r="W525" t="s">
        <v>7839</v>
      </c>
      <c r="X525" t="s">
        <v>7935</v>
      </c>
      <c r="Y525">
        <v>51.352</v>
      </c>
      <c r="Z525" t="s">
        <v>7965</v>
      </c>
      <c r="AA525">
        <v>12.478</v>
      </c>
      <c r="AB525">
        <v>0.6</v>
      </c>
    </row>
    <row r="526" spans="1:28">
      <c r="A526" t="s">
        <v>3529</v>
      </c>
      <c r="B526" t="s">
        <v>3530</v>
      </c>
      <c r="C526" t="s">
        <v>3531</v>
      </c>
      <c r="D526" t="s">
        <v>7847</v>
      </c>
      <c r="E526" t="s">
        <v>7839</v>
      </c>
      <c r="F526" t="s">
        <v>7840</v>
      </c>
      <c r="G526" t="s">
        <v>7985</v>
      </c>
      <c r="H526" t="s">
        <v>9</v>
      </c>
      <c r="I526">
        <v>16.52</v>
      </c>
      <c r="J526">
        <v>49.343</v>
      </c>
      <c r="K526">
        <v>0.35</v>
      </c>
      <c r="M526" t="s">
        <v>7913</v>
      </c>
      <c r="N526">
        <v>356.898</v>
      </c>
      <c r="V526" t="s">
        <v>7847</v>
      </c>
      <c r="W526" t="s">
        <v>7839</v>
      </c>
      <c r="X526" t="s">
        <v>7840</v>
      </c>
      <c r="Y526">
        <v>16.52</v>
      </c>
      <c r="Z526" t="s">
        <v>7985</v>
      </c>
      <c r="AA526">
        <v>49.343</v>
      </c>
      <c r="AB526">
        <v>0.35</v>
      </c>
    </row>
    <row r="527" spans="1:28">
      <c r="A527" t="s">
        <v>3691</v>
      </c>
      <c r="B527" t="s">
        <v>3692</v>
      </c>
      <c r="C527" t="s">
        <v>3693</v>
      </c>
      <c r="D527" t="s">
        <v>7847</v>
      </c>
      <c r="E527" t="s">
        <v>7839</v>
      </c>
      <c r="F527" t="s">
        <v>7840</v>
      </c>
      <c r="G527" t="s">
        <v>7890</v>
      </c>
      <c r="H527" t="s">
        <v>9</v>
      </c>
      <c r="I527">
        <v>58.496</v>
      </c>
      <c r="J527">
        <v>9.067</v>
      </c>
      <c r="K527">
        <v>0.45</v>
      </c>
      <c r="M527" t="s">
        <v>8002</v>
      </c>
      <c r="N527">
        <v>765.547</v>
      </c>
      <c r="V527" t="s">
        <v>7847</v>
      </c>
      <c r="W527" t="s">
        <v>7839</v>
      </c>
      <c r="X527" t="s">
        <v>7840</v>
      </c>
      <c r="Y527">
        <v>58.496</v>
      </c>
      <c r="Z527" t="s">
        <v>7890</v>
      </c>
      <c r="AA527">
        <v>9.067</v>
      </c>
      <c r="AB527">
        <v>0.45</v>
      </c>
    </row>
    <row r="528" spans="1:28">
      <c r="A528" t="s">
        <v>3958</v>
      </c>
      <c r="B528" t="s">
        <v>3959</v>
      </c>
      <c r="C528" t="s">
        <v>3960</v>
      </c>
      <c r="D528" t="s">
        <v>7847</v>
      </c>
      <c r="E528" t="s">
        <v>7839</v>
      </c>
      <c r="F528" t="s">
        <v>7840</v>
      </c>
      <c r="G528" t="s">
        <v>7939</v>
      </c>
      <c r="H528" t="s">
        <v>9</v>
      </c>
      <c r="I528">
        <v>8939.025</v>
      </c>
      <c r="J528">
        <v>40.353</v>
      </c>
      <c r="K528">
        <v>0.16</v>
      </c>
      <c r="M528" t="s">
        <v>7890</v>
      </c>
      <c r="N528">
        <v>190.111</v>
      </c>
      <c r="V528" t="s">
        <v>7847</v>
      </c>
      <c r="W528" t="s">
        <v>7839</v>
      </c>
      <c r="X528" t="s">
        <v>7840</v>
      </c>
      <c r="Y528">
        <v>8939.025</v>
      </c>
      <c r="Z528" t="s">
        <v>7939</v>
      </c>
      <c r="AA528">
        <v>40.353</v>
      </c>
      <c r="AB528">
        <v>0.16</v>
      </c>
    </row>
    <row r="529" spans="1:28">
      <c r="A529" t="s">
        <v>6393</v>
      </c>
      <c r="B529" t="s">
        <v>6394</v>
      </c>
      <c r="C529" t="s">
        <v>6395</v>
      </c>
      <c r="D529" t="s">
        <v>7847</v>
      </c>
      <c r="E529" t="s">
        <v>7839</v>
      </c>
      <c r="F529" t="s">
        <v>7840</v>
      </c>
      <c r="G529" t="s">
        <v>8103</v>
      </c>
      <c r="H529" t="s">
        <v>9</v>
      </c>
      <c r="I529">
        <v>30.307</v>
      </c>
      <c r="J529">
        <v>100</v>
      </c>
      <c r="K529">
        <v>0.68</v>
      </c>
      <c r="M529" t="s">
        <v>7854</v>
      </c>
      <c r="N529">
        <v>34793.316</v>
      </c>
      <c r="V529" t="s">
        <v>7847</v>
      </c>
      <c r="W529" t="s">
        <v>7839</v>
      </c>
      <c r="X529" t="s">
        <v>7840</v>
      </c>
      <c r="Y529">
        <v>30.307</v>
      </c>
      <c r="Z529" t="s">
        <v>8103</v>
      </c>
      <c r="AA529">
        <v>100</v>
      </c>
      <c r="AB529">
        <v>0.68</v>
      </c>
    </row>
    <row r="530" spans="1:28">
      <c r="A530" t="s">
        <v>2970</v>
      </c>
      <c r="B530" t="s">
        <v>2971</v>
      </c>
      <c r="C530" t="s">
        <v>2972</v>
      </c>
      <c r="D530" t="s">
        <v>7864</v>
      </c>
      <c r="E530" t="s">
        <v>7839</v>
      </c>
      <c r="F530" t="s">
        <v>7840</v>
      </c>
      <c r="G530" t="s">
        <v>7890</v>
      </c>
      <c r="H530" t="s">
        <v>9</v>
      </c>
      <c r="I530">
        <v>22.734</v>
      </c>
      <c r="J530">
        <v>41.923</v>
      </c>
      <c r="K530">
        <v>0.27</v>
      </c>
      <c r="M530" t="s">
        <v>7965</v>
      </c>
      <c r="N530">
        <v>51.352</v>
      </c>
      <c r="V530" t="s">
        <v>7864</v>
      </c>
      <c r="W530" t="s">
        <v>7839</v>
      </c>
      <c r="X530" t="s">
        <v>7840</v>
      </c>
      <c r="Y530">
        <v>22.734</v>
      </c>
      <c r="Z530" t="s">
        <v>7890</v>
      </c>
      <c r="AA530">
        <v>41.923</v>
      </c>
      <c r="AB530">
        <v>0.27</v>
      </c>
    </row>
    <row r="531" spans="1:28">
      <c r="A531" t="s">
        <v>4469</v>
      </c>
      <c r="B531" t="s">
        <v>4470</v>
      </c>
      <c r="C531" t="s">
        <v>4471</v>
      </c>
      <c r="D531" t="s">
        <v>7847</v>
      </c>
      <c r="E531" t="s">
        <v>7839</v>
      </c>
      <c r="F531" t="s">
        <v>7840</v>
      </c>
      <c r="G531" t="s">
        <v>7990</v>
      </c>
      <c r="H531" t="s">
        <v>9</v>
      </c>
      <c r="I531">
        <v>1555.833</v>
      </c>
      <c r="J531">
        <v>27.008</v>
      </c>
      <c r="K531">
        <v>0.08</v>
      </c>
      <c r="M531" t="s">
        <v>7985</v>
      </c>
      <c r="N531">
        <v>16.52</v>
      </c>
      <c r="V531" t="s">
        <v>7847</v>
      </c>
      <c r="W531" t="s">
        <v>7839</v>
      </c>
      <c r="X531" t="s">
        <v>7840</v>
      </c>
      <c r="Y531">
        <v>1555.833</v>
      </c>
      <c r="Z531" t="s">
        <v>7990</v>
      </c>
      <c r="AA531">
        <v>27.008</v>
      </c>
      <c r="AB531">
        <v>0.08</v>
      </c>
    </row>
    <row r="532" spans="1:28">
      <c r="A532" t="s">
        <v>3838</v>
      </c>
      <c r="B532" t="s">
        <v>3839</v>
      </c>
      <c r="C532" t="s">
        <v>3840</v>
      </c>
      <c r="D532" t="s">
        <v>7847</v>
      </c>
      <c r="E532" t="s">
        <v>7839</v>
      </c>
      <c r="F532" t="s">
        <v>7840</v>
      </c>
      <c r="G532" t="s">
        <v>7890</v>
      </c>
      <c r="H532" t="s">
        <v>9</v>
      </c>
      <c r="I532">
        <v>1570.533</v>
      </c>
      <c r="J532">
        <v>14.902</v>
      </c>
      <c r="K532">
        <v>0.15</v>
      </c>
      <c r="M532" t="s">
        <v>7890</v>
      </c>
      <c r="N532">
        <v>58.496</v>
      </c>
      <c r="V532" t="s">
        <v>7847</v>
      </c>
      <c r="W532" t="s">
        <v>7839</v>
      </c>
      <c r="X532" t="s">
        <v>7840</v>
      </c>
      <c r="Y532">
        <v>1570.533</v>
      </c>
      <c r="Z532" t="s">
        <v>7890</v>
      </c>
      <c r="AA532">
        <v>14.902</v>
      </c>
      <c r="AB532">
        <v>0.15</v>
      </c>
    </row>
    <row r="533" spans="1:28">
      <c r="A533" t="s">
        <v>2652</v>
      </c>
      <c r="B533" t="s">
        <v>2653</v>
      </c>
      <c r="C533" t="s">
        <v>2654</v>
      </c>
      <c r="D533" t="s">
        <v>7844</v>
      </c>
      <c r="E533" t="s">
        <v>7839</v>
      </c>
      <c r="F533" t="s">
        <v>7935</v>
      </c>
      <c r="G533" t="s">
        <v>7854</v>
      </c>
      <c r="H533" t="s">
        <v>9</v>
      </c>
      <c r="I533">
        <v>10453.549</v>
      </c>
      <c r="J533">
        <v>2.918</v>
      </c>
      <c r="K533">
        <v>0.07</v>
      </c>
      <c r="M533" t="s">
        <v>7939</v>
      </c>
      <c r="N533">
        <v>8939.025</v>
      </c>
      <c r="V533" t="s">
        <v>7844</v>
      </c>
      <c r="W533" t="s">
        <v>7839</v>
      </c>
      <c r="X533" t="s">
        <v>7935</v>
      </c>
      <c r="Y533">
        <v>10453.549</v>
      </c>
      <c r="Z533" t="s">
        <v>7854</v>
      </c>
      <c r="AA533">
        <v>2.918</v>
      </c>
      <c r="AB533">
        <v>0.07</v>
      </c>
    </row>
    <row r="534" spans="1:28">
      <c r="A534" t="s">
        <v>3438</v>
      </c>
      <c r="B534" t="s">
        <v>3439</v>
      </c>
      <c r="C534" t="s">
        <v>3440</v>
      </c>
      <c r="D534" t="s">
        <v>7847</v>
      </c>
      <c r="E534" t="s">
        <v>7839</v>
      </c>
      <c r="F534" t="s">
        <v>7840</v>
      </c>
      <c r="G534" t="s">
        <v>8007</v>
      </c>
      <c r="H534" t="s">
        <v>9</v>
      </c>
      <c r="I534">
        <v>2048.708</v>
      </c>
      <c r="J534">
        <v>22.665</v>
      </c>
      <c r="K534">
        <v>0.29</v>
      </c>
      <c r="M534" t="s">
        <v>8103</v>
      </c>
      <c r="N534">
        <v>30.307</v>
      </c>
      <c r="V534" t="s">
        <v>7847</v>
      </c>
      <c r="W534" t="s">
        <v>7839</v>
      </c>
      <c r="X534" t="s">
        <v>7840</v>
      </c>
      <c r="Y534">
        <v>2048.708</v>
      </c>
      <c r="Z534" t="s">
        <v>8007</v>
      </c>
      <c r="AA534">
        <v>22.665</v>
      </c>
      <c r="AB534">
        <v>0.29</v>
      </c>
    </row>
    <row r="535" spans="1:28">
      <c r="A535" t="s">
        <v>3018</v>
      </c>
      <c r="B535" t="s">
        <v>3019</v>
      </c>
      <c r="C535" t="s">
        <v>3020</v>
      </c>
      <c r="D535" t="s">
        <v>7850</v>
      </c>
      <c r="E535" t="s">
        <v>7839</v>
      </c>
      <c r="F535" t="s">
        <v>7840</v>
      </c>
      <c r="G535" t="s">
        <v>7852</v>
      </c>
      <c r="H535" t="s">
        <v>9</v>
      </c>
      <c r="I535">
        <v>1808.742</v>
      </c>
      <c r="J535">
        <v>2.858</v>
      </c>
      <c r="K535">
        <v>0.03</v>
      </c>
      <c r="M535" t="s">
        <v>7890</v>
      </c>
      <c r="N535">
        <v>22.734</v>
      </c>
      <c r="V535" t="s">
        <v>7850</v>
      </c>
      <c r="W535" t="s">
        <v>7839</v>
      </c>
      <c r="X535" t="s">
        <v>7840</v>
      </c>
      <c r="Y535">
        <v>1808.742</v>
      </c>
      <c r="Z535" t="s">
        <v>7852</v>
      </c>
      <c r="AA535">
        <v>2.858</v>
      </c>
      <c r="AB535">
        <v>0.03</v>
      </c>
    </row>
    <row r="536" spans="1:28">
      <c r="A536" t="s">
        <v>4527</v>
      </c>
      <c r="B536" t="s">
        <v>4528</v>
      </c>
      <c r="C536" t="s">
        <v>4529</v>
      </c>
      <c r="D536" t="s">
        <v>7847</v>
      </c>
      <c r="E536" t="s">
        <v>7839</v>
      </c>
      <c r="F536" t="s">
        <v>7840</v>
      </c>
      <c r="G536" t="s">
        <v>8116</v>
      </c>
      <c r="H536" t="s">
        <v>9</v>
      </c>
      <c r="I536">
        <v>147412.656</v>
      </c>
      <c r="J536">
        <v>5.695</v>
      </c>
      <c r="K536">
        <v>0.02</v>
      </c>
      <c r="M536" t="s">
        <v>7990</v>
      </c>
      <c r="N536">
        <v>1555.833</v>
      </c>
      <c r="V536" t="s">
        <v>7847</v>
      </c>
      <c r="W536" t="s">
        <v>7839</v>
      </c>
      <c r="X536" t="s">
        <v>7840</v>
      </c>
      <c r="Y536">
        <v>147412.656</v>
      </c>
      <c r="Z536" t="s">
        <v>8116</v>
      </c>
      <c r="AA536">
        <v>5.695</v>
      </c>
      <c r="AB536">
        <v>0.02</v>
      </c>
    </row>
    <row r="537" spans="1:28">
      <c r="A537" t="s">
        <v>3609</v>
      </c>
      <c r="B537" t="s">
        <v>3610</v>
      </c>
      <c r="C537" t="s">
        <v>3611</v>
      </c>
      <c r="D537" t="s">
        <v>7855</v>
      </c>
      <c r="E537" t="s">
        <v>7839</v>
      </c>
      <c r="F537" t="s">
        <v>7935</v>
      </c>
      <c r="G537" t="s">
        <v>8024</v>
      </c>
      <c r="H537" t="s">
        <v>9</v>
      </c>
      <c r="I537">
        <v>1.501</v>
      </c>
      <c r="J537">
        <v>99.894</v>
      </c>
      <c r="K537">
        <v>0.09</v>
      </c>
      <c r="M537" t="s">
        <v>7890</v>
      </c>
      <c r="N537">
        <v>1570.533</v>
      </c>
      <c r="V537" t="s">
        <v>7855</v>
      </c>
      <c r="W537" t="s">
        <v>7839</v>
      </c>
      <c r="X537" t="s">
        <v>7935</v>
      </c>
      <c r="Y537">
        <v>1.501</v>
      </c>
      <c r="Z537" t="s">
        <v>8024</v>
      </c>
      <c r="AA537">
        <v>99.894</v>
      </c>
      <c r="AB537">
        <v>0.09</v>
      </c>
    </row>
    <row r="538" spans="1:28">
      <c r="A538" t="s">
        <v>4406</v>
      </c>
      <c r="B538" t="s">
        <v>4407</v>
      </c>
      <c r="C538" t="s">
        <v>4408</v>
      </c>
      <c r="D538" t="s">
        <v>7847</v>
      </c>
      <c r="E538" t="s">
        <v>7839</v>
      </c>
      <c r="F538" t="s">
        <v>7840</v>
      </c>
      <c r="G538" t="s">
        <v>8092</v>
      </c>
      <c r="H538" t="s">
        <v>9</v>
      </c>
      <c r="I538">
        <v>13.826</v>
      </c>
      <c r="J538">
        <v>100.003</v>
      </c>
      <c r="K538">
        <v>0.39</v>
      </c>
      <c r="M538" t="s">
        <v>7854</v>
      </c>
      <c r="N538">
        <v>10453.549</v>
      </c>
      <c r="V538" t="s">
        <v>7847</v>
      </c>
      <c r="W538" t="s">
        <v>7839</v>
      </c>
      <c r="X538" t="s">
        <v>7840</v>
      </c>
      <c r="Y538">
        <v>13.826</v>
      </c>
      <c r="Z538" t="s">
        <v>8092</v>
      </c>
      <c r="AA538">
        <v>100.003</v>
      </c>
      <c r="AB538">
        <v>0.39</v>
      </c>
    </row>
    <row r="539" spans="1:28">
      <c r="A539" t="s">
        <v>4313</v>
      </c>
      <c r="B539" t="s">
        <v>4314</v>
      </c>
      <c r="C539" t="s">
        <v>4315</v>
      </c>
      <c r="D539" t="s">
        <v>7847</v>
      </c>
      <c r="E539" t="s">
        <v>7839</v>
      </c>
      <c r="F539" t="s">
        <v>7840</v>
      </c>
      <c r="G539" t="s">
        <v>7946</v>
      </c>
      <c r="H539" t="s">
        <v>9</v>
      </c>
      <c r="I539">
        <v>70.946</v>
      </c>
      <c r="J539">
        <v>87.384</v>
      </c>
      <c r="K539">
        <v>0.48</v>
      </c>
      <c r="M539" t="s">
        <v>8007</v>
      </c>
      <c r="N539">
        <v>2048.708</v>
      </c>
      <c r="V539" t="s">
        <v>7847</v>
      </c>
      <c r="W539" t="s">
        <v>7839</v>
      </c>
      <c r="X539" t="s">
        <v>7840</v>
      </c>
      <c r="Y539">
        <v>70.946</v>
      </c>
      <c r="Z539" t="s">
        <v>7946</v>
      </c>
      <c r="AA539">
        <v>87.384</v>
      </c>
      <c r="AB539">
        <v>0.48</v>
      </c>
    </row>
    <row r="540" spans="1:28">
      <c r="A540" t="s">
        <v>5695</v>
      </c>
      <c r="B540" t="s">
        <v>5696</v>
      </c>
      <c r="C540" t="s">
        <v>5697</v>
      </c>
      <c r="D540" t="s">
        <v>7847</v>
      </c>
      <c r="E540" t="s">
        <v>7839</v>
      </c>
      <c r="F540" t="s">
        <v>7840</v>
      </c>
      <c r="G540" t="s">
        <v>8072</v>
      </c>
      <c r="H540" t="s">
        <v>9</v>
      </c>
      <c r="I540">
        <v>492.448</v>
      </c>
      <c r="J540">
        <v>22.798</v>
      </c>
      <c r="K540">
        <v>0.39</v>
      </c>
      <c r="M540" t="s">
        <v>7852</v>
      </c>
      <c r="N540">
        <v>1808.742</v>
      </c>
      <c r="V540" t="s">
        <v>7847</v>
      </c>
      <c r="W540" t="s">
        <v>7839</v>
      </c>
      <c r="X540" t="s">
        <v>7840</v>
      </c>
      <c r="Y540">
        <v>492.448</v>
      </c>
      <c r="Z540" t="s">
        <v>8072</v>
      </c>
      <c r="AA540">
        <v>22.798</v>
      </c>
      <c r="AB540">
        <v>0.39</v>
      </c>
    </row>
    <row r="541" spans="1:28">
      <c r="A541" t="s">
        <v>3582</v>
      </c>
      <c r="B541" t="s">
        <v>3583</v>
      </c>
      <c r="C541" t="s">
        <v>3584</v>
      </c>
      <c r="D541" t="s">
        <v>7847</v>
      </c>
      <c r="E541" t="s">
        <v>7839</v>
      </c>
      <c r="F541" t="s">
        <v>7840</v>
      </c>
      <c r="G541" t="s">
        <v>7970</v>
      </c>
      <c r="H541" t="s">
        <v>9</v>
      </c>
      <c r="I541">
        <v>23809.518</v>
      </c>
      <c r="J541">
        <v>17.51</v>
      </c>
      <c r="K541">
        <v>0.36</v>
      </c>
      <c r="M541" t="s">
        <v>8116</v>
      </c>
      <c r="N541">
        <v>147412.656</v>
      </c>
      <c r="V541" t="s">
        <v>7847</v>
      </c>
      <c r="W541" t="s">
        <v>7839</v>
      </c>
      <c r="X541" t="s">
        <v>7840</v>
      </c>
      <c r="Y541">
        <v>23809.518</v>
      </c>
      <c r="Z541" t="s">
        <v>7970</v>
      </c>
      <c r="AA541">
        <v>17.51</v>
      </c>
      <c r="AB541">
        <v>0.36</v>
      </c>
    </row>
    <row r="542" spans="1:28">
      <c r="A542" t="s">
        <v>2923</v>
      </c>
      <c r="B542" t="s">
        <v>2924</v>
      </c>
      <c r="C542" t="s">
        <v>2925</v>
      </c>
      <c r="D542" t="s">
        <v>7847</v>
      </c>
      <c r="E542" t="s">
        <v>7839</v>
      </c>
      <c r="F542" t="s">
        <v>7935</v>
      </c>
      <c r="G542" t="s">
        <v>7914</v>
      </c>
      <c r="H542" t="s">
        <v>9</v>
      </c>
      <c r="I542">
        <v>244.177</v>
      </c>
      <c r="J542">
        <v>13.262</v>
      </c>
      <c r="K542">
        <v>0.35</v>
      </c>
      <c r="M542" t="s">
        <v>8024</v>
      </c>
      <c r="N542">
        <v>1.501</v>
      </c>
      <c r="V542" t="s">
        <v>7847</v>
      </c>
      <c r="W542" t="s">
        <v>7839</v>
      </c>
      <c r="X542" t="s">
        <v>7935</v>
      </c>
      <c r="Y542">
        <v>244.177</v>
      </c>
      <c r="Z542" t="s">
        <v>7914</v>
      </c>
      <c r="AA542">
        <v>13.262</v>
      </c>
      <c r="AB542">
        <v>0.35</v>
      </c>
    </row>
    <row r="543" spans="1:28">
      <c r="A543" t="s">
        <v>3095</v>
      </c>
      <c r="B543" t="s">
        <v>3096</v>
      </c>
      <c r="C543" t="s">
        <v>3097</v>
      </c>
      <c r="D543" t="s">
        <v>7850</v>
      </c>
      <c r="E543" t="s">
        <v>7839</v>
      </c>
      <c r="F543" t="s">
        <v>7840</v>
      </c>
      <c r="G543" t="s">
        <v>7885</v>
      </c>
      <c r="H543" t="s">
        <v>9</v>
      </c>
      <c r="I543">
        <v>1362.331</v>
      </c>
      <c r="J543">
        <v>12.441</v>
      </c>
      <c r="K543">
        <v>0.2</v>
      </c>
      <c r="M543" t="s">
        <v>8092</v>
      </c>
      <c r="N543">
        <v>13.826</v>
      </c>
      <c r="V543" t="s">
        <v>7850</v>
      </c>
      <c r="W543" t="s">
        <v>7839</v>
      </c>
      <c r="X543" t="s">
        <v>7840</v>
      </c>
      <c r="Y543">
        <v>1362.331</v>
      </c>
      <c r="Z543" t="s">
        <v>7885</v>
      </c>
      <c r="AA543">
        <v>12.441</v>
      </c>
      <c r="AB543">
        <v>0.2</v>
      </c>
    </row>
    <row r="544" spans="1:28">
      <c r="A544" t="s">
        <v>5700</v>
      </c>
      <c r="B544" t="s">
        <v>5701</v>
      </c>
      <c r="C544" t="s">
        <v>5702</v>
      </c>
      <c r="D544" t="s">
        <v>7847</v>
      </c>
      <c r="E544" t="s">
        <v>7839</v>
      </c>
      <c r="F544" t="s">
        <v>7840</v>
      </c>
      <c r="G544" t="s">
        <v>8033</v>
      </c>
      <c r="H544" t="s">
        <v>9</v>
      </c>
      <c r="I544">
        <v>1117.608</v>
      </c>
      <c r="J544">
        <v>22.12</v>
      </c>
      <c r="K544">
        <v>0.16</v>
      </c>
      <c r="M544" t="s">
        <v>7946</v>
      </c>
      <c r="N544">
        <v>70.946</v>
      </c>
      <c r="V544" t="s">
        <v>7847</v>
      </c>
      <c r="W544" t="s">
        <v>7839</v>
      </c>
      <c r="X544" t="s">
        <v>7840</v>
      </c>
      <c r="Y544">
        <v>1117.608</v>
      </c>
      <c r="Z544" t="s">
        <v>8033</v>
      </c>
      <c r="AA544">
        <v>22.12</v>
      </c>
      <c r="AB544">
        <v>0.16</v>
      </c>
    </row>
    <row r="545" spans="1:28">
      <c r="A545" t="s">
        <v>2206</v>
      </c>
      <c r="B545" t="s">
        <v>2207</v>
      </c>
      <c r="C545" t="s">
        <v>2208</v>
      </c>
      <c r="D545" t="s">
        <v>7855</v>
      </c>
      <c r="E545" t="s">
        <v>7839</v>
      </c>
      <c r="F545" t="s">
        <v>7935</v>
      </c>
      <c r="G545" t="s">
        <v>7943</v>
      </c>
      <c r="H545" t="s">
        <v>9</v>
      </c>
      <c r="I545">
        <v>68.242</v>
      </c>
      <c r="J545">
        <v>47.355</v>
      </c>
      <c r="K545">
        <v>0.07</v>
      </c>
      <c r="M545" t="s">
        <v>8072</v>
      </c>
      <c r="N545">
        <v>492.448</v>
      </c>
      <c r="V545" t="s">
        <v>7855</v>
      </c>
      <c r="W545" t="s">
        <v>7839</v>
      </c>
      <c r="X545" t="s">
        <v>7935</v>
      </c>
      <c r="Y545">
        <v>68.242</v>
      </c>
      <c r="Z545" t="s">
        <v>7943</v>
      </c>
      <c r="AA545">
        <v>47.355</v>
      </c>
      <c r="AB545">
        <v>0.07</v>
      </c>
    </row>
    <row r="546" spans="1:28">
      <c r="A546" t="s">
        <v>4337</v>
      </c>
      <c r="B546" t="s">
        <v>4338</v>
      </c>
      <c r="C546" t="s">
        <v>4339</v>
      </c>
      <c r="D546" t="s">
        <v>7847</v>
      </c>
      <c r="E546" t="s">
        <v>7839</v>
      </c>
      <c r="F546" t="s">
        <v>7840</v>
      </c>
      <c r="G546" t="s">
        <v>7883</v>
      </c>
      <c r="H546" t="s">
        <v>9</v>
      </c>
      <c r="I546">
        <v>2378.667</v>
      </c>
      <c r="J546">
        <v>32.165</v>
      </c>
      <c r="K546">
        <v>0.59</v>
      </c>
      <c r="M546" t="s">
        <v>7970</v>
      </c>
      <c r="N546">
        <v>23809.518</v>
      </c>
      <c r="V546" t="s">
        <v>7847</v>
      </c>
      <c r="W546" t="s">
        <v>7839</v>
      </c>
      <c r="X546" t="s">
        <v>7840</v>
      </c>
      <c r="Y546">
        <v>2378.667</v>
      </c>
      <c r="Z546" t="s">
        <v>7883</v>
      </c>
      <c r="AA546">
        <v>32.165</v>
      </c>
      <c r="AB546">
        <v>0.59</v>
      </c>
    </row>
    <row r="547" spans="1:28">
      <c r="A547" t="s">
        <v>3751</v>
      </c>
      <c r="B547" t="s">
        <v>3752</v>
      </c>
      <c r="C547" t="s">
        <v>3753</v>
      </c>
      <c r="D547" t="s">
        <v>7855</v>
      </c>
      <c r="E547" t="s">
        <v>7839</v>
      </c>
      <c r="F547" t="s">
        <v>7932</v>
      </c>
      <c r="G547" t="s">
        <v>8092</v>
      </c>
      <c r="H547" t="s">
        <v>9</v>
      </c>
      <c r="I547">
        <v>43.773</v>
      </c>
      <c r="J547">
        <v>99.792</v>
      </c>
      <c r="K547">
        <v>0.17</v>
      </c>
      <c r="M547" t="s">
        <v>7914</v>
      </c>
      <c r="N547">
        <v>244.177</v>
      </c>
      <c r="V547" t="s">
        <v>7855</v>
      </c>
      <c r="W547" t="s">
        <v>7839</v>
      </c>
      <c r="X547" t="s">
        <v>7932</v>
      </c>
      <c r="Y547">
        <v>43.773</v>
      </c>
      <c r="Z547" t="s">
        <v>8092</v>
      </c>
      <c r="AA547">
        <v>99.792</v>
      </c>
      <c r="AB547">
        <v>0.17</v>
      </c>
    </row>
    <row r="548" spans="1:28">
      <c r="A548" t="s">
        <v>4536</v>
      </c>
      <c r="B548" t="s">
        <v>4537</v>
      </c>
      <c r="C548" t="s">
        <v>4538</v>
      </c>
      <c r="D548" t="s">
        <v>7847</v>
      </c>
      <c r="E548" t="s">
        <v>7839</v>
      </c>
      <c r="F548" t="s">
        <v>7840</v>
      </c>
      <c r="G548" t="s">
        <v>8107</v>
      </c>
      <c r="H548" t="s">
        <v>9</v>
      </c>
      <c r="I548">
        <v>111.133</v>
      </c>
      <c r="J548">
        <v>23.28</v>
      </c>
      <c r="K548">
        <v>0.25</v>
      </c>
      <c r="M548" t="s">
        <v>7885</v>
      </c>
      <c r="N548">
        <v>1362.331</v>
      </c>
      <c r="V548" t="s">
        <v>7847</v>
      </c>
      <c r="W548" t="s">
        <v>7839</v>
      </c>
      <c r="X548" t="s">
        <v>7840</v>
      </c>
      <c r="Y548">
        <v>111.133</v>
      </c>
      <c r="Z548" t="s">
        <v>8107</v>
      </c>
      <c r="AA548">
        <v>23.28</v>
      </c>
      <c r="AB548">
        <v>0.25</v>
      </c>
    </row>
    <row r="549" spans="1:28">
      <c r="A549" t="s">
        <v>4225</v>
      </c>
      <c r="B549" t="s">
        <v>4226</v>
      </c>
      <c r="C549" t="s">
        <v>4227</v>
      </c>
      <c r="D549" t="s">
        <v>7847</v>
      </c>
      <c r="E549" t="s">
        <v>7839</v>
      </c>
      <c r="F549" t="s">
        <v>7840</v>
      </c>
      <c r="G549" t="s">
        <v>8080</v>
      </c>
      <c r="H549" t="s">
        <v>9</v>
      </c>
      <c r="I549">
        <v>682.076</v>
      </c>
      <c r="J549">
        <v>27.622</v>
      </c>
      <c r="K549">
        <v>0.49</v>
      </c>
      <c r="M549" t="s">
        <v>8033</v>
      </c>
      <c r="N549">
        <v>1117.608</v>
      </c>
      <c r="V549" t="s">
        <v>7847</v>
      </c>
      <c r="W549" t="s">
        <v>7839</v>
      </c>
      <c r="X549" t="s">
        <v>7840</v>
      </c>
      <c r="Y549">
        <v>682.076</v>
      </c>
      <c r="Z549" t="s">
        <v>8080</v>
      </c>
      <c r="AA549">
        <v>27.622</v>
      </c>
      <c r="AB549">
        <v>0.49</v>
      </c>
    </row>
    <row r="550" spans="1:28">
      <c r="A550" t="s">
        <v>7652</v>
      </c>
      <c r="B550" t="s">
        <v>7653</v>
      </c>
      <c r="C550" t="s">
        <v>7654</v>
      </c>
      <c r="D550" t="s">
        <v>7846</v>
      </c>
      <c r="E550" t="s">
        <v>7839</v>
      </c>
      <c r="F550" t="s">
        <v>7840</v>
      </c>
      <c r="G550" t="s">
        <v>7875</v>
      </c>
      <c r="H550" t="s">
        <v>9</v>
      </c>
      <c r="I550">
        <v>15.829</v>
      </c>
      <c r="J550">
        <v>33.299</v>
      </c>
      <c r="K550">
        <v>0.4</v>
      </c>
      <c r="M550" t="s">
        <v>7943</v>
      </c>
      <c r="N550">
        <v>68.242</v>
      </c>
      <c r="V550" t="s">
        <v>7846</v>
      </c>
      <c r="W550" t="s">
        <v>7839</v>
      </c>
      <c r="X550" t="s">
        <v>7840</v>
      </c>
      <c r="Y550">
        <v>15.829</v>
      </c>
      <c r="Z550" t="s">
        <v>7875</v>
      </c>
      <c r="AA550">
        <v>33.299</v>
      </c>
      <c r="AB550">
        <v>0.4</v>
      </c>
    </row>
    <row r="551" spans="1:28">
      <c r="A551" t="s">
        <v>2914</v>
      </c>
      <c r="B551" t="s">
        <v>2915</v>
      </c>
      <c r="C551" t="s">
        <v>2916</v>
      </c>
      <c r="D551" t="s">
        <v>7847</v>
      </c>
      <c r="E551" t="s">
        <v>7839</v>
      </c>
      <c r="F551" t="s">
        <v>7932</v>
      </c>
      <c r="G551" t="s">
        <v>8105</v>
      </c>
      <c r="H551" t="s">
        <v>9</v>
      </c>
      <c r="I551">
        <v>197.861</v>
      </c>
      <c r="J551">
        <v>14.282</v>
      </c>
      <c r="K551">
        <v>0.2</v>
      </c>
      <c r="M551" t="s">
        <v>7883</v>
      </c>
      <c r="N551">
        <v>2378.667</v>
      </c>
      <c r="V551" t="s">
        <v>7847</v>
      </c>
      <c r="W551" t="s">
        <v>7839</v>
      </c>
      <c r="X551" t="s">
        <v>7932</v>
      </c>
      <c r="Y551">
        <v>197.861</v>
      </c>
      <c r="Z551" t="s">
        <v>8105</v>
      </c>
      <c r="AA551">
        <v>14.282</v>
      </c>
      <c r="AB551">
        <v>0.2</v>
      </c>
    </row>
    <row r="552" spans="1:28">
      <c r="A552" t="s">
        <v>3835</v>
      </c>
      <c r="B552" t="s">
        <v>3836</v>
      </c>
      <c r="C552" t="s">
        <v>3837</v>
      </c>
      <c r="D552" t="s">
        <v>7844</v>
      </c>
      <c r="E552" t="s">
        <v>7839</v>
      </c>
      <c r="F552" t="s">
        <v>7935</v>
      </c>
      <c r="G552" t="s">
        <v>7905</v>
      </c>
      <c r="H552" t="s">
        <v>9</v>
      </c>
      <c r="I552">
        <v>242.442</v>
      </c>
      <c r="J552">
        <v>21.827</v>
      </c>
      <c r="K552">
        <v>0.25</v>
      </c>
      <c r="M552" t="s">
        <v>8092</v>
      </c>
      <c r="N552">
        <v>43.773</v>
      </c>
      <c r="V552" t="s">
        <v>7844</v>
      </c>
      <c r="W552" t="s">
        <v>7839</v>
      </c>
      <c r="X552" t="s">
        <v>7935</v>
      </c>
      <c r="Y552">
        <v>242.442</v>
      </c>
      <c r="Z552" t="s">
        <v>7905</v>
      </c>
      <c r="AA552">
        <v>21.827</v>
      </c>
      <c r="AB552">
        <v>0.25</v>
      </c>
    </row>
    <row r="553" spans="1:28">
      <c r="A553" t="s">
        <v>3263</v>
      </c>
      <c r="B553" t="s">
        <v>3264</v>
      </c>
      <c r="C553" t="s">
        <v>3265</v>
      </c>
      <c r="D553" t="s">
        <v>7846</v>
      </c>
      <c r="E553" t="s">
        <v>7839</v>
      </c>
      <c r="F553" t="s">
        <v>7840</v>
      </c>
      <c r="G553" t="s">
        <v>7913</v>
      </c>
      <c r="H553" t="s">
        <v>9</v>
      </c>
      <c r="I553">
        <v>82.599</v>
      </c>
      <c r="J553">
        <v>24.861</v>
      </c>
      <c r="K553">
        <v>0.49</v>
      </c>
      <c r="M553" t="s">
        <v>8107</v>
      </c>
      <c r="N553">
        <v>111.133</v>
      </c>
      <c r="V553" t="s">
        <v>7846</v>
      </c>
      <c r="W553" t="s">
        <v>7839</v>
      </c>
      <c r="X553" t="s">
        <v>7840</v>
      </c>
      <c r="Y553">
        <v>82.599</v>
      </c>
      <c r="Z553" t="s">
        <v>7913</v>
      </c>
      <c r="AA553">
        <v>24.861</v>
      </c>
      <c r="AB553">
        <v>0.49</v>
      </c>
    </row>
    <row r="554" spans="1:28">
      <c r="A554" t="s">
        <v>1873</v>
      </c>
      <c r="B554" t="s">
        <v>1874</v>
      </c>
      <c r="C554" t="s">
        <v>1875</v>
      </c>
      <c r="D554" t="s">
        <v>7862</v>
      </c>
      <c r="E554" t="s">
        <v>7840</v>
      </c>
      <c r="F554" t="s">
        <v>7853</v>
      </c>
      <c r="G554" t="s">
        <v>7925</v>
      </c>
      <c r="H554" t="s">
        <v>9</v>
      </c>
      <c r="I554">
        <v>13.225</v>
      </c>
      <c r="K554">
        <v>0.75</v>
      </c>
      <c r="M554" t="s">
        <v>8080</v>
      </c>
      <c r="N554">
        <v>682.076</v>
      </c>
      <c r="V554" t="s">
        <v>7862</v>
      </c>
      <c r="W554" t="s">
        <v>7840</v>
      </c>
      <c r="X554" t="s">
        <v>7853</v>
      </c>
      <c r="Y554">
        <v>13.225</v>
      </c>
      <c r="Z554" t="s">
        <v>7925</v>
      </c>
      <c r="AB554">
        <v>0.75</v>
      </c>
    </row>
    <row r="555" spans="1:28">
      <c r="A555" t="s">
        <v>5686</v>
      </c>
      <c r="B555" t="s">
        <v>5687</v>
      </c>
      <c r="C555" t="s">
        <v>5688</v>
      </c>
      <c r="D555" t="s">
        <v>7844</v>
      </c>
      <c r="E555" t="s">
        <v>7839</v>
      </c>
      <c r="F555" t="s">
        <v>7840</v>
      </c>
      <c r="G555" t="s">
        <v>7943</v>
      </c>
      <c r="H555" t="s">
        <v>9</v>
      </c>
      <c r="I555">
        <v>1034.732</v>
      </c>
      <c r="J555">
        <v>10.65</v>
      </c>
      <c r="K555">
        <v>0.28</v>
      </c>
      <c r="M555" t="s">
        <v>7875</v>
      </c>
      <c r="N555">
        <v>15.829</v>
      </c>
      <c r="V555" t="s">
        <v>7844</v>
      </c>
      <c r="W555" t="s">
        <v>7839</v>
      </c>
      <c r="X555" t="s">
        <v>7840</v>
      </c>
      <c r="Y555">
        <v>1034.732</v>
      </c>
      <c r="Z555" t="s">
        <v>7943</v>
      </c>
      <c r="AA555">
        <v>10.65</v>
      </c>
      <c r="AB555">
        <v>0.28</v>
      </c>
    </row>
    <row r="556" spans="1:28">
      <c r="A556" t="s">
        <v>4117</v>
      </c>
      <c r="B556" t="s">
        <v>4118</v>
      </c>
      <c r="C556" t="s">
        <v>4119</v>
      </c>
      <c r="D556" t="s">
        <v>7850</v>
      </c>
      <c r="E556" t="s">
        <v>7839</v>
      </c>
      <c r="F556" t="s">
        <v>7840</v>
      </c>
      <c r="G556" t="s">
        <v>7907</v>
      </c>
      <c r="H556" t="s">
        <v>9</v>
      </c>
      <c r="I556">
        <v>70.876</v>
      </c>
      <c r="J556">
        <v>7.094</v>
      </c>
      <c r="K556">
        <v>0.2</v>
      </c>
      <c r="M556" t="s">
        <v>8105</v>
      </c>
      <c r="N556">
        <v>197.861</v>
      </c>
      <c r="V556" t="s">
        <v>7850</v>
      </c>
      <c r="W556" t="s">
        <v>7839</v>
      </c>
      <c r="X556" t="s">
        <v>7840</v>
      </c>
      <c r="Y556">
        <v>70.876</v>
      </c>
      <c r="Z556" t="s">
        <v>7907</v>
      </c>
      <c r="AA556">
        <v>7.094</v>
      </c>
      <c r="AB556">
        <v>0.2</v>
      </c>
    </row>
    <row r="557" spans="1:28">
      <c r="A557" t="s">
        <v>4439</v>
      </c>
      <c r="B557" t="s">
        <v>4440</v>
      </c>
      <c r="C557" t="s">
        <v>4441</v>
      </c>
      <c r="D557" t="s">
        <v>7847</v>
      </c>
      <c r="E557" t="s">
        <v>7839</v>
      </c>
      <c r="F557" t="s">
        <v>7840</v>
      </c>
      <c r="G557" t="s">
        <v>7865</v>
      </c>
      <c r="H557" t="s">
        <v>9</v>
      </c>
      <c r="I557">
        <v>195.54</v>
      </c>
      <c r="J557">
        <v>37.087</v>
      </c>
      <c r="K557">
        <v>0.3</v>
      </c>
      <c r="M557" t="s">
        <v>7905</v>
      </c>
      <c r="N557">
        <v>242.442</v>
      </c>
      <c r="V557" t="s">
        <v>7847</v>
      </c>
      <c r="W557" t="s">
        <v>7839</v>
      </c>
      <c r="X557" t="s">
        <v>7840</v>
      </c>
      <c r="Y557">
        <v>195.54</v>
      </c>
      <c r="Z557" t="s">
        <v>7865</v>
      </c>
      <c r="AA557">
        <v>37.087</v>
      </c>
      <c r="AB557">
        <v>0.3</v>
      </c>
    </row>
    <row r="558" spans="1:28">
      <c r="A558" t="s">
        <v>3395</v>
      </c>
      <c r="B558" t="s">
        <v>3396</v>
      </c>
      <c r="C558" t="s">
        <v>3397</v>
      </c>
      <c r="D558" t="s">
        <v>7847</v>
      </c>
      <c r="E558" t="s">
        <v>7839</v>
      </c>
      <c r="F558" t="s">
        <v>7853</v>
      </c>
      <c r="H558" t="s">
        <v>9</v>
      </c>
      <c r="I558">
        <v>26.411</v>
      </c>
      <c r="J558">
        <v>18.936</v>
      </c>
      <c r="K558">
        <v>0.39</v>
      </c>
      <c r="M558" t="s">
        <v>7913</v>
      </c>
      <c r="N558">
        <v>82.599</v>
      </c>
      <c r="V558" t="s">
        <v>7847</v>
      </c>
      <c r="W558" t="s">
        <v>7839</v>
      </c>
      <c r="X558" t="s">
        <v>7853</v>
      </c>
      <c r="Y558">
        <v>26.411</v>
      </c>
      <c r="AA558">
        <v>18.936</v>
      </c>
      <c r="AB558">
        <v>0.39</v>
      </c>
    </row>
    <row r="559" spans="1:28">
      <c r="A559" t="s">
        <v>2736</v>
      </c>
      <c r="B559" t="s">
        <v>2737</v>
      </c>
      <c r="C559" t="s">
        <v>2738</v>
      </c>
      <c r="D559" t="s">
        <v>7847</v>
      </c>
      <c r="E559" t="s">
        <v>7839</v>
      </c>
      <c r="F559" t="s">
        <v>7932</v>
      </c>
      <c r="G559" t="s">
        <v>8100</v>
      </c>
      <c r="H559" t="s">
        <v>9</v>
      </c>
      <c r="I559">
        <v>374.915</v>
      </c>
      <c r="J559">
        <v>20.38</v>
      </c>
      <c r="K559">
        <v>0.4</v>
      </c>
      <c r="M559" t="s">
        <v>7925</v>
      </c>
      <c r="N559">
        <v>13.225</v>
      </c>
      <c r="V559" t="s">
        <v>7847</v>
      </c>
      <c r="W559" t="s">
        <v>7839</v>
      </c>
      <c r="X559" t="s">
        <v>7932</v>
      </c>
      <c r="Y559">
        <v>374.915</v>
      </c>
      <c r="Z559" t="s">
        <v>8100</v>
      </c>
      <c r="AA559">
        <v>20.38</v>
      </c>
      <c r="AB559">
        <v>0.4</v>
      </c>
    </row>
    <row r="560" spans="1:28">
      <c r="A560" t="s">
        <v>3893</v>
      </c>
      <c r="B560" t="s">
        <v>3894</v>
      </c>
      <c r="C560" t="s">
        <v>3895</v>
      </c>
      <c r="D560" t="s">
        <v>7847</v>
      </c>
      <c r="E560" t="s">
        <v>7839</v>
      </c>
      <c r="F560" t="s">
        <v>7840</v>
      </c>
      <c r="G560" t="s">
        <v>7877</v>
      </c>
      <c r="H560" t="s">
        <v>9</v>
      </c>
      <c r="I560">
        <v>38.524</v>
      </c>
      <c r="J560">
        <v>6.475</v>
      </c>
      <c r="K560">
        <v>0.46</v>
      </c>
      <c r="M560" t="s">
        <v>7943</v>
      </c>
      <c r="N560">
        <v>1034.732</v>
      </c>
      <c r="V560" t="s">
        <v>7847</v>
      </c>
      <c r="W560" t="s">
        <v>7839</v>
      </c>
      <c r="X560" t="s">
        <v>7840</v>
      </c>
      <c r="Y560">
        <v>38.524</v>
      </c>
      <c r="Z560" t="s">
        <v>7877</v>
      </c>
      <c r="AA560">
        <v>6.475</v>
      </c>
      <c r="AB560">
        <v>0.46</v>
      </c>
    </row>
    <row r="561" spans="1:28">
      <c r="A561" t="s">
        <v>3991</v>
      </c>
      <c r="B561" t="s">
        <v>3992</v>
      </c>
      <c r="C561" t="s">
        <v>3993</v>
      </c>
      <c r="D561" t="s">
        <v>7847</v>
      </c>
      <c r="E561" t="s">
        <v>7839</v>
      </c>
      <c r="F561" t="s">
        <v>7840</v>
      </c>
      <c r="G561" t="s">
        <v>7861</v>
      </c>
      <c r="H561" t="s">
        <v>9</v>
      </c>
      <c r="I561">
        <v>1409.614</v>
      </c>
      <c r="J561">
        <v>19.89</v>
      </c>
      <c r="K561">
        <v>0.15</v>
      </c>
      <c r="M561" t="s">
        <v>7907</v>
      </c>
      <c r="N561">
        <v>70.876</v>
      </c>
      <c r="V561" t="s">
        <v>7847</v>
      </c>
      <c r="W561" t="s">
        <v>7839</v>
      </c>
      <c r="X561" t="s">
        <v>7840</v>
      </c>
      <c r="Y561">
        <v>1409.614</v>
      </c>
      <c r="Z561" t="s">
        <v>7861</v>
      </c>
      <c r="AA561">
        <v>19.89</v>
      </c>
      <c r="AB561">
        <v>0.15</v>
      </c>
    </row>
    <row r="562" spans="1:28">
      <c r="A562" t="s">
        <v>3083</v>
      </c>
      <c r="B562" t="s">
        <v>3084</v>
      </c>
      <c r="C562" t="s">
        <v>3085</v>
      </c>
      <c r="D562" t="s">
        <v>7844</v>
      </c>
      <c r="E562" t="s">
        <v>7839</v>
      </c>
      <c r="F562" t="s">
        <v>7840</v>
      </c>
      <c r="G562" t="s">
        <v>8072</v>
      </c>
      <c r="H562" t="s">
        <v>9</v>
      </c>
      <c r="I562">
        <v>10.029</v>
      </c>
      <c r="J562">
        <v>25.118</v>
      </c>
      <c r="K562">
        <v>0.35</v>
      </c>
      <c r="M562" t="s">
        <v>7865</v>
      </c>
      <c r="N562">
        <v>195.54</v>
      </c>
      <c r="V562" t="s">
        <v>7844</v>
      </c>
      <c r="W562" t="s">
        <v>7839</v>
      </c>
      <c r="X562" t="s">
        <v>7840</v>
      </c>
      <c r="Y562">
        <v>10.029</v>
      </c>
      <c r="Z562" t="s">
        <v>8072</v>
      </c>
      <c r="AA562">
        <v>25.118</v>
      </c>
      <c r="AB562">
        <v>0.35</v>
      </c>
    </row>
    <row r="563" spans="1:28">
      <c r="A563" t="s">
        <v>5077</v>
      </c>
      <c r="B563" t="s">
        <v>5078</v>
      </c>
      <c r="C563" t="s">
        <v>5079</v>
      </c>
      <c r="D563" t="s">
        <v>7862</v>
      </c>
      <c r="E563" t="s">
        <v>7839</v>
      </c>
      <c r="F563" t="s">
        <v>7932</v>
      </c>
      <c r="G563" t="s">
        <v>7868</v>
      </c>
      <c r="H563" t="s">
        <v>9</v>
      </c>
      <c r="I563">
        <v>6.29</v>
      </c>
      <c r="J563">
        <v>100.187</v>
      </c>
      <c r="K563">
        <v>0.79</v>
      </c>
      <c r="N563">
        <v>26.411</v>
      </c>
      <c r="V563" t="s">
        <v>7862</v>
      </c>
      <c r="W563" t="s">
        <v>7839</v>
      </c>
      <c r="X563" t="s">
        <v>7932</v>
      </c>
      <c r="Y563">
        <v>6.29</v>
      </c>
      <c r="Z563" t="s">
        <v>7868</v>
      </c>
      <c r="AA563">
        <v>100.187</v>
      </c>
      <c r="AB563">
        <v>0.79</v>
      </c>
    </row>
    <row r="564" spans="1:28">
      <c r="A564" t="s">
        <v>3799</v>
      </c>
      <c r="B564" t="s">
        <v>3800</v>
      </c>
      <c r="C564" t="s">
        <v>3801</v>
      </c>
      <c r="D564" t="s">
        <v>7844</v>
      </c>
      <c r="E564" t="s">
        <v>7839</v>
      </c>
      <c r="F564" t="s">
        <v>7932</v>
      </c>
      <c r="G564" t="s">
        <v>7880</v>
      </c>
      <c r="H564" t="s">
        <v>9</v>
      </c>
      <c r="I564">
        <v>30.153</v>
      </c>
      <c r="J564">
        <v>23.002</v>
      </c>
      <c r="K564">
        <v>0.18</v>
      </c>
      <c r="M564" t="s">
        <v>8100</v>
      </c>
      <c r="N564">
        <v>374.915</v>
      </c>
      <c r="V564" t="s">
        <v>7844</v>
      </c>
      <c r="W564" t="s">
        <v>7839</v>
      </c>
      <c r="X564" t="s">
        <v>7932</v>
      </c>
      <c r="Y564">
        <v>30.153</v>
      </c>
      <c r="Z564" t="s">
        <v>7880</v>
      </c>
      <c r="AA564">
        <v>23.002</v>
      </c>
      <c r="AB564">
        <v>0.18</v>
      </c>
    </row>
    <row r="565" spans="1:28">
      <c r="A565" t="s">
        <v>4120</v>
      </c>
      <c r="B565" t="s">
        <v>4121</v>
      </c>
      <c r="C565" t="s">
        <v>4122</v>
      </c>
      <c r="D565" t="s">
        <v>7847</v>
      </c>
      <c r="E565" t="s">
        <v>7839</v>
      </c>
      <c r="F565" t="s">
        <v>7840</v>
      </c>
      <c r="G565" t="s">
        <v>7944</v>
      </c>
      <c r="H565" t="s">
        <v>9</v>
      </c>
      <c r="I565">
        <v>67.746</v>
      </c>
      <c r="J565">
        <v>14.549</v>
      </c>
      <c r="K565">
        <v>0.49</v>
      </c>
      <c r="M565" t="s">
        <v>7877</v>
      </c>
      <c r="N565">
        <v>38.524</v>
      </c>
      <c r="V565" t="s">
        <v>7847</v>
      </c>
      <c r="W565" t="s">
        <v>7839</v>
      </c>
      <c r="X565" t="s">
        <v>7840</v>
      </c>
      <c r="Y565">
        <v>67.746</v>
      </c>
      <c r="Z565" t="s">
        <v>7944</v>
      </c>
      <c r="AA565">
        <v>14.549</v>
      </c>
      <c r="AB565">
        <v>0.49</v>
      </c>
    </row>
    <row r="566" spans="1:28">
      <c r="A566" t="s">
        <v>3937</v>
      </c>
      <c r="B566" t="s">
        <v>3938</v>
      </c>
      <c r="C566" t="s">
        <v>3939</v>
      </c>
      <c r="D566" t="s">
        <v>7850</v>
      </c>
      <c r="E566" t="s">
        <v>7839</v>
      </c>
      <c r="F566" t="s">
        <v>7840</v>
      </c>
      <c r="G566" t="s">
        <v>8002</v>
      </c>
      <c r="H566" t="s">
        <v>9</v>
      </c>
      <c r="I566">
        <v>44.632</v>
      </c>
      <c r="J566">
        <v>16.012</v>
      </c>
      <c r="K566">
        <v>0.29</v>
      </c>
      <c r="M566" t="s">
        <v>7861</v>
      </c>
      <c r="N566">
        <v>1409.614</v>
      </c>
      <c r="V566" t="s">
        <v>7850</v>
      </c>
      <c r="W566" t="s">
        <v>7839</v>
      </c>
      <c r="X566" t="s">
        <v>7840</v>
      </c>
      <c r="Y566">
        <v>44.632</v>
      </c>
      <c r="Z566" t="s">
        <v>8002</v>
      </c>
      <c r="AA566">
        <v>16.012</v>
      </c>
      <c r="AB566">
        <v>0.29</v>
      </c>
    </row>
    <row r="567" spans="1:28">
      <c r="A567" t="s">
        <v>3441</v>
      </c>
      <c r="B567" t="s">
        <v>3442</v>
      </c>
      <c r="C567" t="s">
        <v>3443</v>
      </c>
      <c r="D567" t="s">
        <v>7847</v>
      </c>
      <c r="E567" t="s">
        <v>7839</v>
      </c>
      <c r="F567" t="s">
        <v>7853</v>
      </c>
      <c r="G567" t="s">
        <v>8109</v>
      </c>
      <c r="H567" t="s">
        <v>9</v>
      </c>
      <c r="I567">
        <v>35.499</v>
      </c>
      <c r="J567">
        <v>18.163</v>
      </c>
      <c r="K567">
        <v>0.65</v>
      </c>
      <c r="M567" t="s">
        <v>8072</v>
      </c>
      <c r="N567">
        <v>10.029</v>
      </c>
      <c r="V567" t="s">
        <v>7847</v>
      </c>
      <c r="W567" t="s">
        <v>7839</v>
      </c>
      <c r="X567" t="s">
        <v>7853</v>
      </c>
      <c r="Y567">
        <v>35.499</v>
      </c>
      <c r="Z567" t="s">
        <v>8109</v>
      </c>
      <c r="AA567">
        <v>18.163</v>
      </c>
      <c r="AB567">
        <v>0.65</v>
      </c>
    </row>
    <row r="568" spans="1:28">
      <c r="A568" t="s">
        <v>4756</v>
      </c>
      <c r="B568" t="s">
        <v>4757</v>
      </c>
      <c r="C568" t="s">
        <v>4758</v>
      </c>
      <c r="D568" t="s">
        <v>7847</v>
      </c>
      <c r="E568" t="s">
        <v>7839</v>
      </c>
      <c r="F568" t="s">
        <v>7840</v>
      </c>
      <c r="G568" t="s">
        <v>8075</v>
      </c>
      <c r="H568" t="s">
        <v>9</v>
      </c>
      <c r="I568">
        <v>100.545</v>
      </c>
      <c r="J568">
        <v>47.448</v>
      </c>
      <c r="K568">
        <v>0.7</v>
      </c>
      <c r="M568" t="s">
        <v>7868</v>
      </c>
      <c r="N568">
        <v>6.29</v>
      </c>
      <c r="V568" t="s">
        <v>7847</v>
      </c>
      <c r="W568" t="s">
        <v>7839</v>
      </c>
      <c r="X568" t="s">
        <v>7840</v>
      </c>
      <c r="Y568">
        <v>100.545</v>
      </c>
      <c r="Z568" t="s">
        <v>8075</v>
      </c>
      <c r="AA568">
        <v>47.448</v>
      </c>
      <c r="AB568">
        <v>0.7</v>
      </c>
    </row>
    <row r="569" spans="1:28">
      <c r="A569" t="s">
        <v>3278</v>
      </c>
      <c r="B569" t="s">
        <v>3279</v>
      </c>
      <c r="C569" t="s">
        <v>3280</v>
      </c>
      <c r="D569" t="s">
        <v>7850</v>
      </c>
      <c r="E569" t="s">
        <v>7839</v>
      </c>
      <c r="F569" t="s">
        <v>7840</v>
      </c>
      <c r="G569" t="s">
        <v>8034</v>
      </c>
      <c r="H569" t="s">
        <v>9</v>
      </c>
      <c r="I569">
        <v>40.157</v>
      </c>
      <c r="J569">
        <v>5.865</v>
      </c>
      <c r="K569">
        <v>0.04</v>
      </c>
      <c r="M569" t="s">
        <v>7880</v>
      </c>
      <c r="N569">
        <v>30.153</v>
      </c>
      <c r="V569" t="s">
        <v>7850</v>
      </c>
      <c r="W569" t="s">
        <v>7839</v>
      </c>
      <c r="X569" t="s">
        <v>7840</v>
      </c>
      <c r="Y569">
        <v>40.157</v>
      </c>
      <c r="Z569" t="s">
        <v>8034</v>
      </c>
      <c r="AA569">
        <v>5.865</v>
      </c>
      <c r="AB569">
        <v>0.04</v>
      </c>
    </row>
    <row r="570" spans="1:28">
      <c r="A570" t="s">
        <v>4206</v>
      </c>
      <c r="B570" t="s">
        <v>4207</v>
      </c>
      <c r="C570" t="s">
        <v>4208</v>
      </c>
      <c r="D570" t="s">
        <v>7847</v>
      </c>
      <c r="E570" t="s">
        <v>7839</v>
      </c>
      <c r="F570" t="s">
        <v>7840</v>
      </c>
      <c r="G570" t="s">
        <v>8104</v>
      </c>
      <c r="H570" t="s">
        <v>9</v>
      </c>
      <c r="I570">
        <v>19.106</v>
      </c>
      <c r="J570">
        <v>31.822</v>
      </c>
      <c r="K570">
        <v>0.45</v>
      </c>
      <c r="M570" t="s">
        <v>7944</v>
      </c>
      <c r="N570">
        <v>67.746</v>
      </c>
      <c r="V570" t="s">
        <v>7847</v>
      </c>
      <c r="W570" t="s">
        <v>7839</v>
      </c>
      <c r="X570" t="s">
        <v>7840</v>
      </c>
      <c r="Y570">
        <v>19.106</v>
      </c>
      <c r="Z570" t="s">
        <v>8104</v>
      </c>
      <c r="AA570">
        <v>31.822</v>
      </c>
      <c r="AB570">
        <v>0.45</v>
      </c>
    </row>
    <row r="571" spans="1:28">
      <c r="A571" t="s">
        <v>3626</v>
      </c>
      <c r="B571" t="s">
        <v>3627</v>
      </c>
      <c r="C571" t="s">
        <v>3628</v>
      </c>
      <c r="D571" t="s">
        <v>7844</v>
      </c>
      <c r="E571" t="s">
        <v>7839</v>
      </c>
      <c r="F571" t="s">
        <v>7932</v>
      </c>
      <c r="G571" t="s">
        <v>8034</v>
      </c>
      <c r="H571" t="s">
        <v>9</v>
      </c>
      <c r="I571">
        <v>6544.636</v>
      </c>
      <c r="J571">
        <v>20.948</v>
      </c>
      <c r="K571">
        <v>0.18</v>
      </c>
      <c r="M571" t="s">
        <v>8002</v>
      </c>
      <c r="N571">
        <v>44.632</v>
      </c>
      <c r="V571" t="s">
        <v>7844</v>
      </c>
      <c r="W571" t="s">
        <v>7839</v>
      </c>
      <c r="X571" t="s">
        <v>7932</v>
      </c>
      <c r="Y571">
        <v>6544.636</v>
      </c>
      <c r="Z571" t="s">
        <v>8034</v>
      </c>
      <c r="AA571">
        <v>20.948</v>
      </c>
      <c r="AB571">
        <v>0.18</v>
      </c>
    </row>
    <row r="572" spans="1:28">
      <c r="A572" t="s">
        <v>5211</v>
      </c>
      <c r="B572" t="s">
        <v>4637</v>
      </c>
      <c r="C572" t="s">
        <v>5212</v>
      </c>
      <c r="D572" t="s">
        <v>7847</v>
      </c>
      <c r="E572" t="s">
        <v>7840</v>
      </c>
      <c r="F572" t="s">
        <v>7840</v>
      </c>
      <c r="G572" t="s">
        <v>7868</v>
      </c>
      <c r="H572" t="s">
        <v>9</v>
      </c>
      <c r="I572">
        <v>23.454</v>
      </c>
      <c r="K572">
        <v>0.79</v>
      </c>
      <c r="M572" t="s">
        <v>8109</v>
      </c>
      <c r="N572">
        <v>35.499</v>
      </c>
      <c r="V572" t="s">
        <v>7847</v>
      </c>
      <c r="W572" t="s">
        <v>7840</v>
      </c>
      <c r="X572" t="s">
        <v>7840</v>
      </c>
      <c r="Y572">
        <v>23.454</v>
      </c>
      <c r="Z572" t="s">
        <v>7868</v>
      </c>
      <c r="AB572">
        <v>0.79</v>
      </c>
    </row>
    <row r="573" spans="1:28">
      <c r="A573" t="s">
        <v>2694</v>
      </c>
      <c r="B573" t="s">
        <v>2695</v>
      </c>
      <c r="C573" t="s">
        <v>2696</v>
      </c>
      <c r="D573" t="s">
        <v>7850</v>
      </c>
      <c r="E573" t="s">
        <v>7839</v>
      </c>
      <c r="F573" t="s">
        <v>7840</v>
      </c>
      <c r="G573" t="s">
        <v>8030</v>
      </c>
      <c r="H573" t="s">
        <v>9</v>
      </c>
      <c r="I573">
        <v>25.218</v>
      </c>
      <c r="J573">
        <v>19.202</v>
      </c>
      <c r="K573">
        <v>0.35</v>
      </c>
      <c r="M573" t="s">
        <v>8075</v>
      </c>
      <c r="N573">
        <v>100.545</v>
      </c>
      <c r="V573" t="s">
        <v>7850</v>
      </c>
      <c r="W573" t="s">
        <v>7839</v>
      </c>
      <c r="X573" t="s">
        <v>7840</v>
      </c>
      <c r="Y573">
        <v>25.218</v>
      </c>
      <c r="Z573" t="s">
        <v>8030</v>
      </c>
      <c r="AA573">
        <v>19.202</v>
      </c>
      <c r="AB573">
        <v>0.35</v>
      </c>
    </row>
    <row r="574" spans="1:28">
      <c r="A574" t="s">
        <v>3269</v>
      </c>
      <c r="B574" t="s">
        <v>3270</v>
      </c>
      <c r="C574" t="s">
        <v>3271</v>
      </c>
      <c r="D574" t="s">
        <v>7850</v>
      </c>
      <c r="E574" t="s">
        <v>7839</v>
      </c>
      <c r="F574" t="s">
        <v>7840</v>
      </c>
      <c r="G574" t="s">
        <v>8123</v>
      </c>
      <c r="H574" t="s">
        <v>9</v>
      </c>
      <c r="I574">
        <v>147.631</v>
      </c>
      <c r="J574">
        <v>8.656</v>
      </c>
      <c r="K574">
        <v>0.35</v>
      </c>
      <c r="M574" t="s">
        <v>8034</v>
      </c>
      <c r="N574">
        <v>40.157</v>
      </c>
      <c r="V574" t="s">
        <v>7850</v>
      </c>
      <c r="W574" t="s">
        <v>7839</v>
      </c>
      <c r="X574" t="s">
        <v>7840</v>
      </c>
      <c r="Y574">
        <v>147.631</v>
      </c>
      <c r="Z574" t="s">
        <v>8123</v>
      </c>
      <c r="AA574">
        <v>8.656</v>
      </c>
      <c r="AB574">
        <v>0.35</v>
      </c>
    </row>
    <row r="575" spans="1:28">
      <c r="A575" t="s">
        <v>2376</v>
      </c>
      <c r="B575" t="s">
        <v>2377</v>
      </c>
      <c r="C575" t="s">
        <v>2378</v>
      </c>
      <c r="D575" t="s">
        <v>7850</v>
      </c>
      <c r="E575" t="s">
        <v>7839</v>
      </c>
      <c r="F575" t="s">
        <v>7840</v>
      </c>
      <c r="G575" t="s">
        <v>7925</v>
      </c>
      <c r="H575" t="s">
        <v>9</v>
      </c>
      <c r="I575">
        <v>286.587</v>
      </c>
      <c r="J575">
        <v>113.695</v>
      </c>
      <c r="K575">
        <v>0.3</v>
      </c>
      <c r="M575" t="s">
        <v>8104</v>
      </c>
      <c r="N575">
        <v>19.106</v>
      </c>
      <c r="V575" t="s">
        <v>7850</v>
      </c>
      <c r="W575" t="s">
        <v>7839</v>
      </c>
      <c r="X575" t="s">
        <v>7840</v>
      </c>
      <c r="Y575">
        <v>286.587</v>
      </c>
      <c r="Z575" t="s">
        <v>7925</v>
      </c>
      <c r="AA575">
        <v>113.695</v>
      </c>
      <c r="AB575">
        <v>0.3</v>
      </c>
    </row>
    <row r="576" spans="1:28">
      <c r="A576" t="s">
        <v>3982</v>
      </c>
      <c r="B576" t="s">
        <v>3983</v>
      </c>
      <c r="C576" t="s">
        <v>3984</v>
      </c>
      <c r="D576" t="s">
        <v>7847</v>
      </c>
      <c r="E576" t="s">
        <v>7839</v>
      </c>
      <c r="F576" t="s">
        <v>7840</v>
      </c>
      <c r="G576" t="s">
        <v>7991</v>
      </c>
      <c r="H576" t="s">
        <v>9</v>
      </c>
      <c r="I576">
        <v>35.078</v>
      </c>
      <c r="J576">
        <v>99.669</v>
      </c>
      <c r="K576">
        <v>0.6</v>
      </c>
      <c r="M576" t="s">
        <v>8034</v>
      </c>
      <c r="N576">
        <v>6544.636</v>
      </c>
      <c r="V576" t="s">
        <v>7847</v>
      </c>
      <c r="W576" t="s">
        <v>7839</v>
      </c>
      <c r="X576" t="s">
        <v>7840</v>
      </c>
      <c r="Y576">
        <v>35.078</v>
      </c>
      <c r="Z576" t="s">
        <v>7991</v>
      </c>
      <c r="AA576">
        <v>99.669</v>
      </c>
      <c r="AB576">
        <v>0.6</v>
      </c>
    </row>
    <row r="577" spans="1:28">
      <c r="A577" t="s">
        <v>2338</v>
      </c>
      <c r="B577" t="s">
        <v>2339</v>
      </c>
      <c r="C577" t="s">
        <v>2340</v>
      </c>
      <c r="D577" t="s">
        <v>7844</v>
      </c>
      <c r="E577" t="s">
        <v>7839</v>
      </c>
      <c r="F577" t="s">
        <v>7935</v>
      </c>
      <c r="G577" t="s">
        <v>7974</v>
      </c>
      <c r="H577" t="s">
        <v>9</v>
      </c>
      <c r="I577">
        <v>513.667</v>
      </c>
      <c r="J577">
        <v>8.072</v>
      </c>
      <c r="K577">
        <v>0.34</v>
      </c>
      <c r="M577" t="s">
        <v>7868</v>
      </c>
      <c r="N577">
        <v>23.454</v>
      </c>
      <c r="V577" t="s">
        <v>7844</v>
      </c>
      <c r="W577" t="s">
        <v>7839</v>
      </c>
      <c r="X577" t="s">
        <v>7935</v>
      </c>
      <c r="Y577">
        <v>513.667</v>
      </c>
      <c r="Z577" t="s">
        <v>7974</v>
      </c>
      <c r="AA577">
        <v>8.072</v>
      </c>
      <c r="AB577">
        <v>0.34</v>
      </c>
    </row>
    <row r="578" spans="1:28">
      <c r="A578" t="s">
        <v>3237</v>
      </c>
      <c r="B578" t="s">
        <v>3238</v>
      </c>
      <c r="C578" t="s">
        <v>3239</v>
      </c>
      <c r="D578" t="s">
        <v>7850</v>
      </c>
      <c r="E578" t="s">
        <v>7839</v>
      </c>
      <c r="F578" t="s">
        <v>7840</v>
      </c>
      <c r="G578" t="s">
        <v>7854</v>
      </c>
      <c r="H578" t="s">
        <v>9</v>
      </c>
      <c r="I578">
        <v>15945.833</v>
      </c>
      <c r="J578">
        <v>0.712</v>
      </c>
      <c r="K578">
        <v>0.04</v>
      </c>
      <c r="M578" t="s">
        <v>8030</v>
      </c>
      <c r="N578">
        <v>25.218</v>
      </c>
      <c r="V578" t="s">
        <v>7850</v>
      </c>
      <c r="W578" t="s">
        <v>7839</v>
      </c>
      <c r="X578" t="s">
        <v>7840</v>
      </c>
      <c r="Y578">
        <v>15945.833</v>
      </c>
      <c r="Z578" t="s">
        <v>7854</v>
      </c>
      <c r="AA578">
        <v>0.712</v>
      </c>
      <c r="AB578">
        <v>0.04</v>
      </c>
    </row>
    <row r="579" spans="1:28">
      <c r="A579" t="s">
        <v>3707</v>
      </c>
      <c r="B579" t="s">
        <v>3708</v>
      </c>
      <c r="C579" t="s">
        <v>3709</v>
      </c>
      <c r="D579" t="s">
        <v>7850</v>
      </c>
      <c r="E579" t="s">
        <v>7839</v>
      </c>
      <c r="F579" t="s">
        <v>7840</v>
      </c>
      <c r="G579" t="s">
        <v>7854</v>
      </c>
      <c r="H579" t="s">
        <v>9</v>
      </c>
      <c r="I579">
        <v>1318.605</v>
      </c>
      <c r="J579">
        <v>2.893</v>
      </c>
      <c r="K579">
        <v>0.18</v>
      </c>
      <c r="M579" t="s">
        <v>8123</v>
      </c>
      <c r="N579">
        <v>147.631</v>
      </c>
      <c r="V579" t="s">
        <v>7850</v>
      </c>
      <c r="W579" t="s">
        <v>7839</v>
      </c>
      <c r="X579" t="s">
        <v>7840</v>
      </c>
      <c r="Y579">
        <v>1318.605</v>
      </c>
      <c r="Z579" t="s">
        <v>7854</v>
      </c>
      <c r="AA579">
        <v>2.893</v>
      </c>
      <c r="AB579">
        <v>0.18</v>
      </c>
    </row>
    <row r="580" spans="1:28">
      <c r="A580" t="s">
        <v>1993</v>
      </c>
      <c r="B580" t="s">
        <v>1994</v>
      </c>
      <c r="C580" t="s">
        <v>1995</v>
      </c>
      <c r="D580" t="s">
        <v>7855</v>
      </c>
      <c r="E580" t="s">
        <v>7839</v>
      </c>
      <c r="F580" t="s">
        <v>7840</v>
      </c>
      <c r="G580" t="s">
        <v>7854</v>
      </c>
      <c r="H580" t="s">
        <v>9</v>
      </c>
      <c r="I580">
        <v>58.609</v>
      </c>
      <c r="J580">
        <v>99.964</v>
      </c>
      <c r="K580">
        <v>0.1</v>
      </c>
      <c r="M580" t="s">
        <v>7925</v>
      </c>
      <c r="N580">
        <v>286.587</v>
      </c>
      <c r="V580" t="s">
        <v>7855</v>
      </c>
      <c r="W580" t="s">
        <v>7839</v>
      </c>
      <c r="X580" t="s">
        <v>7840</v>
      </c>
      <c r="Y580">
        <v>58.609</v>
      </c>
      <c r="Z580" t="s">
        <v>7854</v>
      </c>
      <c r="AA580">
        <v>99.964</v>
      </c>
      <c r="AB580">
        <v>0.1</v>
      </c>
    </row>
    <row r="581" spans="1:28">
      <c r="A581" t="s">
        <v>3729</v>
      </c>
      <c r="B581" t="s">
        <v>3730</v>
      </c>
      <c r="C581" t="s">
        <v>3731</v>
      </c>
      <c r="D581" t="s">
        <v>7847</v>
      </c>
      <c r="E581" t="s">
        <v>7839</v>
      </c>
      <c r="F581" t="s">
        <v>7840</v>
      </c>
      <c r="G581" t="s">
        <v>8038</v>
      </c>
      <c r="H581" t="s">
        <v>9</v>
      </c>
      <c r="I581">
        <v>900.547</v>
      </c>
      <c r="J581">
        <v>32.982</v>
      </c>
      <c r="K581">
        <v>0.35</v>
      </c>
      <c r="M581" t="s">
        <v>7991</v>
      </c>
      <c r="N581">
        <v>35.078</v>
      </c>
      <c r="V581" t="s">
        <v>7847</v>
      </c>
      <c r="W581" t="s">
        <v>7839</v>
      </c>
      <c r="X581" t="s">
        <v>7840</v>
      </c>
      <c r="Y581">
        <v>900.547</v>
      </c>
      <c r="Z581" t="s">
        <v>8038</v>
      </c>
      <c r="AA581">
        <v>32.982</v>
      </c>
      <c r="AB581">
        <v>0.35</v>
      </c>
    </row>
    <row r="582" spans="1:28">
      <c r="A582" t="s">
        <v>5012</v>
      </c>
      <c r="B582" t="s">
        <v>5013</v>
      </c>
      <c r="C582" t="s">
        <v>5014</v>
      </c>
      <c r="D582" t="s">
        <v>7847</v>
      </c>
      <c r="E582" t="s">
        <v>7839</v>
      </c>
      <c r="F582" t="s">
        <v>7840</v>
      </c>
      <c r="G582" t="s">
        <v>8034</v>
      </c>
      <c r="H582" t="s">
        <v>9</v>
      </c>
      <c r="I582">
        <v>1144.783</v>
      </c>
      <c r="J582">
        <v>9.998</v>
      </c>
      <c r="K582">
        <v>0.03</v>
      </c>
      <c r="M582" t="s">
        <v>7974</v>
      </c>
      <c r="N582">
        <v>513.667</v>
      </c>
      <c r="V582" t="s">
        <v>7847</v>
      </c>
      <c r="W582" t="s">
        <v>7839</v>
      </c>
      <c r="X582" t="s">
        <v>7840</v>
      </c>
      <c r="Y582">
        <v>1144.783</v>
      </c>
      <c r="Z582" t="s">
        <v>8034</v>
      </c>
      <c r="AA582">
        <v>9.998</v>
      </c>
      <c r="AB582">
        <v>0.03</v>
      </c>
    </row>
    <row r="583" spans="1:28">
      <c r="A583" t="s">
        <v>3350</v>
      </c>
      <c r="B583" t="s">
        <v>3351</v>
      </c>
      <c r="C583" t="s">
        <v>3352</v>
      </c>
      <c r="D583" t="s">
        <v>7847</v>
      </c>
      <c r="E583" t="s">
        <v>7848</v>
      </c>
      <c r="F583" t="s">
        <v>7840</v>
      </c>
      <c r="G583" t="s">
        <v>7890</v>
      </c>
      <c r="H583" t="s">
        <v>9</v>
      </c>
      <c r="I583">
        <v>12.722</v>
      </c>
      <c r="J583">
        <v>15.31</v>
      </c>
      <c r="K583">
        <v>0.18</v>
      </c>
      <c r="M583" t="s">
        <v>7854</v>
      </c>
      <c r="N583">
        <v>15945.833</v>
      </c>
      <c r="V583" t="s">
        <v>7847</v>
      </c>
      <c r="W583" t="s">
        <v>7848</v>
      </c>
      <c r="X583" t="s">
        <v>7840</v>
      </c>
      <c r="Y583">
        <v>12.722</v>
      </c>
      <c r="Z583" t="s">
        <v>7890</v>
      </c>
      <c r="AA583">
        <v>15.31</v>
      </c>
      <c r="AB583">
        <v>0.18</v>
      </c>
    </row>
    <row r="584" spans="1:28">
      <c r="A584" t="s">
        <v>1062</v>
      </c>
      <c r="B584" t="s">
        <v>1063</v>
      </c>
      <c r="C584" t="s">
        <v>1064</v>
      </c>
      <c r="D584" t="s">
        <v>7847</v>
      </c>
      <c r="E584" t="s">
        <v>7839</v>
      </c>
      <c r="F584" t="s">
        <v>7840</v>
      </c>
      <c r="G584" t="s">
        <v>7869</v>
      </c>
      <c r="H584" t="s">
        <v>9</v>
      </c>
      <c r="I584">
        <v>1.964</v>
      </c>
      <c r="J584">
        <v>99.779</v>
      </c>
      <c r="K584">
        <v>0.59</v>
      </c>
      <c r="M584" t="s">
        <v>7854</v>
      </c>
      <c r="N584">
        <v>1318.605</v>
      </c>
      <c r="V584" t="s">
        <v>7847</v>
      </c>
      <c r="W584" t="s">
        <v>7839</v>
      </c>
      <c r="X584" t="s">
        <v>7840</v>
      </c>
      <c r="Y584">
        <v>1.964</v>
      </c>
      <c r="Z584" t="s">
        <v>7869</v>
      </c>
      <c r="AA584">
        <v>99.779</v>
      </c>
      <c r="AB584">
        <v>0.59</v>
      </c>
    </row>
    <row r="585" spans="1:28">
      <c r="A585" t="s">
        <v>3772</v>
      </c>
      <c r="B585" t="s">
        <v>3773</v>
      </c>
      <c r="C585" t="s">
        <v>3774</v>
      </c>
      <c r="D585" t="s">
        <v>7850</v>
      </c>
      <c r="E585" t="s">
        <v>7839</v>
      </c>
      <c r="F585" t="s">
        <v>7840</v>
      </c>
      <c r="G585" t="s">
        <v>7854</v>
      </c>
      <c r="H585" t="s">
        <v>9</v>
      </c>
      <c r="I585">
        <v>1744.258</v>
      </c>
      <c r="J585">
        <v>2.018</v>
      </c>
      <c r="K585">
        <v>0.15</v>
      </c>
      <c r="M585" t="s">
        <v>7854</v>
      </c>
      <c r="N585">
        <v>58.609</v>
      </c>
      <c r="V585" t="s">
        <v>7850</v>
      </c>
      <c r="W585" t="s">
        <v>7839</v>
      </c>
      <c r="X585" t="s">
        <v>7840</v>
      </c>
      <c r="Y585">
        <v>1744.258</v>
      </c>
      <c r="Z585" t="s">
        <v>7854</v>
      </c>
      <c r="AA585">
        <v>2.018</v>
      </c>
      <c r="AB585">
        <v>0.15</v>
      </c>
    </row>
    <row r="586" spans="1:28">
      <c r="A586" t="s">
        <v>1903</v>
      </c>
      <c r="B586" t="s">
        <v>1904</v>
      </c>
      <c r="C586" t="s">
        <v>1905</v>
      </c>
      <c r="D586" t="s">
        <v>7850</v>
      </c>
      <c r="E586" t="s">
        <v>7839</v>
      </c>
      <c r="F586" t="s">
        <v>7840</v>
      </c>
      <c r="G586" t="s">
        <v>8075</v>
      </c>
      <c r="H586" t="s">
        <v>9</v>
      </c>
      <c r="I586">
        <v>105.036</v>
      </c>
      <c r="J586">
        <v>22.532</v>
      </c>
      <c r="K586">
        <v>0.65</v>
      </c>
      <c r="M586" t="s">
        <v>8038</v>
      </c>
      <c r="N586">
        <v>900.547</v>
      </c>
      <c r="V586" t="s">
        <v>7850</v>
      </c>
      <c r="W586" t="s">
        <v>7839</v>
      </c>
      <c r="X586" t="s">
        <v>7840</v>
      </c>
      <c r="Y586">
        <v>105.036</v>
      </c>
      <c r="Z586" t="s">
        <v>8075</v>
      </c>
      <c r="AA586">
        <v>22.532</v>
      </c>
      <c r="AB586">
        <v>0.65</v>
      </c>
    </row>
    <row r="587" spans="1:28">
      <c r="A587" t="s">
        <v>2074</v>
      </c>
      <c r="B587" t="s">
        <v>2075</v>
      </c>
      <c r="C587" t="s">
        <v>2076</v>
      </c>
      <c r="D587" t="s">
        <v>7855</v>
      </c>
      <c r="E587" t="s">
        <v>7839</v>
      </c>
      <c r="F587" t="s">
        <v>7840</v>
      </c>
      <c r="G587" t="s">
        <v>8034</v>
      </c>
      <c r="H587" t="s">
        <v>9</v>
      </c>
      <c r="I587">
        <v>807.875</v>
      </c>
      <c r="J587">
        <v>45.768</v>
      </c>
      <c r="K587">
        <v>0.28</v>
      </c>
      <c r="M587" t="s">
        <v>8034</v>
      </c>
      <c r="N587">
        <v>1144.783</v>
      </c>
      <c r="V587" t="s">
        <v>7855</v>
      </c>
      <c r="W587" t="s">
        <v>7839</v>
      </c>
      <c r="X587" t="s">
        <v>7840</v>
      </c>
      <c r="Y587">
        <v>807.875</v>
      </c>
      <c r="Z587" t="s">
        <v>8034</v>
      </c>
      <c r="AA587">
        <v>45.768</v>
      </c>
      <c r="AB587">
        <v>0.28</v>
      </c>
    </row>
    <row r="588" spans="1:28">
      <c r="A588" t="s">
        <v>6028</v>
      </c>
      <c r="B588" t="s">
        <v>6029</v>
      </c>
      <c r="C588" t="s">
        <v>6030</v>
      </c>
      <c r="D588" t="s">
        <v>7859</v>
      </c>
      <c r="E588" t="s">
        <v>7839</v>
      </c>
      <c r="F588" t="s">
        <v>7840</v>
      </c>
      <c r="G588" t="s">
        <v>7969</v>
      </c>
      <c r="H588" t="s">
        <v>9</v>
      </c>
      <c r="I588">
        <v>1342.113</v>
      </c>
      <c r="J588">
        <v>12.186</v>
      </c>
      <c r="K588">
        <v>0.6</v>
      </c>
      <c r="M588" t="s">
        <v>7890</v>
      </c>
      <c r="N588">
        <v>12.722</v>
      </c>
      <c r="V588" t="s">
        <v>7859</v>
      </c>
      <c r="W588" t="s">
        <v>7839</v>
      </c>
      <c r="X588" t="s">
        <v>7840</v>
      </c>
      <c r="Y588">
        <v>1342.113</v>
      </c>
      <c r="Z588" t="s">
        <v>7969</v>
      </c>
      <c r="AA588">
        <v>12.186</v>
      </c>
      <c r="AB588">
        <v>0.6</v>
      </c>
    </row>
    <row r="589" spans="1:28">
      <c r="A589" t="s">
        <v>2420</v>
      </c>
      <c r="B589" t="s">
        <v>2421</v>
      </c>
      <c r="C589" t="s">
        <v>2422</v>
      </c>
      <c r="D589" t="s">
        <v>7855</v>
      </c>
      <c r="E589" t="s">
        <v>7839</v>
      </c>
      <c r="F589" t="s">
        <v>7853</v>
      </c>
      <c r="G589" t="s">
        <v>8006</v>
      </c>
      <c r="H589" t="s">
        <v>9</v>
      </c>
      <c r="I589">
        <v>3.999</v>
      </c>
      <c r="J589">
        <v>99.77</v>
      </c>
      <c r="K589">
        <v>0.1</v>
      </c>
      <c r="M589" t="s">
        <v>7869</v>
      </c>
      <c r="N589">
        <v>1.964</v>
      </c>
      <c r="V589" t="s">
        <v>7855</v>
      </c>
      <c r="W589" t="s">
        <v>7839</v>
      </c>
      <c r="X589" t="s">
        <v>7853</v>
      </c>
      <c r="Y589">
        <v>3.999</v>
      </c>
      <c r="Z589" t="s">
        <v>8006</v>
      </c>
      <c r="AA589">
        <v>99.77</v>
      </c>
      <c r="AB589">
        <v>0.1</v>
      </c>
    </row>
    <row r="590" spans="1:28">
      <c r="A590" t="s">
        <v>1462</v>
      </c>
      <c r="B590" t="s">
        <v>1463</v>
      </c>
      <c r="C590" t="s">
        <v>1464</v>
      </c>
      <c r="D590" t="s">
        <v>7847</v>
      </c>
      <c r="E590" t="s">
        <v>7839</v>
      </c>
      <c r="F590" t="s">
        <v>7840</v>
      </c>
      <c r="G590" t="s">
        <v>7877</v>
      </c>
      <c r="H590" t="s">
        <v>9</v>
      </c>
      <c r="I590">
        <v>432.635</v>
      </c>
      <c r="J590">
        <v>24.754</v>
      </c>
      <c r="K590">
        <v>0.28</v>
      </c>
      <c r="M590" t="s">
        <v>7854</v>
      </c>
      <c r="N590">
        <v>1744.258</v>
      </c>
      <c r="V590" t="s">
        <v>7847</v>
      </c>
      <c r="W590" t="s">
        <v>7839</v>
      </c>
      <c r="X590" t="s">
        <v>7840</v>
      </c>
      <c r="Y590">
        <v>432.635</v>
      </c>
      <c r="Z590" t="s">
        <v>7877</v>
      </c>
      <c r="AA590">
        <v>24.754</v>
      </c>
      <c r="AB590">
        <v>0.28</v>
      </c>
    </row>
    <row r="591" spans="1:28">
      <c r="A591" t="s">
        <v>3383</v>
      </c>
      <c r="B591" t="s">
        <v>3384</v>
      </c>
      <c r="C591" t="s">
        <v>3385</v>
      </c>
      <c r="D591" t="s">
        <v>7847</v>
      </c>
      <c r="E591" t="s">
        <v>7839</v>
      </c>
      <c r="F591" t="s">
        <v>7840</v>
      </c>
      <c r="G591" t="s">
        <v>8030</v>
      </c>
      <c r="H591" t="s">
        <v>9</v>
      </c>
      <c r="I591">
        <v>2895.857</v>
      </c>
      <c r="J591">
        <v>11.552</v>
      </c>
      <c r="K591">
        <v>0.23</v>
      </c>
      <c r="M591" t="s">
        <v>8075</v>
      </c>
      <c r="N591">
        <v>105.036</v>
      </c>
      <c r="V591" t="s">
        <v>7847</v>
      </c>
      <c r="W591" t="s">
        <v>7839</v>
      </c>
      <c r="X591" t="s">
        <v>7840</v>
      </c>
      <c r="Y591">
        <v>2895.857</v>
      </c>
      <c r="Z591" t="s">
        <v>8030</v>
      </c>
      <c r="AA591">
        <v>11.552</v>
      </c>
      <c r="AB591">
        <v>0.23</v>
      </c>
    </row>
    <row r="592" spans="1:28">
      <c r="A592" t="s">
        <v>4556</v>
      </c>
      <c r="B592" t="s">
        <v>4557</v>
      </c>
      <c r="C592" t="s">
        <v>4558</v>
      </c>
      <c r="D592" t="s">
        <v>7847</v>
      </c>
      <c r="E592" t="s">
        <v>7839</v>
      </c>
      <c r="F592" t="s">
        <v>7840</v>
      </c>
      <c r="G592" t="s">
        <v>7988</v>
      </c>
      <c r="H592" t="s">
        <v>9</v>
      </c>
      <c r="I592">
        <v>2829.536</v>
      </c>
      <c r="J592">
        <v>24.375</v>
      </c>
      <c r="K592">
        <v>0.15</v>
      </c>
      <c r="M592" t="s">
        <v>8034</v>
      </c>
      <c r="N592">
        <v>807.875</v>
      </c>
      <c r="V592" t="s">
        <v>7847</v>
      </c>
      <c r="W592" t="s">
        <v>7839</v>
      </c>
      <c r="X592" t="s">
        <v>7840</v>
      </c>
      <c r="Y592">
        <v>2829.536</v>
      </c>
      <c r="Z592" t="s">
        <v>7988</v>
      </c>
      <c r="AA592">
        <v>24.375</v>
      </c>
      <c r="AB592">
        <v>0.15</v>
      </c>
    </row>
    <row r="593" spans="1:28">
      <c r="A593" t="s">
        <v>3421</v>
      </c>
      <c r="B593" t="s">
        <v>3422</v>
      </c>
      <c r="C593" t="s">
        <v>3423</v>
      </c>
      <c r="D593" t="s">
        <v>7847</v>
      </c>
      <c r="E593" t="s">
        <v>7839</v>
      </c>
      <c r="F593" t="s">
        <v>7932</v>
      </c>
      <c r="G593" t="s">
        <v>8080</v>
      </c>
      <c r="H593" t="s">
        <v>9</v>
      </c>
      <c r="I593">
        <v>13460.449</v>
      </c>
      <c r="J593">
        <v>8.629</v>
      </c>
      <c r="K593">
        <v>0.15</v>
      </c>
      <c r="M593" t="s">
        <v>7969</v>
      </c>
      <c r="N593">
        <v>1342.113</v>
      </c>
      <c r="V593" t="s">
        <v>7847</v>
      </c>
      <c r="W593" t="s">
        <v>7839</v>
      </c>
      <c r="X593" t="s">
        <v>7932</v>
      </c>
      <c r="Y593">
        <v>13460.449</v>
      </c>
      <c r="Z593" t="s">
        <v>8080</v>
      </c>
      <c r="AA593">
        <v>8.629</v>
      </c>
      <c r="AB593">
        <v>0.15</v>
      </c>
    </row>
    <row r="594" spans="1:28">
      <c r="A594" t="s">
        <v>3732</v>
      </c>
      <c r="B594" t="s">
        <v>3733</v>
      </c>
      <c r="C594" t="s">
        <v>3734</v>
      </c>
      <c r="D594" t="s">
        <v>7847</v>
      </c>
      <c r="E594" t="s">
        <v>7839</v>
      </c>
      <c r="F594" t="s">
        <v>7840</v>
      </c>
      <c r="G594" t="s">
        <v>7880</v>
      </c>
      <c r="H594" t="s">
        <v>9</v>
      </c>
      <c r="I594">
        <v>342.098</v>
      </c>
      <c r="J594">
        <v>37.93</v>
      </c>
      <c r="K594">
        <v>0.3</v>
      </c>
      <c r="M594" t="s">
        <v>8006</v>
      </c>
      <c r="N594">
        <v>3.999</v>
      </c>
      <c r="V594" t="s">
        <v>7847</v>
      </c>
      <c r="W594" t="s">
        <v>7839</v>
      </c>
      <c r="X594" t="s">
        <v>7840</v>
      </c>
      <c r="Y594">
        <v>342.098</v>
      </c>
      <c r="Z594" t="s">
        <v>7880</v>
      </c>
      <c r="AA594">
        <v>37.93</v>
      </c>
      <c r="AB594">
        <v>0.3</v>
      </c>
    </row>
    <row r="595" spans="1:28">
      <c r="A595" t="s">
        <v>5134</v>
      </c>
      <c r="B595" t="s">
        <v>5135</v>
      </c>
      <c r="C595" t="s">
        <v>5136</v>
      </c>
      <c r="D595" t="s">
        <v>7850</v>
      </c>
      <c r="E595" t="s">
        <v>7839</v>
      </c>
      <c r="F595" t="s">
        <v>7935</v>
      </c>
      <c r="G595" t="s">
        <v>7910</v>
      </c>
      <c r="H595" t="s">
        <v>9</v>
      </c>
      <c r="I595">
        <v>191.908</v>
      </c>
      <c r="J595">
        <v>18.128</v>
      </c>
      <c r="K595">
        <v>0.29</v>
      </c>
      <c r="M595" t="s">
        <v>7877</v>
      </c>
      <c r="N595">
        <v>432.635</v>
      </c>
      <c r="V595" t="s">
        <v>7850</v>
      </c>
      <c r="W595" t="s">
        <v>7839</v>
      </c>
      <c r="X595" t="s">
        <v>7935</v>
      </c>
      <c r="Y595">
        <v>191.908</v>
      </c>
      <c r="Z595" t="s">
        <v>7910</v>
      </c>
      <c r="AA595">
        <v>18.128</v>
      </c>
      <c r="AB595">
        <v>0.29</v>
      </c>
    </row>
    <row r="596" spans="1:28">
      <c r="A596" t="s">
        <v>4910</v>
      </c>
      <c r="B596" t="s">
        <v>4911</v>
      </c>
      <c r="C596" t="s">
        <v>4912</v>
      </c>
      <c r="D596" t="s">
        <v>7847</v>
      </c>
      <c r="E596" t="s">
        <v>7839</v>
      </c>
      <c r="F596" t="s">
        <v>7840</v>
      </c>
      <c r="G596" t="s">
        <v>7997</v>
      </c>
      <c r="H596" t="s">
        <v>9</v>
      </c>
      <c r="I596">
        <v>75.299</v>
      </c>
      <c r="J596">
        <v>56.889</v>
      </c>
      <c r="K596">
        <v>0.59</v>
      </c>
      <c r="M596" t="s">
        <v>8030</v>
      </c>
      <c r="N596">
        <v>2895.857</v>
      </c>
      <c r="V596" t="s">
        <v>7847</v>
      </c>
      <c r="W596" t="s">
        <v>7839</v>
      </c>
      <c r="X596" t="s">
        <v>7840</v>
      </c>
      <c r="Y596">
        <v>75.299</v>
      </c>
      <c r="Z596" t="s">
        <v>7997</v>
      </c>
      <c r="AA596">
        <v>56.889</v>
      </c>
      <c r="AB596">
        <v>0.59</v>
      </c>
    </row>
    <row r="597" spans="1:28">
      <c r="A597" t="s">
        <v>2706</v>
      </c>
      <c r="B597" t="s">
        <v>2707</v>
      </c>
      <c r="C597" t="s">
        <v>2708</v>
      </c>
      <c r="D597" t="s">
        <v>7847</v>
      </c>
      <c r="E597" t="s">
        <v>7839</v>
      </c>
      <c r="F597" t="s">
        <v>7932</v>
      </c>
      <c r="G597" t="s">
        <v>7969</v>
      </c>
      <c r="H597" t="s">
        <v>9</v>
      </c>
      <c r="I597">
        <v>259.839</v>
      </c>
      <c r="J597">
        <v>19.195</v>
      </c>
      <c r="K597">
        <v>0.17</v>
      </c>
      <c r="M597" t="s">
        <v>7988</v>
      </c>
      <c r="N597">
        <v>2829.536</v>
      </c>
      <c r="V597" t="s">
        <v>7847</v>
      </c>
      <c r="W597" t="s">
        <v>7839</v>
      </c>
      <c r="X597" t="s">
        <v>7932</v>
      </c>
      <c r="Y597">
        <v>259.839</v>
      </c>
      <c r="Z597" t="s">
        <v>7969</v>
      </c>
      <c r="AA597">
        <v>19.195</v>
      </c>
      <c r="AB597">
        <v>0.17</v>
      </c>
    </row>
    <row r="598" spans="1:28">
      <c r="A598" t="s">
        <v>4185</v>
      </c>
      <c r="B598" t="s">
        <v>4186</v>
      </c>
      <c r="C598" t="s">
        <v>4187</v>
      </c>
      <c r="D598" t="s">
        <v>7850</v>
      </c>
      <c r="E598" t="s">
        <v>7839</v>
      </c>
      <c r="F598" t="s">
        <v>7840</v>
      </c>
      <c r="G598" t="s">
        <v>7933</v>
      </c>
      <c r="H598" t="s">
        <v>9</v>
      </c>
      <c r="I598">
        <v>9.977</v>
      </c>
      <c r="J598">
        <v>44.454</v>
      </c>
      <c r="K598">
        <v>0.49</v>
      </c>
      <c r="M598" t="s">
        <v>8080</v>
      </c>
      <c r="N598">
        <v>13460.449</v>
      </c>
      <c r="V598" t="s">
        <v>7850</v>
      </c>
      <c r="W598" t="s">
        <v>7839</v>
      </c>
      <c r="X598" t="s">
        <v>7840</v>
      </c>
      <c r="Y598">
        <v>9.977</v>
      </c>
      <c r="Z598" t="s">
        <v>7933</v>
      </c>
      <c r="AA598">
        <v>44.454</v>
      </c>
      <c r="AB598">
        <v>0.49</v>
      </c>
    </row>
    <row r="599" spans="1:28">
      <c r="A599" t="s">
        <v>3483</v>
      </c>
      <c r="B599" t="s">
        <v>3484</v>
      </c>
      <c r="C599" t="s">
        <v>3485</v>
      </c>
      <c r="D599" t="s">
        <v>7847</v>
      </c>
      <c r="E599" t="s">
        <v>7839</v>
      </c>
      <c r="F599" t="s">
        <v>7840</v>
      </c>
      <c r="G599" t="s">
        <v>8048</v>
      </c>
      <c r="H599" t="s">
        <v>9</v>
      </c>
      <c r="I599">
        <v>176.502</v>
      </c>
      <c r="J599">
        <v>34.055</v>
      </c>
      <c r="K599">
        <v>0.34</v>
      </c>
      <c r="M599" t="s">
        <v>7880</v>
      </c>
      <c r="N599">
        <v>342.098</v>
      </c>
      <c r="V599" t="s">
        <v>7847</v>
      </c>
      <c r="W599" t="s">
        <v>7839</v>
      </c>
      <c r="X599" t="s">
        <v>7840</v>
      </c>
      <c r="Y599">
        <v>176.502</v>
      </c>
      <c r="Z599" t="s">
        <v>8048</v>
      </c>
      <c r="AA599">
        <v>34.055</v>
      </c>
      <c r="AB599">
        <v>0.34</v>
      </c>
    </row>
    <row r="600" spans="1:28">
      <c r="A600" t="s">
        <v>5524</v>
      </c>
      <c r="B600" t="s">
        <v>5525</v>
      </c>
      <c r="C600" t="s">
        <v>5526</v>
      </c>
      <c r="D600" t="s">
        <v>7847</v>
      </c>
      <c r="E600" t="s">
        <v>7839</v>
      </c>
      <c r="F600" t="s">
        <v>7840</v>
      </c>
      <c r="G600" t="s">
        <v>7988</v>
      </c>
      <c r="H600" t="s">
        <v>9</v>
      </c>
      <c r="I600">
        <v>15.185</v>
      </c>
      <c r="J600">
        <v>30.476</v>
      </c>
      <c r="K600">
        <v>0.39</v>
      </c>
      <c r="M600" t="s">
        <v>7910</v>
      </c>
      <c r="N600">
        <v>191.908</v>
      </c>
      <c r="V600" t="s">
        <v>7847</v>
      </c>
      <c r="W600" t="s">
        <v>7839</v>
      </c>
      <c r="X600" t="s">
        <v>7840</v>
      </c>
      <c r="Y600">
        <v>15.185</v>
      </c>
      <c r="Z600" t="s">
        <v>7988</v>
      </c>
      <c r="AA600">
        <v>30.476</v>
      </c>
      <c r="AB600">
        <v>0.39</v>
      </c>
    </row>
    <row r="601" spans="1:28">
      <c r="A601" t="s">
        <v>3826</v>
      </c>
      <c r="B601" t="s">
        <v>3827</v>
      </c>
      <c r="C601" t="s">
        <v>3828</v>
      </c>
      <c r="D601" t="s">
        <v>7847</v>
      </c>
      <c r="E601" t="s">
        <v>7839</v>
      </c>
      <c r="F601" t="s">
        <v>7840</v>
      </c>
      <c r="G601" t="s">
        <v>7978</v>
      </c>
      <c r="H601" t="s">
        <v>9</v>
      </c>
      <c r="I601">
        <v>3457.469</v>
      </c>
      <c r="J601">
        <v>30.568</v>
      </c>
      <c r="K601">
        <v>0.64</v>
      </c>
      <c r="M601" t="s">
        <v>7997</v>
      </c>
      <c r="N601">
        <v>75.299</v>
      </c>
      <c r="V601" t="s">
        <v>7847</v>
      </c>
      <c r="W601" t="s">
        <v>7839</v>
      </c>
      <c r="X601" t="s">
        <v>7840</v>
      </c>
      <c r="Y601">
        <v>3457.469</v>
      </c>
      <c r="Z601" t="s">
        <v>7978</v>
      </c>
      <c r="AA601">
        <v>30.568</v>
      </c>
      <c r="AB601">
        <v>0.64</v>
      </c>
    </row>
    <row r="602" spans="1:28">
      <c r="A602" t="s">
        <v>4941</v>
      </c>
      <c r="B602" t="s">
        <v>4942</v>
      </c>
      <c r="C602" t="s">
        <v>4943</v>
      </c>
      <c r="D602" t="s">
        <v>7847</v>
      </c>
      <c r="E602" t="s">
        <v>7839</v>
      </c>
      <c r="F602" t="s">
        <v>7840</v>
      </c>
      <c r="G602" t="s">
        <v>7960</v>
      </c>
      <c r="H602" t="s">
        <v>9</v>
      </c>
      <c r="I602">
        <v>408.354</v>
      </c>
      <c r="J602">
        <v>99.908</v>
      </c>
      <c r="K602">
        <v>0.25</v>
      </c>
      <c r="M602" t="s">
        <v>7969</v>
      </c>
      <c r="N602">
        <v>259.839</v>
      </c>
      <c r="V602" t="s">
        <v>7847</v>
      </c>
      <c r="W602" t="s">
        <v>7839</v>
      </c>
      <c r="X602" t="s">
        <v>7840</v>
      </c>
      <c r="Y602">
        <v>408.354</v>
      </c>
      <c r="Z602" t="s">
        <v>7960</v>
      </c>
      <c r="AA602">
        <v>99.908</v>
      </c>
      <c r="AB602">
        <v>0.25</v>
      </c>
    </row>
    <row r="603" spans="1:28">
      <c r="A603" t="s">
        <v>2107</v>
      </c>
      <c r="B603" t="s">
        <v>1117</v>
      </c>
      <c r="C603" t="s">
        <v>2108</v>
      </c>
      <c r="D603" t="s">
        <v>7856</v>
      </c>
      <c r="E603" t="s">
        <v>7839</v>
      </c>
      <c r="F603" t="s">
        <v>7840</v>
      </c>
      <c r="G603" t="s">
        <v>8085</v>
      </c>
      <c r="H603" t="s">
        <v>9</v>
      </c>
      <c r="I603">
        <v>1445.573</v>
      </c>
      <c r="J603">
        <v>20.487</v>
      </c>
      <c r="K603">
        <v>0.55</v>
      </c>
      <c r="M603" t="s">
        <v>7933</v>
      </c>
      <c r="N603">
        <v>9.977</v>
      </c>
      <c r="V603" t="s">
        <v>7856</v>
      </c>
      <c r="W603" t="s">
        <v>7839</v>
      </c>
      <c r="X603" t="s">
        <v>7840</v>
      </c>
      <c r="Y603">
        <v>1445.573</v>
      </c>
      <c r="Z603" t="s">
        <v>8085</v>
      </c>
      <c r="AA603">
        <v>20.487</v>
      </c>
      <c r="AB603">
        <v>0.55</v>
      </c>
    </row>
    <row r="604" spans="1:28">
      <c r="A604" t="s">
        <v>2485</v>
      </c>
      <c r="B604" t="s">
        <v>2486</v>
      </c>
      <c r="C604" t="s">
        <v>2487</v>
      </c>
      <c r="D604" t="s">
        <v>7855</v>
      </c>
      <c r="E604" t="s">
        <v>7839</v>
      </c>
      <c r="F604" t="s">
        <v>7853</v>
      </c>
      <c r="G604" t="s">
        <v>7852</v>
      </c>
      <c r="H604" t="s">
        <v>9</v>
      </c>
      <c r="I604">
        <v>1826.555</v>
      </c>
      <c r="J604">
        <v>37.192</v>
      </c>
      <c r="K604">
        <v>0.15</v>
      </c>
      <c r="M604" t="s">
        <v>8048</v>
      </c>
      <c r="N604">
        <v>176.502</v>
      </c>
      <c r="V604" t="s">
        <v>7855</v>
      </c>
      <c r="W604" t="s">
        <v>7839</v>
      </c>
      <c r="X604" t="s">
        <v>7853</v>
      </c>
      <c r="Y604">
        <v>1826.555</v>
      </c>
      <c r="Z604" t="s">
        <v>7852</v>
      </c>
      <c r="AA604">
        <v>37.192</v>
      </c>
      <c r="AB604">
        <v>0.15</v>
      </c>
    </row>
    <row r="605" spans="1:28">
      <c r="A605" t="s">
        <v>4256</v>
      </c>
      <c r="B605" t="s">
        <v>4257</v>
      </c>
      <c r="C605" t="s">
        <v>4258</v>
      </c>
      <c r="D605" t="s">
        <v>7850</v>
      </c>
      <c r="E605" t="s">
        <v>7839</v>
      </c>
      <c r="F605" t="s">
        <v>7888</v>
      </c>
      <c r="G605" t="s">
        <v>7967</v>
      </c>
      <c r="H605" t="s">
        <v>9</v>
      </c>
      <c r="I605">
        <v>1013.467</v>
      </c>
      <c r="J605">
        <v>2.101</v>
      </c>
      <c r="K605">
        <v>0.1</v>
      </c>
      <c r="M605" t="s">
        <v>7988</v>
      </c>
      <c r="N605">
        <v>15.185</v>
      </c>
      <c r="V605" t="s">
        <v>7850</v>
      </c>
      <c r="W605" t="s">
        <v>7839</v>
      </c>
      <c r="X605" t="s">
        <v>7888</v>
      </c>
      <c r="Y605">
        <v>1013.467</v>
      </c>
      <c r="Z605" t="s">
        <v>7967</v>
      </c>
      <c r="AA605">
        <v>2.101</v>
      </c>
      <c r="AB605">
        <v>0.1</v>
      </c>
    </row>
    <row r="606" spans="1:28">
      <c r="A606" t="s">
        <v>2140</v>
      </c>
      <c r="B606" t="s">
        <v>2141</v>
      </c>
      <c r="C606" t="s">
        <v>2142</v>
      </c>
      <c r="D606" t="s">
        <v>7864</v>
      </c>
      <c r="E606" t="s">
        <v>7839</v>
      </c>
      <c r="F606" t="s">
        <v>7840</v>
      </c>
      <c r="G606" t="s">
        <v>7905</v>
      </c>
      <c r="H606" t="s">
        <v>9</v>
      </c>
      <c r="I606">
        <v>1378.689</v>
      </c>
      <c r="J606">
        <v>8.683</v>
      </c>
      <c r="K606">
        <v>0.2</v>
      </c>
      <c r="M606" t="s">
        <v>7978</v>
      </c>
      <c r="N606">
        <v>3457.469</v>
      </c>
      <c r="V606" t="s">
        <v>7864</v>
      </c>
      <c r="W606" t="s">
        <v>7839</v>
      </c>
      <c r="X606" t="s">
        <v>7840</v>
      </c>
      <c r="Y606">
        <v>1378.689</v>
      </c>
      <c r="Z606" t="s">
        <v>7905</v>
      </c>
      <c r="AA606">
        <v>8.683</v>
      </c>
      <c r="AB606">
        <v>0.2</v>
      </c>
    </row>
    <row r="607" spans="1:28">
      <c r="A607" t="s">
        <v>5115</v>
      </c>
      <c r="B607" t="s">
        <v>5116</v>
      </c>
      <c r="C607" t="s">
        <v>5117</v>
      </c>
      <c r="D607" t="s">
        <v>7847</v>
      </c>
      <c r="E607" t="s">
        <v>7839</v>
      </c>
      <c r="F607" t="s">
        <v>7840</v>
      </c>
      <c r="G607" t="s">
        <v>7948</v>
      </c>
      <c r="H607" t="s">
        <v>9</v>
      </c>
      <c r="I607">
        <v>60.565</v>
      </c>
      <c r="J607">
        <v>99.157</v>
      </c>
      <c r="K607">
        <v>0.7</v>
      </c>
      <c r="M607" t="s">
        <v>7960</v>
      </c>
      <c r="N607">
        <v>408.354</v>
      </c>
      <c r="V607" t="s">
        <v>7847</v>
      </c>
      <c r="W607" t="s">
        <v>7839</v>
      </c>
      <c r="X607" t="s">
        <v>7840</v>
      </c>
      <c r="Y607">
        <v>60.565</v>
      </c>
      <c r="Z607" t="s">
        <v>7948</v>
      </c>
      <c r="AA607">
        <v>99.157</v>
      </c>
      <c r="AB607">
        <v>0.7</v>
      </c>
    </row>
    <row r="608" spans="1:28">
      <c r="A608" t="s">
        <v>4846</v>
      </c>
      <c r="B608" t="s">
        <v>542</v>
      </c>
      <c r="C608" t="s">
        <v>4847</v>
      </c>
      <c r="D608" t="s">
        <v>7850</v>
      </c>
      <c r="E608" t="s">
        <v>7839</v>
      </c>
      <c r="F608" t="s">
        <v>7888</v>
      </c>
      <c r="G608" t="s">
        <v>7854</v>
      </c>
      <c r="H608" t="s">
        <v>9</v>
      </c>
      <c r="I608">
        <v>637.516</v>
      </c>
      <c r="J608">
        <v>8.174</v>
      </c>
      <c r="K608">
        <v>0.1</v>
      </c>
      <c r="M608" t="s">
        <v>8085</v>
      </c>
      <c r="N608">
        <v>1445.573</v>
      </c>
      <c r="V608" t="s">
        <v>7850</v>
      </c>
      <c r="W608" t="s">
        <v>7839</v>
      </c>
      <c r="X608" t="s">
        <v>7888</v>
      </c>
      <c r="Y608">
        <v>637.516</v>
      </c>
      <c r="Z608" t="s">
        <v>7854</v>
      </c>
      <c r="AA608">
        <v>8.174</v>
      </c>
      <c r="AB608">
        <v>0.1</v>
      </c>
    </row>
    <row r="609" spans="1:28">
      <c r="A609" t="s">
        <v>3685</v>
      </c>
      <c r="B609" t="s">
        <v>3686</v>
      </c>
      <c r="C609" t="s">
        <v>3687</v>
      </c>
      <c r="D609" t="s">
        <v>7847</v>
      </c>
      <c r="E609" t="s">
        <v>7839</v>
      </c>
      <c r="F609" t="s">
        <v>7840</v>
      </c>
      <c r="G609" t="s">
        <v>8034</v>
      </c>
      <c r="H609" t="s">
        <v>9</v>
      </c>
      <c r="I609">
        <v>7423.387</v>
      </c>
      <c r="J609">
        <v>21.706</v>
      </c>
      <c r="K609">
        <v>0.4</v>
      </c>
      <c r="M609" t="s">
        <v>7852</v>
      </c>
      <c r="N609">
        <v>1826.555</v>
      </c>
      <c r="V609" t="s">
        <v>7847</v>
      </c>
      <c r="W609" t="s">
        <v>7839</v>
      </c>
      <c r="X609" t="s">
        <v>7840</v>
      </c>
      <c r="Y609">
        <v>7423.387</v>
      </c>
      <c r="Z609" t="s">
        <v>8034</v>
      </c>
      <c r="AA609">
        <v>21.706</v>
      </c>
      <c r="AB609">
        <v>0.4</v>
      </c>
    </row>
    <row r="610" spans="1:28">
      <c r="A610" t="s">
        <v>5234</v>
      </c>
      <c r="B610" t="s">
        <v>5235</v>
      </c>
      <c r="C610" t="s">
        <v>5236</v>
      </c>
      <c r="D610" t="s">
        <v>7847</v>
      </c>
      <c r="E610" t="s">
        <v>7839</v>
      </c>
      <c r="F610" t="s">
        <v>7853</v>
      </c>
      <c r="G610" t="s">
        <v>8123</v>
      </c>
      <c r="H610" t="s">
        <v>9</v>
      </c>
      <c r="I610">
        <v>2713.598</v>
      </c>
      <c r="J610">
        <v>17.829</v>
      </c>
      <c r="K610">
        <v>0.3</v>
      </c>
      <c r="M610" t="s">
        <v>7967</v>
      </c>
      <c r="N610">
        <v>1013.467</v>
      </c>
      <c r="V610" t="s">
        <v>7847</v>
      </c>
      <c r="W610" t="s">
        <v>7839</v>
      </c>
      <c r="X610" t="s">
        <v>7853</v>
      </c>
      <c r="Y610">
        <v>2713.598</v>
      </c>
      <c r="Z610" t="s">
        <v>8123</v>
      </c>
      <c r="AA610">
        <v>17.829</v>
      </c>
      <c r="AB610">
        <v>0.3</v>
      </c>
    </row>
    <row r="611" spans="1:28">
      <c r="A611" t="s">
        <v>2122</v>
      </c>
      <c r="B611" t="s">
        <v>2123</v>
      </c>
      <c r="C611" t="s">
        <v>2124</v>
      </c>
      <c r="D611" t="s">
        <v>7864</v>
      </c>
      <c r="E611" t="s">
        <v>7839</v>
      </c>
      <c r="F611" t="s">
        <v>7840</v>
      </c>
      <c r="G611" t="s">
        <v>7933</v>
      </c>
      <c r="H611" t="s">
        <v>9</v>
      </c>
      <c r="I611">
        <v>10.047</v>
      </c>
      <c r="J611">
        <v>31.861</v>
      </c>
      <c r="K611">
        <v>0.2</v>
      </c>
      <c r="M611" t="s">
        <v>7905</v>
      </c>
      <c r="N611">
        <v>1378.689</v>
      </c>
      <c r="V611" t="s">
        <v>7864</v>
      </c>
      <c r="W611" t="s">
        <v>7839</v>
      </c>
      <c r="X611" t="s">
        <v>7840</v>
      </c>
      <c r="Y611">
        <v>10.047</v>
      </c>
      <c r="Z611" t="s">
        <v>7933</v>
      </c>
      <c r="AA611">
        <v>31.861</v>
      </c>
      <c r="AB611">
        <v>0.2</v>
      </c>
    </row>
    <row r="612" spans="1:28">
      <c r="A612" t="s">
        <v>3576</v>
      </c>
      <c r="B612" t="s">
        <v>3577</v>
      </c>
      <c r="C612" t="s">
        <v>3578</v>
      </c>
      <c r="D612" t="s">
        <v>7847</v>
      </c>
      <c r="E612" t="s">
        <v>7848</v>
      </c>
      <c r="F612" t="s">
        <v>7932</v>
      </c>
      <c r="G612" t="s">
        <v>7939</v>
      </c>
      <c r="H612" t="s">
        <v>9</v>
      </c>
      <c r="I612">
        <v>1706.065</v>
      </c>
      <c r="J612">
        <v>9.431</v>
      </c>
      <c r="K612">
        <v>0.12</v>
      </c>
      <c r="M612" t="s">
        <v>7948</v>
      </c>
      <c r="N612">
        <v>60.565</v>
      </c>
      <c r="V612" t="s">
        <v>7847</v>
      </c>
      <c r="W612" t="s">
        <v>7848</v>
      </c>
      <c r="X612" t="s">
        <v>7932</v>
      </c>
      <c r="Y612">
        <v>1706.065</v>
      </c>
      <c r="Z612" t="s">
        <v>7939</v>
      </c>
      <c r="AA612">
        <v>9.431</v>
      </c>
      <c r="AB612">
        <v>0.12</v>
      </c>
    </row>
    <row r="613" spans="1:28">
      <c r="A613" t="s">
        <v>5349</v>
      </c>
      <c r="B613" t="s">
        <v>1541</v>
      </c>
      <c r="C613" t="s">
        <v>5350</v>
      </c>
      <c r="D613" t="s">
        <v>7862</v>
      </c>
      <c r="E613" t="s">
        <v>7839</v>
      </c>
      <c r="F613" t="s">
        <v>7853</v>
      </c>
      <c r="G613" t="s">
        <v>7852</v>
      </c>
      <c r="H613" t="s">
        <v>9</v>
      </c>
      <c r="I613">
        <v>149.235</v>
      </c>
      <c r="J613">
        <v>8.591</v>
      </c>
      <c r="K613">
        <v>0.03</v>
      </c>
      <c r="M613" t="s">
        <v>7854</v>
      </c>
      <c r="N613">
        <v>637.516</v>
      </c>
      <c r="V613" t="s">
        <v>7862</v>
      </c>
      <c r="W613" t="s">
        <v>7839</v>
      </c>
      <c r="X613" t="s">
        <v>7853</v>
      </c>
      <c r="Y613">
        <v>149.235</v>
      </c>
      <c r="Z613" t="s">
        <v>7852</v>
      </c>
      <c r="AA613">
        <v>8.591</v>
      </c>
      <c r="AB613">
        <v>0.03</v>
      </c>
    </row>
    <row r="614" spans="1:28">
      <c r="A614" t="s">
        <v>5281</v>
      </c>
      <c r="B614" t="s">
        <v>5282</v>
      </c>
      <c r="C614" t="s">
        <v>5283</v>
      </c>
      <c r="D614" t="s">
        <v>7847</v>
      </c>
      <c r="E614" t="s">
        <v>7839</v>
      </c>
      <c r="F614" t="s">
        <v>7853</v>
      </c>
      <c r="G614" t="s">
        <v>7861</v>
      </c>
      <c r="H614" t="s">
        <v>9</v>
      </c>
      <c r="I614">
        <v>860.861</v>
      </c>
      <c r="J614">
        <v>7</v>
      </c>
      <c r="K614">
        <v>0.12</v>
      </c>
      <c r="M614" t="s">
        <v>8034</v>
      </c>
      <c r="N614">
        <v>7423.387</v>
      </c>
      <c r="V614" t="s">
        <v>7847</v>
      </c>
      <c r="W614" t="s">
        <v>7839</v>
      </c>
      <c r="X614" t="s">
        <v>7853</v>
      </c>
      <c r="Y614">
        <v>860.861</v>
      </c>
      <c r="Z614" t="s">
        <v>7861</v>
      </c>
      <c r="AA614">
        <v>7</v>
      </c>
      <c r="AB614">
        <v>0.12</v>
      </c>
    </row>
    <row r="615" spans="1:28">
      <c r="A615" t="s">
        <v>4907</v>
      </c>
      <c r="B615" t="s">
        <v>4908</v>
      </c>
      <c r="C615" t="s">
        <v>4909</v>
      </c>
      <c r="D615" t="s">
        <v>7847</v>
      </c>
      <c r="E615" t="s">
        <v>7839</v>
      </c>
      <c r="F615" t="s">
        <v>7840</v>
      </c>
      <c r="G615" t="s">
        <v>8120</v>
      </c>
      <c r="H615" t="s">
        <v>9</v>
      </c>
      <c r="I615">
        <v>101.317</v>
      </c>
      <c r="J615">
        <v>6.04</v>
      </c>
      <c r="K615">
        <v>0.03</v>
      </c>
      <c r="M615" t="s">
        <v>8123</v>
      </c>
      <c r="N615">
        <v>2713.598</v>
      </c>
      <c r="V615" t="s">
        <v>7847</v>
      </c>
      <c r="W615" t="s">
        <v>7839</v>
      </c>
      <c r="X615" t="s">
        <v>7840</v>
      </c>
      <c r="Y615">
        <v>101.317</v>
      </c>
      <c r="Z615" t="s">
        <v>8120</v>
      </c>
      <c r="AA615">
        <v>6.04</v>
      </c>
      <c r="AB615">
        <v>0.03</v>
      </c>
    </row>
    <row r="616" spans="1:28">
      <c r="A616" t="s">
        <v>2306</v>
      </c>
      <c r="B616" t="s">
        <v>2307</v>
      </c>
      <c r="C616" t="s">
        <v>2308</v>
      </c>
      <c r="D616" t="s">
        <v>7855</v>
      </c>
      <c r="E616" t="s">
        <v>7839</v>
      </c>
      <c r="F616" t="s">
        <v>7853</v>
      </c>
      <c r="G616" t="s">
        <v>7938</v>
      </c>
      <c r="H616" t="s">
        <v>9</v>
      </c>
      <c r="I616">
        <v>954.794</v>
      </c>
      <c r="J616">
        <v>63.894</v>
      </c>
      <c r="K616">
        <v>0.18</v>
      </c>
      <c r="M616" t="s">
        <v>7933</v>
      </c>
      <c r="N616">
        <v>10.047</v>
      </c>
      <c r="V616" t="s">
        <v>7855</v>
      </c>
      <c r="W616" t="s">
        <v>7839</v>
      </c>
      <c r="X616" t="s">
        <v>7853</v>
      </c>
      <c r="Y616">
        <v>954.794</v>
      </c>
      <c r="Z616" t="s">
        <v>7938</v>
      </c>
      <c r="AA616">
        <v>63.894</v>
      </c>
      <c r="AB616">
        <v>0.18</v>
      </c>
    </row>
    <row r="617" spans="1:28">
      <c r="A617" t="s">
        <v>4259</v>
      </c>
      <c r="B617" t="s">
        <v>4260</v>
      </c>
      <c r="C617" t="s">
        <v>4261</v>
      </c>
      <c r="D617" t="s">
        <v>7864</v>
      </c>
      <c r="E617" t="s">
        <v>7839</v>
      </c>
      <c r="F617" t="s">
        <v>7840</v>
      </c>
      <c r="G617" t="s">
        <v>8007</v>
      </c>
      <c r="H617" t="s">
        <v>9</v>
      </c>
      <c r="I617">
        <v>108.997</v>
      </c>
      <c r="J617">
        <v>16.577</v>
      </c>
      <c r="K617">
        <v>0.24</v>
      </c>
      <c r="M617" t="s">
        <v>7939</v>
      </c>
      <c r="N617">
        <v>1706.065</v>
      </c>
      <c r="V617" t="s">
        <v>7864</v>
      </c>
      <c r="W617" t="s">
        <v>7839</v>
      </c>
      <c r="X617" t="s">
        <v>7840</v>
      </c>
      <c r="Y617">
        <v>108.997</v>
      </c>
      <c r="Z617" t="s">
        <v>8007</v>
      </c>
      <c r="AA617">
        <v>16.577</v>
      </c>
      <c r="AB617">
        <v>0.24</v>
      </c>
    </row>
    <row r="618" spans="1:28">
      <c r="A618" t="s">
        <v>3671</v>
      </c>
      <c r="B618" t="s">
        <v>3672</v>
      </c>
      <c r="C618" t="s">
        <v>3673</v>
      </c>
      <c r="D618" t="s">
        <v>7850</v>
      </c>
      <c r="E618" t="s">
        <v>7839</v>
      </c>
      <c r="F618" t="s">
        <v>7840</v>
      </c>
      <c r="G618" t="s">
        <v>7858</v>
      </c>
      <c r="H618" t="s">
        <v>9</v>
      </c>
      <c r="I618">
        <v>16.198</v>
      </c>
      <c r="J618">
        <v>8.029</v>
      </c>
      <c r="K618">
        <v>0.2</v>
      </c>
      <c r="M618" t="s">
        <v>7852</v>
      </c>
      <c r="N618">
        <v>149.235</v>
      </c>
      <c r="V618" t="s">
        <v>7850</v>
      </c>
      <c r="W618" t="s">
        <v>7839</v>
      </c>
      <c r="X618" t="s">
        <v>7840</v>
      </c>
      <c r="Y618">
        <v>16.198</v>
      </c>
      <c r="Z618" t="s">
        <v>7858</v>
      </c>
      <c r="AA618">
        <v>8.029</v>
      </c>
      <c r="AB618">
        <v>0.2</v>
      </c>
    </row>
    <row r="619" spans="1:28">
      <c r="A619" t="s">
        <v>3763</v>
      </c>
      <c r="B619" t="s">
        <v>3764</v>
      </c>
      <c r="C619" t="s">
        <v>3765</v>
      </c>
      <c r="D619" t="s">
        <v>7847</v>
      </c>
      <c r="E619" t="s">
        <v>7839</v>
      </c>
      <c r="F619" t="s">
        <v>7840</v>
      </c>
      <c r="G619" t="s">
        <v>8012</v>
      </c>
      <c r="H619" t="s">
        <v>9</v>
      </c>
      <c r="I619">
        <v>3441.713</v>
      </c>
      <c r="J619">
        <v>6.757</v>
      </c>
      <c r="K619">
        <v>0.2</v>
      </c>
      <c r="M619" t="s">
        <v>7861</v>
      </c>
      <c r="N619">
        <v>860.861</v>
      </c>
      <c r="V619" t="s">
        <v>7847</v>
      </c>
      <c r="W619" t="s">
        <v>7839</v>
      </c>
      <c r="X619" t="s">
        <v>7840</v>
      </c>
      <c r="Y619">
        <v>3441.713</v>
      </c>
      <c r="Z619" t="s">
        <v>8012</v>
      </c>
      <c r="AA619">
        <v>6.757</v>
      </c>
      <c r="AB619">
        <v>0.2</v>
      </c>
    </row>
    <row r="620" spans="1:28">
      <c r="A620" t="s">
        <v>3365</v>
      </c>
      <c r="B620" t="s">
        <v>3366</v>
      </c>
      <c r="C620" t="s">
        <v>3367</v>
      </c>
      <c r="D620" t="s">
        <v>7847</v>
      </c>
      <c r="E620" t="s">
        <v>7848</v>
      </c>
      <c r="F620" t="s">
        <v>7840</v>
      </c>
      <c r="G620" t="s">
        <v>7978</v>
      </c>
      <c r="H620" t="s">
        <v>9</v>
      </c>
      <c r="I620">
        <v>227.382</v>
      </c>
      <c r="J620">
        <v>1.148</v>
      </c>
      <c r="K620">
        <v>0.65</v>
      </c>
      <c r="M620" t="s">
        <v>8120</v>
      </c>
      <c r="N620">
        <v>101.317</v>
      </c>
      <c r="V620" t="s">
        <v>7847</v>
      </c>
      <c r="W620" t="s">
        <v>7848</v>
      </c>
      <c r="X620" t="s">
        <v>7840</v>
      </c>
      <c r="Y620">
        <v>227.382</v>
      </c>
      <c r="Z620" t="s">
        <v>7978</v>
      </c>
      <c r="AA620">
        <v>1.148</v>
      </c>
      <c r="AB620">
        <v>0.65</v>
      </c>
    </row>
    <row r="621" spans="1:28">
      <c r="A621" t="s">
        <v>4085</v>
      </c>
      <c r="B621" t="s">
        <v>4086</v>
      </c>
      <c r="C621" t="s">
        <v>4087</v>
      </c>
      <c r="D621" t="s">
        <v>7847</v>
      </c>
      <c r="E621" t="s">
        <v>7839</v>
      </c>
      <c r="F621" t="s">
        <v>7840</v>
      </c>
      <c r="G621" t="s">
        <v>7874</v>
      </c>
      <c r="H621" t="s">
        <v>9</v>
      </c>
      <c r="I621">
        <v>26.436</v>
      </c>
      <c r="J621">
        <v>99.827</v>
      </c>
      <c r="K621">
        <v>0.59</v>
      </c>
      <c r="M621" t="s">
        <v>7938</v>
      </c>
      <c r="N621">
        <v>954.794</v>
      </c>
      <c r="V621" t="s">
        <v>7847</v>
      </c>
      <c r="W621" t="s">
        <v>7839</v>
      </c>
      <c r="X621" t="s">
        <v>7840</v>
      </c>
      <c r="Y621">
        <v>26.436</v>
      </c>
      <c r="Z621" t="s">
        <v>7874</v>
      </c>
      <c r="AA621">
        <v>99.827</v>
      </c>
      <c r="AB621">
        <v>0.59</v>
      </c>
    </row>
    <row r="622" spans="1:28">
      <c r="A622" t="s">
        <v>3523</v>
      </c>
      <c r="B622" t="s">
        <v>3524</v>
      </c>
      <c r="C622" t="s">
        <v>3525</v>
      </c>
      <c r="D622" t="s">
        <v>7847</v>
      </c>
      <c r="E622" t="s">
        <v>7839</v>
      </c>
      <c r="F622" t="s">
        <v>7932</v>
      </c>
      <c r="G622" t="s">
        <v>8002</v>
      </c>
      <c r="H622" t="s">
        <v>9</v>
      </c>
      <c r="I622">
        <v>1307.406</v>
      </c>
      <c r="J622">
        <v>16.982</v>
      </c>
      <c r="K622">
        <v>0.2</v>
      </c>
      <c r="M622" t="s">
        <v>8007</v>
      </c>
      <c r="N622">
        <v>108.997</v>
      </c>
      <c r="V622" t="s">
        <v>7847</v>
      </c>
      <c r="W622" t="s">
        <v>7839</v>
      </c>
      <c r="X622" t="s">
        <v>7932</v>
      </c>
      <c r="Y622">
        <v>1307.406</v>
      </c>
      <c r="Z622" t="s">
        <v>8002</v>
      </c>
      <c r="AA622">
        <v>16.982</v>
      </c>
      <c r="AB622">
        <v>0.2</v>
      </c>
    </row>
    <row r="623" spans="1:28">
      <c r="A623" t="s">
        <v>4305</v>
      </c>
      <c r="B623" t="s">
        <v>4306</v>
      </c>
      <c r="C623" t="s">
        <v>4307</v>
      </c>
      <c r="D623" t="s">
        <v>7850</v>
      </c>
      <c r="E623" t="s">
        <v>7839</v>
      </c>
      <c r="F623" t="s">
        <v>7840</v>
      </c>
      <c r="G623" t="s">
        <v>7988</v>
      </c>
      <c r="H623" t="s">
        <v>9</v>
      </c>
      <c r="I623">
        <v>565.28</v>
      </c>
      <c r="J623">
        <v>12.233</v>
      </c>
      <c r="K623">
        <v>0.35</v>
      </c>
      <c r="M623" t="s">
        <v>7858</v>
      </c>
      <c r="N623">
        <v>16.198</v>
      </c>
      <c r="V623" t="s">
        <v>7850</v>
      </c>
      <c r="W623" t="s">
        <v>7839</v>
      </c>
      <c r="X623" t="s">
        <v>7840</v>
      </c>
      <c r="Y623">
        <v>565.28</v>
      </c>
      <c r="Z623" t="s">
        <v>7988</v>
      </c>
      <c r="AA623">
        <v>12.233</v>
      </c>
      <c r="AB623">
        <v>0.35</v>
      </c>
    </row>
    <row r="624" spans="1:28">
      <c r="A624" t="s">
        <v>1673</v>
      </c>
      <c r="B624" t="s">
        <v>1674</v>
      </c>
      <c r="C624" t="s">
        <v>1675</v>
      </c>
      <c r="D624" t="s">
        <v>7855</v>
      </c>
      <c r="E624" t="s">
        <v>7839</v>
      </c>
      <c r="F624" t="s">
        <v>7853</v>
      </c>
      <c r="G624" t="s">
        <v>7854</v>
      </c>
      <c r="H624" t="s">
        <v>9</v>
      </c>
      <c r="I624">
        <v>37.755</v>
      </c>
      <c r="J624">
        <v>100.001</v>
      </c>
      <c r="K624">
        <v>0.1</v>
      </c>
      <c r="M624" t="s">
        <v>8012</v>
      </c>
      <c r="N624">
        <v>3441.713</v>
      </c>
      <c r="V624" t="s">
        <v>7855</v>
      </c>
      <c r="W624" t="s">
        <v>7839</v>
      </c>
      <c r="X624" t="s">
        <v>7853</v>
      </c>
      <c r="Y624">
        <v>37.755</v>
      </c>
      <c r="Z624" t="s">
        <v>7854</v>
      </c>
      <c r="AA624">
        <v>100.001</v>
      </c>
      <c r="AB624">
        <v>0.1</v>
      </c>
    </row>
    <row r="625" spans="1:28">
      <c r="A625" t="s">
        <v>4388</v>
      </c>
      <c r="B625" t="s">
        <v>4389</v>
      </c>
      <c r="C625" t="s">
        <v>4390</v>
      </c>
      <c r="D625" t="s">
        <v>7855</v>
      </c>
      <c r="E625" t="s">
        <v>7839</v>
      </c>
      <c r="F625" t="s">
        <v>7840</v>
      </c>
      <c r="G625" t="s">
        <v>8102</v>
      </c>
      <c r="H625" t="s">
        <v>9</v>
      </c>
      <c r="I625">
        <v>3.428</v>
      </c>
      <c r="J625">
        <v>89.24</v>
      </c>
      <c r="K625">
        <v>0.25</v>
      </c>
      <c r="M625" t="s">
        <v>7978</v>
      </c>
      <c r="N625">
        <v>227.382</v>
      </c>
      <c r="V625" t="s">
        <v>7855</v>
      </c>
      <c r="W625" t="s">
        <v>7839</v>
      </c>
      <c r="X625" t="s">
        <v>7840</v>
      </c>
      <c r="Y625">
        <v>3.428</v>
      </c>
      <c r="Z625" t="s">
        <v>8102</v>
      </c>
      <c r="AA625">
        <v>89.24</v>
      </c>
      <c r="AB625">
        <v>0.25</v>
      </c>
    </row>
    <row r="626" spans="1:28">
      <c r="A626" t="s">
        <v>2558</v>
      </c>
      <c r="B626" t="s">
        <v>2559</v>
      </c>
      <c r="C626" t="s">
        <v>2560</v>
      </c>
      <c r="D626" t="s">
        <v>7862</v>
      </c>
      <c r="E626" t="s">
        <v>7839</v>
      </c>
      <c r="F626" t="s">
        <v>7888</v>
      </c>
      <c r="G626" t="s">
        <v>7854</v>
      </c>
      <c r="H626" t="s">
        <v>9</v>
      </c>
      <c r="I626">
        <v>24.186</v>
      </c>
      <c r="J626">
        <v>99.998</v>
      </c>
      <c r="K626">
        <v>0.1</v>
      </c>
      <c r="M626" t="s">
        <v>7874</v>
      </c>
      <c r="N626">
        <v>26.436</v>
      </c>
      <c r="V626" t="s">
        <v>7862</v>
      </c>
      <c r="W626" t="s">
        <v>7839</v>
      </c>
      <c r="X626" t="s">
        <v>7888</v>
      </c>
      <c r="Y626">
        <v>24.186</v>
      </c>
      <c r="Z626" t="s">
        <v>7854</v>
      </c>
      <c r="AA626">
        <v>99.998</v>
      </c>
      <c r="AB626">
        <v>0.1</v>
      </c>
    </row>
    <row r="627" spans="1:28">
      <c r="A627" t="s">
        <v>2452</v>
      </c>
      <c r="B627" t="s">
        <v>2453</v>
      </c>
      <c r="C627" t="s">
        <v>2454</v>
      </c>
      <c r="D627" t="s">
        <v>7855</v>
      </c>
      <c r="E627" t="s">
        <v>7839</v>
      </c>
      <c r="F627" t="s">
        <v>7888</v>
      </c>
      <c r="G627" t="s">
        <v>7854</v>
      </c>
      <c r="H627" t="s">
        <v>9</v>
      </c>
      <c r="I627">
        <v>84.739</v>
      </c>
      <c r="J627">
        <v>100.003</v>
      </c>
      <c r="K627">
        <v>0.1</v>
      </c>
      <c r="M627" t="s">
        <v>8002</v>
      </c>
      <c r="N627">
        <v>1307.406</v>
      </c>
      <c r="V627" t="s">
        <v>7855</v>
      </c>
      <c r="W627" t="s">
        <v>7839</v>
      </c>
      <c r="X627" t="s">
        <v>7888</v>
      </c>
      <c r="Y627">
        <v>84.739</v>
      </c>
      <c r="Z627" t="s">
        <v>7854</v>
      </c>
      <c r="AA627">
        <v>100.003</v>
      </c>
      <c r="AB627">
        <v>0.1</v>
      </c>
    </row>
    <row r="628" spans="1:28">
      <c r="A628" t="s">
        <v>2679</v>
      </c>
      <c r="B628" t="s">
        <v>2680</v>
      </c>
      <c r="C628" t="s">
        <v>2681</v>
      </c>
      <c r="D628" t="s">
        <v>7855</v>
      </c>
      <c r="E628" t="s">
        <v>7839</v>
      </c>
      <c r="F628" t="s">
        <v>7935</v>
      </c>
      <c r="G628" t="s">
        <v>8006</v>
      </c>
      <c r="H628" t="s">
        <v>9</v>
      </c>
      <c r="I628">
        <v>4.996</v>
      </c>
      <c r="J628">
        <v>99.834</v>
      </c>
      <c r="K628">
        <v>0.1</v>
      </c>
      <c r="M628" t="s">
        <v>7988</v>
      </c>
      <c r="N628">
        <v>565.28</v>
      </c>
      <c r="V628" t="s">
        <v>7855</v>
      </c>
      <c r="W628" t="s">
        <v>7839</v>
      </c>
      <c r="X628" t="s">
        <v>7935</v>
      </c>
      <c r="Y628">
        <v>4.996</v>
      </c>
      <c r="Z628" t="s">
        <v>8006</v>
      </c>
      <c r="AA628">
        <v>99.834</v>
      </c>
      <c r="AB628">
        <v>0.1</v>
      </c>
    </row>
    <row r="629" spans="1:28">
      <c r="A629" t="s">
        <v>5202</v>
      </c>
      <c r="B629" t="s">
        <v>5203</v>
      </c>
      <c r="C629" t="s">
        <v>5204</v>
      </c>
      <c r="D629" t="s">
        <v>7862</v>
      </c>
      <c r="E629" t="s">
        <v>7839</v>
      </c>
      <c r="F629" t="s">
        <v>7840</v>
      </c>
      <c r="G629" t="s">
        <v>7957</v>
      </c>
      <c r="H629" t="s">
        <v>9</v>
      </c>
      <c r="I629">
        <v>217.489</v>
      </c>
      <c r="J629">
        <v>207.277</v>
      </c>
      <c r="K629">
        <v>0.59</v>
      </c>
      <c r="M629" t="s">
        <v>7854</v>
      </c>
      <c r="N629">
        <v>37.755</v>
      </c>
      <c r="V629" t="s">
        <v>7862</v>
      </c>
      <c r="W629" t="s">
        <v>7839</v>
      </c>
      <c r="X629" t="s">
        <v>7840</v>
      </c>
      <c r="Y629">
        <v>217.489</v>
      </c>
      <c r="Z629" t="s">
        <v>7957</v>
      </c>
      <c r="AA629">
        <v>207.277</v>
      </c>
      <c r="AB629">
        <v>0.59</v>
      </c>
    </row>
    <row r="630" spans="1:28">
      <c r="A630" t="s">
        <v>2685</v>
      </c>
      <c r="B630" t="s">
        <v>2686</v>
      </c>
      <c r="C630" t="s">
        <v>2687</v>
      </c>
      <c r="D630" t="s">
        <v>7847</v>
      </c>
      <c r="E630" t="s">
        <v>7839</v>
      </c>
      <c r="F630" t="s">
        <v>7840</v>
      </c>
      <c r="G630" t="s">
        <v>7892</v>
      </c>
      <c r="H630" t="s">
        <v>9</v>
      </c>
      <c r="I630">
        <v>450.508</v>
      </c>
      <c r="J630">
        <v>100.467</v>
      </c>
      <c r="K630">
        <v>0.5</v>
      </c>
      <c r="M630" t="s">
        <v>8102</v>
      </c>
      <c r="N630">
        <v>3.428</v>
      </c>
      <c r="V630" t="s">
        <v>7847</v>
      </c>
      <c r="W630" t="s">
        <v>7839</v>
      </c>
      <c r="X630" t="s">
        <v>7840</v>
      </c>
      <c r="Y630">
        <v>450.508</v>
      </c>
      <c r="Z630" t="s">
        <v>7892</v>
      </c>
      <c r="AA630">
        <v>100.467</v>
      </c>
      <c r="AB630">
        <v>0.5</v>
      </c>
    </row>
    <row r="631" spans="1:28">
      <c r="A631" t="s">
        <v>3704</v>
      </c>
      <c r="B631" t="s">
        <v>3705</v>
      </c>
      <c r="C631" t="s">
        <v>3706</v>
      </c>
      <c r="D631" t="s">
        <v>7847</v>
      </c>
      <c r="E631" t="s">
        <v>7839</v>
      </c>
      <c r="F631" t="s">
        <v>7935</v>
      </c>
      <c r="G631" t="s">
        <v>7877</v>
      </c>
      <c r="H631" t="s">
        <v>9</v>
      </c>
      <c r="I631">
        <v>118.09</v>
      </c>
      <c r="J631">
        <v>18.807</v>
      </c>
      <c r="K631">
        <v>0.25</v>
      </c>
      <c r="M631" t="s">
        <v>7854</v>
      </c>
      <c r="N631">
        <v>24.186</v>
      </c>
      <c r="V631" t="s">
        <v>7847</v>
      </c>
      <c r="W631" t="s">
        <v>7839</v>
      </c>
      <c r="X631" t="s">
        <v>7935</v>
      </c>
      <c r="Y631">
        <v>118.09</v>
      </c>
      <c r="Z631" t="s">
        <v>7877</v>
      </c>
      <c r="AA631">
        <v>18.807</v>
      </c>
      <c r="AB631">
        <v>0.25</v>
      </c>
    </row>
    <row r="632" spans="1:28">
      <c r="A632" t="s">
        <v>2712</v>
      </c>
      <c r="B632" t="s">
        <v>2713</v>
      </c>
      <c r="C632" t="s">
        <v>2714</v>
      </c>
      <c r="D632" t="s">
        <v>7847</v>
      </c>
      <c r="E632" t="s">
        <v>7839</v>
      </c>
      <c r="F632" t="s">
        <v>7932</v>
      </c>
      <c r="G632" t="s">
        <v>7988</v>
      </c>
      <c r="H632" t="s">
        <v>9</v>
      </c>
      <c r="I632">
        <v>183.721</v>
      </c>
      <c r="J632">
        <v>6.584</v>
      </c>
      <c r="K632">
        <v>0.1</v>
      </c>
      <c r="M632" t="s">
        <v>7854</v>
      </c>
      <c r="N632">
        <v>84.739</v>
      </c>
      <c r="V632" t="s">
        <v>7847</v>
      </c>
      <c r="W632" t="s">
        <v>7839</v>
      </c>
      <c r="X632" t="s">
        <v>7932</v>
      </c>
      <c r="Y632">
        <v>183.721</v>
      </c>
      <c r="Z632" t="s">
        <v>7988</v>
      </c>
      <c r="AA632">
        <v>6.584</v>
      </c>
      <c r="AB632">
        <v>0.1</v>
      </c>
    </row>
    <row r="633" spans="1:28">
      <c r="A633" t="s">
        <v>4191</v>
      </c>
      <c r="B633" t="s">
        <v>4192</v>
      </c>
      <c r="C633" t="s">
        <v>4193</v>
      </c>
      <c r="D633" t="s">
        <v>7847</v>
      </c>
      <c r="E633" t="s">
        <v>7839</v>
      </c>
      <c r="F633" t="s">
        <v>7935</v>
      </c>
      <c r="G633" t="s">
        <v>7970</v>
      </c>
      <c r="H633" t="s">
        <v>9</v>
      </c>
      <c r="I633">
        <v>392.954</v>
      </c>
      <c r="J633">
        <v>27.523</v>
      </c>
      <c r="K633">
        <v>0.2</v>
      </c>
      <c r="M633" t="s">
        <v>8006</v>
      </c>
      <c r="N633">
        <v>4.996</v>
      </c>
      <c r="V633" t="s">
        <v>7847</v>
      </c>
      <c r="W633" t="s">
        <v>7839</v>
      </c>
      <c r="X633" t="s">
        <v>7935</v>
      </c>
      <c r="Y633">
        <v>392.954</v>
      </c>
      <c r="Z633" t="s">
        <v>7970</v>
      </c>
      <c r="AA633">
        <v>27.523</v>
      </c>
      <c r="AB633">
        <v>0.2</v>
      </c>
    </row>
    <row r="634" spans="1:28">
      <c r="A634" t="s">
        <v>3597</v>
      </c>
      <c r="B634" t="s">
        <v>3598</v>
      </c>
      <c r="C634" t="s">
        <v>3599</v>
      </c>
      <c r="D634" t="s">
        <v>7850</v>
      </c>
      <c r="E634" t="s">
        <v>7839</v>
      </c>
      <c r="F634" t="s">
        <v>7932</v>
      </c>
      <c r="G634" t="s">
        <v>7852</v>
      </c>
      <c r="H634" t="s">
        <v>9</v>
      </c>
      <c r="I634">
        <v>2712.843</v>
      </c>
      <c r="J634">
        <v>10.017</v>
      </c>
      <c r="K634">
        <v>0.15</v>
      </c>
      <c r="M634" t="s">
        <v>7957</v>
      </c>
      <c r="N634">
        <v>217.489</v>
      </c>
      <c r="V634" t="s">
        <v>7850</v>
      </c>
      <c r="W634" t="s">
        <v>7839</v>
      </c>
      <c r="X634" t="s">
        <v>7932</v>
      </c>
      <c r="Y634">
        <v>2712.843</v>
      </c>
      <c r="Z634" t="s">
        <v>7852</v>
      </c>
      <c r="AA634">
        <v>10.017</v>
      </c>
      <c r="AB634">
        <v>0.15</v>
      </c>
    </row>
    <row r="635" spans="1:28">
      <c r="A635" t="s">
        <v>5322</v>
      </c>
      <c r="B635" t="s">
        <v>3941</v>
      </c>
      <c r="C635" t="s">
        <v>4249</v>
      </c>
      <c r="D635" t="s">
        <v>7844</v>
      </c>
      <c r="E635" t="s">
        <v>7839</v>
      </c>
      <c r="F635" t="s">
        <v>7853</v>
      </c>
      <c r="G635" t="s">
        <v>7854</v>
      </c>
      <c r="H635" t="s">
        <v>9</v>
      </c>
      <c r="I635">
        <v>574.281</v>
      </c>
      <c r="J635">
        <v>5.219</v>
      </c>
      <c r="K635">
        <v>0.18</v>
      </c>
      <c r="M635" t="s">
        <v>7892</v>
      </c>
      <c r="N635">
        <v>450.508</v>
      </c>
      <c r="V635" t="s">
        <v>7844</v>
      </c>
      <c r="W635" t="s">
        <v>7839</v>
      </c>
      <c r="X635" t="s">
        <v>7853</v>
      </c>
      <c r="Y635">
        <v>574.281</v>
      </c>
      <c r="Z635" t="s">
        <v>7854</v>
      </c>
      <c r="AA635">
        <v>5.219</v>
      </c>
      <c r="AB635">
        <v>0.18</v>
      </c>
    </row>
    <row r="636" spans="1:28">
      <c r="A636" t="s">
        <v>4271</v>
      </c>
      <c r="B636" t="s">
        <v>4272</v>
      </c>
      <c r="C636" t="s">
        <v>4273</v>
      </c>
      <c r="D636" t="s">
        <v>7850</v>
      </c>
      <c r="E636" t="s">
        <v>7839</v>
      </c>
      <c r="F636" t="s">
        <v>7840</v>
      </c>
      <c r="G636" t="s">
        <v>7938</v>
      </c>
      <c r="H636" t="s">
        <v>9</v>
      </c>
      <c r="I636">
        <v>39.316</v>
      </c>
      <c r="J636">
        <v>8.293</v>
      </c>
      <c r="K636">
        <v>0.12</v>
      </c>
      <c r="M636" t="s">
        <v>7877</v>
      </c>
      <c r="N636">
        <v>118.09</v>
      </c>
      <c r="V636" t="s">
        <v>7850</v>
      </c>
      <c r="W636" t="s">
        <v>7839</v>
      </c>
      <c r="X636" t="s">
        <v>7840</v>
      </c>
      <c r="Y636">
        <v>39.316</v>
      </c>
      <c r="Z636" t="s">
        <v>7938</v>
      </c>
      <c r="AA636">
        <v>8.293</v>
      </c>
      <c r="AB636">
        <v>0.12</v>
      </c>
    </row>
    <row r="637" spans="1:28">
      <c r="A637" t="s">
        <v>3961</v>
      </c>
      <c r="B637" t="s">
        <v>3962</v>
      </c>
      <c r="C637" t="s">
        <v>3963</v>
      </c>
      <c r="D637" t="s">
        <v>7847</v>
      </c>
      <c r="E637" t="s">
        <v>7848</v>
      </c>
      <c r="F637" t="s">
        <v>7932</v>
      </c>
      <c r="G637" t="s">
        <v>7885</v>
      </c>
      <c r="H637" t="s">
        <v>9</v>
      </c>
      <c r="I637">
        <v>211.22</v>
      </c>
      <c r="J637">
        <v>12.955</v>
      </c>
      <c r="K637">
        <v>0.36</v>
      </c>
      <c r="M637" t="s">
        <v>7988</v>
      </c>
      <c r="N637">
        <v>183.721</v>
      </c>
      <c r="V637" t="s">
        <v>7847</v>
      </c>
      <c r="W637" t="s">
        <v>7848</v>
      </c>
      <c r="X637" t="s">
        <v>7932</v>
      </c>
      <c r="Y637">
        <v>211.22</v>
      </c>
      <c r="Z637" t="s">
        <v>7885</v>
      </c>
      <c r="AA637">
        <v>12.955</v>
      </c>
      <c r="AB637">
        <v>0.36</v>
      </c>
    </row>
    <row r="638" spans="1:28">
      <c r="A638" t="s">
        <v>2836</v>
      </c>
      <c r="B638" t="s">
        <v>2837</v>
      </c>
      <c r="C638" t="s">
        <v>2838</v>
      </c>
      <c r="D638" t="s">
        <v>7855</v>
      </c>
      <c r="E638" t="s">
        <v>7839</v>
      </c>
      <c r="F638" t="s">
        <v>7935</v>
      </c>
      <c r="G638" t="s">
        <v>7854</v>
      </c>
      <c r="H638" t="s">
        <v>9</v>
      </c>
      <c r="I638">
        <v>12766.948</v>
      </c>
      <c r="J638">
        <v>49.698</v>
      </c>
      <c r="K638">
        <v>0.03</v>
      </c>
      <c r="M638" t="s">
        <v>7970</v>
      </c>
      <c r="N638">
        <v>392.954</v>
      </c>
      <c r="V638" t="s">
        <v>7855</v>
      </c>
      <c r="W638" t="s">
        <v>7839</v>
      </c>
      <c r="X638" t="s">
        <v>7935</v>
      </c>
      <c r="Y638">
        <v>12766.948</v>
      </c>
      <c r="Z638" t="s">
        <v>7854</v>
      </c>
      <c r="AA638">
        <v>49.698</v>
      </c>
      <c r="AB638">
        <v>0.03</v>
      </c>
    </row>
    <row r="639" spans="1:28">
      <c r="A639" t="s">
        <v>4427</v>
      </c>
      <c r="B639" t="s">
        <v>4428</v>
      </c>
      <c r="C639" t="s">
        <v>4429</v>
      </c>
      <c r="D639" t="s">
        <v>7847</v>
      </c>
      <c r="E639" t="s">
        <v>7839</v>
      </c>
      <c r="F639" t="s">
        <v>7935</v>
      </c>
      <c r="G639" t="s">
        <v>7865</v>
      </c>
      <c r="H639" t="s">
        <v>9</v>
      </c>
      <c r="I639">
        <v>153.385</v>
      </c>
      <c r="J639">
        <v>23.542</v>
      </c>
      <c r="K639">
        <v>0.4</v>
      </c>
      <c r="M639" t="s">
        <v>7852</v>
      </c>
      <c r="N639">
        <v>2712.843</v>
      </c>
      <c r="V639" t="s">
        <v>7847</v>
      </c>
      <c r="W639" t="s">
        <v>7839</v>
      </c>
      <c r="X639" t="s">
        <v>7935</v>
      </c>
      <c r="Y639">
        <v>153.385</v>
      </c>
      <c r="Z639" t="s">
        <v>7865</v>
      </c>
      <c r="AA639">
        <v>23.542</v>
      </c>
      <c r="AB639">
        <v>0.4</v>
      </c>
    </row>
    <row r="640" spans="1:28">
      <c r="A640" t="s">
        <v>5487</v>
      </c>
      <c r="B640" t="s">
        <v>5488</v>
      </c>
      <c r="C640" t="s">
        <v>5489</v>
      </c>
      <c r="D640" t="s">
        <v>7847</v>
      </c>
      <c r="E640" t="s">
        <v>7848</v>
      </c>
      <c r="F640" t="s">
        <v>7840</v>
      </c>
      <c r="G640" t="s">
        <v>8075</v>
      </c>
      <c r="H640" t="s">
        <v>9</v>
      </c>
      <c r="I640">
        <v>4083.144</v>
      </c>
      <c r="J640">
        <v>55.785</v>
      </c>
      <c r="K640">
        <v>0.55</v>
      </c>
      <c r="M640" t="s">
        <v>7854</v>
      </c>
      <c r="N640">
        <v>574.281</v>
      </c>
      <c r="V640" t="s">
        <v>7847</v>
      </c>
      <c r="W640" t="s">
        <v>7848</v>
      </c>
      <c r="X640" t="s">
        <v>7840</v>
      </c>
      <c r="Y640">
        <v>4083.144</v>
      </c>
      <c r="Z640" t="s">
        <v>8075</v>
      </c>
      <c r="AA640">
        <v>55.785</v>
      </c>
      <c r="AB640">
        <v>0.55</v>
      </c>
    </row>
    <row r="641" spans="1:28">
      <c r="A641" t="s">
        <v>3988</v>
      </c>
      <c r="B641" t="s">
        <v>3989</v>
      </c>
      <c r="C641" t="s">
        <v>3990</v>
      </c>
      <c r="D641" t="s">
        <v>7847</v>
      </c>
      <c r="E641" t="s">
        <v>7839</v>
      </c>
      <c r="F641" t="s">
        <v>7840</v>
      </c>
      <c r="G641" t="s">
        <v>7845</v>
      </c>
      <c r="H641" t="s">
        <v>9</v>
      </c>
      <c r="I641">
        <v>81.573</v>
      </c>
      <c r="J641">
        <v>100</v>
      </c>
      <c r="K641">
        <v>0.1</v>
      </c>
      <c r="M641" t="s">
        <v>7938</v>
      </c>
      <c r="N641">
        <v>39.316</v>
      </c>
      <c r="V641" t="s">
        <v>7847</v>
      </c>
      <c r="W641" t="s">
        <v>7839</v>
      </c>
      <c r="X641" t="s">
        <v>7840</v>
      </c>
      <c r="Y641">
        <v>81.573</v>
      </c>
      <c r="Z641" t="s">
        <v>7845</v>
      </c>
      <c r="AA641">
        <v>100</v>
      </c>
      <c r="AB641">
        <v>0.1</v>
      </c>
    </row>
    <row r="642" spans="1:28">
      <c r="A642" t="s">
        <v>4602</v>
      </c>
      <c r="B642" t="s">
        <v>4603</v>
      </c>
      <c r="C642" t="s">
        <v>8126</v>
      </c>
      <c r="D642" t="s">
        <v>7862</v>
      </c>
      <c r="E642" t="s">
        <v>7839</v>
      </c>
      <c r="F642" t="s">
        <v>7932</v>
      </c>
      <c r="G642" t="s">
        <v>8092</v>
      </c>
      <c r="H642" t="s">
        <v>9</v>
      </c>
      <c r="I642">
        <v>6346.354</v>
      </c>
      <c r="J642">
        <v>99.997</v>
      </c>
      <c r="K642">
        <v>0.15</v>
      </c>
      <c r="M642" t="s">
        <v>7885</v>
      </c>
      <c r="N642">
        <v>211.22</v>
      </c>
      <c r="V642" t="s">
        <v>7862</v>
      </c>
      <c r="W642" t="s">
        <v>7839</v>
      </c>
      <c r="X642" t="s">
        <v>7932</v>
      </c>
      <c r="Y642">
        <v>6346.354</v>
      </c>
      <c r="Z642" t="s">
        <v>8092</v>
      </c>
      <c r="AA642">
        <v>99.997</v>
      </c>
      <c r="AB642">
        <v>0.15</v>
      </c>
    </row>
    <row r="643" spans="1:28">
      <c r="A643" t="s">
        <v>4713</v>
      </c>
      <c r="B643" t="s">
        <v>1541</v>
      </c>
      <c r="C643" t="s">
        <v>4714</v>
      </c>
      <c r="D643" t="s">
        <v>7862</v>
      </c>
      <c r="E643" t="s">
        <v>7839</v>
      </c>
      <c r="F643" t="s">
        <v>7932</v>
      </c>
      <c r="G643" t="s">
        <v>7997</v>
      </c>
      <c r="H643" t="s">
        <v>9</v>
      </c>
      <c r="I643">
        <v>10.516</v>
      </c>
      <c r="J643">
        <v>42.58</v>
      </c>
      <c r="K643">
        <v>0.05</v>
      </c>
      <c r="M643" t="s">
        <v>7854</v>
      </c>
      <c r="N643">
        <v>12766.948</v>
      </c>
      <c r="V643" t="s">
        <v>7862</v>
      </c>
      <c r="W643" t="s">
        <v>7839</v>
      </c>
      <c r="X643" t="s">
        <v>7932</v>
      </c>
      <c r="Y643">
        <v>10.516</v>
      </c>
      <c r="Z643" t="s">
        <v>7997</v>
      </c>
      <c r="AA643">
        <v>42.58</v>
      </c>
      <c r="AB643">
        <v>0.05</v>
      </c>
    </row>
    <row r="644" spans="1:28">
      <c r="A644" t="s">
        <v>2790</v>
      </c>
      <c r="B644" t="s">
        <v>2791</v>
      </c>
      <c r="C644" t="s">
        <v>2792</v>
      </c>
      <c r="D644" t="s">
        <v>7847</v>
      </c>
      <c r="E644" t="s">
        <v>7839</v>
      </c>
      <c r="F644" t="s">
        <v>7932</v>
      </c>
      <c r="G644" t="s">
        <v>8012</v>
      </c>
      <c r="H644" t="s">
        <v>9</v>
      </c>
      <c r="I644">
        <v>1367.434</v>
      </c>
      <c r="J644">
        <v>22.528</v>
      </c>
      <c r="K644">
        <v>0.3</v>
      </c>
      <c r="M644" t="s">
        <v>7865</v>
      </c>
      <c r="N644">
        <v>153.385</v>
      </c>
      <c r="V644" t="s">
        <v>7847</v>
      </c>
      <c r="W644" t="s">
        <v>7839</v>
      </c>
      <c r="X644" t="s">
        <v>7932</v>
      </c>
      <c r="Y644">
        <v>1367.434</v>
      </c>
      <c r="Z644" t="s">
        <v>8012</v>
      </c>
      <c r="AA644">
        <v>22.528</v>
      </c>
      <c r="AB644">
        <v>0.3</v>
      </c>
    </row>
    <row r="645" spans="1:28">
      <c r="A645" t="s">
        <v>2655</v>
      </c>
      <c r="B645" t="s">
        <v>2656</v>
      </c>
      <c r="C645" t="s">
        <v>2657</v>
      </c>
      <c r="D645" t="s">
        <v>7864</v>
      </c>
      <c r="E645" t="s">
        <v>7839</v>
      </c>
      <c r="F645" t="s">
        <v>7840</v>
      </c>
      <c r="G645" t="s">
        <v>8070</v>
      </c>
      <c r="H645" t="s">
        <v>9</v>
      </c>
      <c r="I645">
        <v>107.666</v>
      </c>
      <c r="J645">
        <v>12.073</v>
      </c>
      <c r="K645">
        <v>0.38</v>
      </c>
      <c r="M645" t="s">
        <v>8075</v>
      </c>
      <c r="N645">
        <v>4083.144</v>
      </c>
      <c r="V645" t="s">
        <v>7864</v>
      </c>
      <c r="W645" t="s">
        <v>7839</v>
      </c>
      <c r="X645" t="s">
        <v>7840</v>
      </c>
      <c r="Y645">
        <v>107.666</v>
      </c>
      <c r="Z645" t="s">
        <v>8070</v>
      </c>
      <c r="AA645">
        <v>12.073</v>
      </c>
      <c r="AB645">
        <v>0.38</v>
      </c>
    </row>
    <row r="646" spans="1:28">
      <c r="A646" t="s">
        <v>4296</v>
      </c>
      <c r="B646" t="s">
        <v>4297</v>
      </c>
      <c r="C646" t="s">
        <v>4298</v>
      </c>
      <c r="D646" t="s">
        <v>7847</v>
      </c>
      <c r="E646" t="s">
        <v>7848</v>
      </c>
      <c r="F646" t="s">
        <v>7932</v>
      </c>
      <c r="G646" t="s">
        <v>8033</v>
      </c>
      <c r="H646" t="s">
        <v>9</v>
      </c>
      <c r="I646">
        <v>186.442</v>
      </c>
      <c r="J646">
        <v>14.695</v>
      </c>
      <c r="K646">
        <v>0.14</v>
      </c>
      <c r="M646" t="s">
        <v>7845</v>
      </c>
      <c r="N646">
        <v>81.573</v>
      </c>
      <c r="V646" t="s">
        <v>7847</v>
      </c>
      <c r="W646" t="s">
        <v>7848</v>
      </c>
      <c r="X646" t="s">
        <v>7932</v>
      </c>
      <c r="Y646">
        <v>186.442</v>
      </c>
      <c r="Z646" t="s">
        <v>8033</v>
      </c>
      <c r="AA646">
        <v>14.695</v>
      </c>
      <c r="AB646">
        <v>0.14</v>
      </c>
    </row>
    <row r="647" spans="1:28">
      <c r="A647" t="s">
        <v>3735</v>
      </c>
      <c r="B647" t="s">
        <v>3736</v>
      </c>
      <c r="C647" t="s">
        <v>3737</v>
      </c>
      <c r="D647" t="s">
        <v>7847</v>
      </c>
      <c r="E647" t="s">
        <v>7839</v>
      </c>
      <c r="F647" t="s">
        <v>7932</v>
      </c>
      <c r="G647" t="s">
        <v>8070</v>
      </c>
      <c r="H647" t="s">
        <v>9</v>
      </c>
      <c r="I647">
        <v>155.872</v>
      </c>
      <c r="J647">
        <v>11.751</v>
      </c>
      <c r="K647">
        <v>0.17</v>
      </c>
      <c r="M647" t="s">
        <v>8092</v>
      </c>
      <c r="N647">
        <v>6346.354</v>
      </c>
      <c r="V647" t="s">
        <v>7847</v>
      </c>
      <c r="W647" t="s">
        <v>7839</v>
      </c>
      <c r="X647" t="s">
        <v>7932</v>
      </c>
      <c r="Y647">
        <v>155.872</v>
      </c>
      <c r="Z647" t="s">
        <v>8070</v>
      </c>
      <c r="AA647">
        <v>11.751</v>
      </c>
      <c r="AB647">
        <v>0.17</v>
      </c>
    </row>
    <row r="648" spans="1:28">
      <c r="A648" t="s">
        <v>2805</v>
      </c>
      <c r="B648" t="s">
        <v>2806</v>
      </c>
      <c r="C648" t="s">
        <v>2807</v>
      </c>
      <c r="D648" t="s">
        <v>7864</v>
      </c>
      <c r="E648" t="s">
        <v>7839</v>
      </c>
      <c r="F648" t="s">
        <v>7932</v>
      </c>
      <c r="G648" t="s">
        <v>8030</v>
      </c>
      <c r="H648" t="s">
        <v>9</v>
      </c>
      <c r="I648">
        <v>24801.246</v>
      </c>
      <c r="J648">
        <v>9.966</v>
      </c>
      <c r="K648">
        <v>0.25</v>
      </c>
      <c r="M648" t="s">
        <v>7997</v>
      </c>
      <c r="N648">
        <v>10.516</v>
      </c>
      <c r="V648" t="s">
        <v>7864</v>
      </c>
      <c r="W648" t="s">
        <v>7839</v>
      </c>
      <c r="X648" t="s">
        <v>7932</v>
      </c>
      <c r="Y648">
        <v>24801.246</v>
      </c>
      <c r="Z648" t="s">
        <v>8030</v>
      </c>
      <c r="AA648">
        <v>9.966</v>
      </c>
      <c r="AB648">
        <v>0.25</v>
      </c>
    </row>
    <row r="649" spans="1:28">
      <c r="A649" t="s">
        <v>3932</v>
      </c>
      <c r="B649" t="s">
        <v>3933</v>
      </c>
      <c r="C649" t="s">
        <v>3934</v>
      </c>
      <c r="D649" t="s">
        <v>7847</v>
      </c>
      <c r="E649" t="s">
        <v>7839</v>
      </c>
      <c r="F649" t="s">
        <v>7932</v>
      </c>
      <c r="G649" t="s">
        <v>8034</v>
      </c>
      <c r="H649" t="s">
        <v>9</v>
      </c>
      <c r="I649">
        <v>35908.016</v>
      </c>
      <c r="J649">
        <v>14.757</v>
      </c>
      <c r="K649">
        <v>0.18</v>
      </c>
      <c r="M649" t="s">
        <v>8012</v>
      </c>
      <c r="N649">
        <v>1367.434</v>
      </c>
      <c r="V649" t="s">
        <v>7847</v>
      </c>
      <c r="W649" t="s">
        <v>7839</v>
      </c>
      <c r="X649" t="s">
        <v>7932</v>
      </c>
      <c r="Y649">
        <v>35908.016</v>
      </c>
      <c r="Z649" t="s">
        <v>8034</v>
      </c>
      <c r="AA649">
        <v>14.757</v>
      </c>
      <c r="AB649">
        <v>0.18</v>
      </c>
    </row>
    <row r="650" spans="1:28">
      <c r="A650" t="s">
        <v>5769</v>
      </c>
      <c r="B650" t="s">
        <v>5770</v>
      </c>
      <c r="C650" t="s">
        <v>5771</v>
      </c>
      <c r="D650" t="s">
        <v>7847</v>
      </c>
      <c r="E650" t="s">
        <v>7848</v>
      </c>
      <c r="F650" t="s">
        <v>7840</v>
      </c>
      <c r="G650" t="s">
        <v>7965</v>
      </c>
      <c r="H650" t="s">
        <v>9</v>
      </c>
      <c r="I650">
        <v>430.96</v>
      </c>
      <c r="J650">
        <v>37.644</v>
      </c>
      <c r="K650">
        <v>0.47</v>
      </c>
      <c r="M650" t="s">
        <v>8070</v>
      </c>
      <c r="N650">
        <v>107.666</v>
      </c>
      <c r="V650" t="s">
        <v>7847</v>
      </c>
      <c r="W650" t="s">
        <v>7848</v>
      </c>
      <c r="X650" t="s">
        <v>7840</v>
      </c>
      <c r="Y650">
        <v>430.96</v>
      </c>
      <c r="Z650" t="s">
        <v>7965</v>
      </c>
      <c r="AA650">
        <v>37.644</v>
      </c>
      <c r="AB650">
        <v>0.47</v>
      </c>
    </row>
    <row r="651" spans="1:28">
      <c r="A651" t="s">
        <v>3344</v>
      </c>
      <c r="B651" t="s">
        <v>3345</v>
      </c>
      <c r="C651" t="s">
        <v>3346</v>
      </c>
      <c r="D651" t="s">
        <v>7844</v>
      </c>
      <c r="E651" t="s">
        <v>7839</v>
      </c>
      <c r="F651" t="s">
        <v>7840</v>
      </c>
      <c r="G651" t="s">
        <v>7854</v>
      </c>
      <c r="H651" t="s">
        <v>9</v>
      </c>
      <c r="I651">
        <v>604.868</v>
      </c>
      <c r="J651">
        <v>3.858</v>
      </c>
      <c r="K651">
        <v>0.18</v>
      </c>
      <c r="M651" t="s">
        <v>8033</v>
      </c>
      <c r="N651">
        <v>186.442</v>
      </c>
      <c r="V651" t="s">
        <v>7844</v>
      </c>
      <c r="W651" t="s">
        <v>7839</v>
      </c>
      <c r="X651" t="s">
        <v>7840</v>
      </c>
      <c r="Y651">
        <v>604.868</v>
      </c>
      <c r="Z651" t="s">
        <v>7854</v>
      </c>
      <c r="AA651">
        <v>3.858</v>
      </c>
      <c r="AB651">
        <v>0.18</v>
      </c>
    </row>
    <row r="652" spans="1:28">
      <c r="A652" t="s">
        <v>4140</v>
      </c>
      <c r="B652" t="s">
        <v>4141</v>
      </c>
      <c r="C652" t="s">
        <v>4142</v>
      </c>
      <c r="D652" t="s">
        <v>7847</v>
      </c>
      <c r="E652" t="s">
        <v>7839</v>
      </c>
      <c r="F652" t="s">
        <v>7932</v>
      </c>
      <c r="G652" t="s">
        <v>7854</v>
      </c>
      <c r="H652" t="s">
        <v>9</v>
      </c>
      <c r="I652">
        <v>8991.605</v>
      </c>
      <c r="J652">
        <v>9.55</v>
      </c>
      <c r="K652">
        <v>0.15</v>
      </c>
      <c r="M652" t="s">
        <v>8070</v>
      </c>
      <c r="N652">
        <v>155.872</v>
      </c>
      <c r="V652" t="s">
        <v>7847</v>
      </c>
      <c r="W652" t="s">
        <v>7839</v>
      </c>
      <c r="X652" t="s">
        <v>7932</v>
      </c>
      <c r="Y652">
        <v>8991.605</v>
      </c>
      <c r="Z652" t="s">
        <v>7854</v>
      </c>
      <c r="AA652">
        <v>9.55</v>
      </c>
      <c r="AB652">
        <v>0.15</v>
      </c>
    </row>
    <row r="653" spans="1:28">
      <c r="A653" t="s">
        <v>4159</v>
      </c>
      <c r="B653" t="s">
        <v>4160</v>
      </c>
      <c r="C653" t="s">
        <v>4161</v>
      </c>
      <c r="D653" t="s">
        <v>7847</v>
      </c>
      <c r="E653" t="s">
        <v>7839</v>
      </c>
      <c r="F653" t="s">
        <v>7840</v>
      </c>
      <c r="G653" t="s">
        <v>8110</v>
      </c>
      <c r="H653" t="s">
        <v>9</v>
      </c>
      <c r="I653">
        <v>46.78</v>
      </c>
      <c r="J653">
        <v>85.979</v>
      </c>
      <c r="K653">
        <v>0.7</v>
      </c>
      <c r="M653" t="s">
        <v>8030</v>
      </c>
      <c r="N653">
        <v>24801.246</v>
      </c>
      <c r="V653" t="s">
        <v>7847</v>
      </c>
      <c r="W653" t="s">
        <v>7839</v>
      </c>
      <c r="X653" t="s">
        <v>7840</v>
      </c>
      <c r="Y653">
        <v>46.78</v>
      </c>
      <c r="Z653" t="s">
        <v>8110</v>
      </c>
      <c r="AA653">
        <v>85.979</v>
      </c>
      <c r="AB653">
        <v>0.7</v>
      </c>
    </row>
    <row r="654" spans="1:28">
      <c r="A654" t="s">
        <v>2949</v>
      </c>
      <c r="B654" t="s">
        <v>2950</v>
      </c>
      <c r="C654" t="s">
        <v>2951</v>
      </c>
      <c r="D654" t="s">
        <v>7864</v>
      </c>
      <c r="E654" t="s">
        <v>7839</v>
      </c>
      <c r="F654" t="s">
        <v>7840</v>
      </c>
      <c r="G654" t="s">
        <v>8083</v>
      </c>
      <c r="H654" t="s">
        <v>9</v>
      </c>
      <c r="I654">
        <v>427.597</v>
      </c>
      <c r="J654">
        <v>23.07</v>
      </c>
      <c r="K654">
        <v>0.19</v>
      </c>
      <c r="M654" t="s">
        <v>8034</v>
      </c>
      <c r="N654">
        <v>35908.016</v>
      </c>
      <c r="V654" t="s">
        <v>7864</v>
      </c>
      <c r="W654" t="s">
        <v>7839</v>
      </c>
      <c r="X654" t="s">
        <v>7840</v>
      </c>
      <c r="Y654">
        <v>427.597</v>
      </c>
      <c r="Z654" t="s">
        <v>8083</v>
      </c>
      <c r="AA654">
        <v>23.07</v>
      </c>
      <c r="AB654">
        <v>0.19</v>
      </c>
    </row>
    <row r="655" spans="1:28">
      <c r="A655" t="s">
        <v>6621</v>
      </c>
      <c r="B655" t="s">
        <v>6622</v>
      </c>
      <c r="C655" t="s">
        <v>6623</v>
      </c>
      <c r="D655" t="s">
        <v>7847</v>
      </c>
      <c r="E655" t="s">
        <v>7848</v>
      </c>
      <c r="F655" t="s">
        <v>7840</v>
      </c>
      <c r="G655" t="s">
        <v>8094</v>
      </c>
      <c r="H655" t="s">
        <v>9</v>
      </c>
      <c r="I655">
        <v>374.641</v>
      </c>
      <c r="J655">
        <v>6.724</v>
      </c>
      <c r="K655">
        <v>0.98</v>
      </c>
      <c r="M655" t="s">
        <v>7965</v>
      </c>
      <c r="N655">
        <v>430.96</v>
      </c>
      <c r="V655" t="s">
        <v>7847</v>
      </c>
      <c r="W655" t="s">
        <v>7848</v>
      </c>
      <c r="X655" t="s">
        <v>7840</v>
      </c>
      <c r="Y655">
        <v>374.641</v>
      </c>
      <c r="Z655" t="s">
        <v>8094</v>
      </c>
      <c r="AA655">
        <v>6.724</v>
      </c>
      <c r="AB655">
        <v>0.98</v>
      </c>
    </row>
    <row r="656" spans="1:28">
      <c r="A656" t="s">
        <v>3694</v>
      </c>
      <c r="B656" t="s">
        <v>2192</v>
      </c>
      <c r="C656" t="s">
        <v>3695</v>
      </c>
      <c r="D656" t="s">
        <v>7847</v>
      </c>
      <c r="E656" t="s">
        <v>7839</v>
      </c>
      <c r="F656" t="s">
        <v>7935</v>
      </c>
      <c r="G656" t="s">
        <v>7913</v>
      </c>
      <c r="H656" t="s">
        <v>9</v>
      </c>
      <c r="I656">
        <v>12.882</v>
      </c>
      <c r="J656">
        <v>19.192</v>
      </c>
      <c r="K656">
        <v>0.4</v>
      </c>
      <c r="M656" t="s">
        <v>7854</v>
      </c>
      <c r="N656">
        <v>604.868</v>
      </c>
      <c r="V656" t="s">
        <v>7847</v>
      </c>
      <c r="W656" t="s">
        <v>7839</v>
      </c>
      <c r="X656" t="s">
        <v>7935</v>
      </c>
      <c r="Y656">
        <v>12.882</v>
      </c>
      <c r="Z656" t="s">
        <v>7913</v>
      </c>
      <c r="AA656">
        <v>19.192</v>
      </c>
      <c r="AB656">
        <v>0.4</v>
      </c>
    </row>
    <row r="657" spans="1:28">
      <c r="A657" t="s">
        <v>2370</v>
      </c>
      <c r="B657" t="s">
        <v>2371</v>
      </c>
      <c r="C657" t="s">
        <v>2372</v>
      </c>
      <c r="D657" t="s">
        <v>7855</v>
      </c>
      <c r="E657" t="s">
        <v>7839</v>
      </c>
      <c r="F657" t="s">
        <v>7853</v>
      </c>
      <c r="G657" t="s">
        <v>7854</v>
      </c>
      <c r="H657" t="s">
        <v>9</v>
      </c>
      <c r="I657">
        <v>95.102</v>
      </c>
      <c r="J657">
        <v>99.951</v>
      </c>
      <c r="K657">
        <v>0.1</v>
      </c>
      <c r="M657" t="s">
        <v>7854</v>
      </c>
      <c r="N657">
        <v>8991.605</v>
      </c>
      <c r="V657" t="s">
        <v>7855</v>
      </c>
      <c r="W657" t="s">
        <v>7839</v>
      </c>
      <c r="X657" t="s">
        <v>7853</v>
      </c>
      <c r="Y657">
        <v>95.102</v>
      </c>
      <c r="Z657" t="s">
        <v>7854</v>
      </c>
      <c r="AA657">
        <v>99.951</v>
      </c>
      <c r="AB657">
        <v>0.1</v>
      </c>
    </row>
    <row r="658" spans="1:28">
      <c r="A658" t="s">
        <v>5683</v>
      </c>
      <c r="B658" t="s">
        <v>5684</v>
      </c>
      <c r="C658" t="s">
        <v>5685</v>
      </c>
      <c r="D658" t="s">
        <v>7846</v>
      </c>
      <c r="E658" t="s">
        <v>7839</v>
      </c>
      <c r="F658" t="s">
        <v>7840</v>
      </c>
      <c r="G658" t="s">
        <v>7854</v>
      </c>
      <c r="H658" t="s">
        <v>9</v>
      </c>
      <c r="I658">
        <v>497.684</v>
      </c>
      <c r="J658">
        <v>7.649</v>
      </c>
      <c r="K658">
        <v>0.25</v>
      </c>
      <c r="M658" t="s">
        <v>8110</v>
      </c>
      <c r="N658">
        <v>46.78</v>
      </c>
      <c r="V658" t="s">
        <v>7846</v>
      </c>
      <c r="W658" t="s">
        <v>7839</v>
      </c>
      <c r="X658" t="s">
        <v>7840</v>
      </c>
      <c r="Y658">
        <v>497.684</v>
      </c>
      <c r="Z658" t="s">
        <v>7854</v>
      </c>
      <c r="AA658">
        <v>7.649</v>
      </c>
      <c r="AB658">
        <v>0.25</v>
      </c>
    </row>
    <row r="659" spans="1:28">
      <c r="A659" t="s">
        <v>5420</v>
      </c>
      <c r="B659" t="s">
        <v>5421</v>
      </c>
      <c r="C659" t="s">
        <v>5422</v>
      </c>
      <c r="D659" t="s">
        <v>7847</v>
      </c>
      <c r="E659" t="s">
        <v>7839</v>
      </c>
      <c r="F659" t="s">
        <v>7853</v>
      </c>
      <c r="G659" t="s">
        <v>7865</v>
      </c>
      <c r="H659" t="s">
        <v>9</v>
      </c>
      <c r="I659">
        <v>883.153</v>
      </c>
      <c r="J659">
        <v>22.121</v>
      </c>
      <c r="K659">
        <v>0.28</v>
      </c>
      <c r="M659" t="s">
        <v>8083</v>
      </c>
      <c r="N659">
        <v>427.597</v>
      </c>
      <c r="V659" t="s">
        <v>7847</v>
      </c>
      <c r="W659" t="s">
        <v>7839</v>
      </c>
      <c r="X659" t="s">
        <v>7853</v>
      </c>
      <c r="Y659">
        <v>883.153</v>
      </c>
      <c r="Z659" t="s">
        <v>7865</v>
      </c>
      <c r="AA659">
        <v>22.121</v>
      </c>
      <c r="AB659">
        <v>0.28</v>
      </c>
    </row>
    <row r="660" spans="1:28">
      <c r="A660" t="s">
        <v>4448</v>
      </c>
      <c r="B660" t="s">
        <v>4449</v>
      </c>
      <c r="C660" t="s">
        <v>4450</v>
      </c>
      <c r="D660" t="s">
        <v>7862</v>
      </c>
      <c r="E660" t="s">
        <v>7839</v>
      </c>
      <c r="F660" t="s">
        <v>7840</v>
      </c>
      <c r="G660" t="s">
        <v>7923</v>
      </c>
      <c r="H660" t="s">
        <v>9</v>
      </c>
      <c r="I660">
        <v>3779.21</v>
      </c>
      <c r="J660">
        <v>32.144</v>
      </c>
      <c r="K660">
        <v>0.27</v>
      </c>
      <c r="M660" t="s">
        <v>8094</v>
      </c>
      <c r="N660">
        <v>374.641</v>
      </c>
      <c r="V660" t="s">
        <v>7862</v>
      </c>
      <c r="W660" t="s">
        <v>7839</v>
      </c>
      <c r="X660" t="s">
        <v>7840</v>
      </c>
      <c r="Y660">
        <v>3779.21</v>
      </c>
      <c r="Z660" t="s">
        <v>7923</v>
      </c>
      <c r="AA660">
        <v>32.144</v>
      </c>
      <c r="AB660">
        <v>0.27</v>
      </c>
    </row>
    <row r="661" spans="1:28">
      <c r="A661" t="s">
        <v>3098</v>
      </c>
      <c r="B661" t="s">
        <v>3099</v>
      </c>
      <c r="C661" t="s">
        <v>3100</v>
      </c>
      <c r="D661" t="s">
        <v>7855</v>
      </c>
      <c r="E661" t="s">
        <v>7839</v>
      </c>
      <c r="F661" t="s">
        <v>7935</v>
      </c>
      <c r="G661" t="s">
        <v>7885</v>
      </c>
      <c r="H661" t="s">
        <v>9</v>
      </c>
      <c r="I661">
        <v>430.642</v>
      </c>
      <c r="J661">
        <v>64.985</v>
      </c>
      <c r="K661">
        <v>0.2</v>
      </c>
      <c r="M661" t="s">
        <v>7913</v>
      </c>
      <c r="N661">
        <v>12.882</v>
      </c>
      <c r="V661" t="s">
        <v>7855</v>
      </c>
      <c r="W661" t="s">
        <v>7839</v>
      </c>
      <c r="X661" t="s">
        <v>7935</v>
      </c>
      <c r="Y661">
        <v>430.642</v>
      </c>
      <c r="Z661" t="s">
        <v>7885</v>
      </c>
      <c r="AA661">
        <v>64.985</v>
      </c>
      <c r="AB661">
        <v>0.2</v>
      </c>
    </row>
    <row r="662" spans="1:28">
      <c r="A662" t="s">
        <v>2533</v>
      </c>
      <c r="B662" t="s">
        <v>2534</v>
      </c>
      <c r="C662" t="s">
        <v>2535</v>
      </c>
      <c r="D662" t="s">
        <v>7862</v>
      </c>
      <c r="E662" t="s">
        <v>7839</v>
      </c>
      <c r="F662" t="s">
        <v>7853</v>
      </c>
      <c r="G662" t="s">
        <v>7854</v>
      </c>
      <c r="H662" t="s">
        <v>9</v>
      </c>
      <c r="I662">
        <v>109.206</v>
      </c>
      <c r="J662">
        <v>99.981</v>
      </c>
      <c r="K662">
        <v>0.1</v>
      </c>
      <c r="M662" t="s">
        <v>7854</v>
      </c>
      <c r="N662">
        <v>95.102</v>
      </c>
      <c r="V662" t="s">
        <v>7862</v>
      </c>
      <c r="W662" t="s">
        <v>7839</v>
      </c>
      <c r="X662" t="s">
        <v>7853</v>
      </c>
      <c r="Y662">
        <v>109.206</v>
      </c>
      <c r="Z662" t="s">
        <v>7854</v>
      </c>
      <c r="AA662">
        <v>99.981</v>
      </c>
      <c r="AB662">
        <v>0.1</v>
      </c>
    </row>
    <row r="663" spans="1:28">
      <c r="A663" t="s">
        <v>4400</v>
      </c>
      <c r="B663" t="s">
        <v>4401</v>
      </c>
      <c r="C663" t="s">
        <v>4402</v>
      </c>
      <c r="D663" t="s">
        <v>7847</v>
      </c>
      <c r="E663" t="s">
        <v>7839</v>
      </c>
      <c r="F663" t="s">
        <v>7840</v>
      </c>
      <c r="G663" t="s">
        <v>7854</v>
      </c>
      <c r="H663" t="s">
        <v>9</v>
      </c>
      <c r="I663">
        <v>25.081</v>
      </c>
      <c r="J663">
        <v>13.816</v>
      </c>
      <c r="K663">
        <v>0.09</v>
      </c>
      <c r="M663" t="s">
        <v>7854</v>
      </c>
      <c r="N663">
        <v>497.684</v>
      </c>
      <c r="V663" t="s">
        <v>7847</v>
      </c>
      <c r="W663" t="s">
        <v>7839</v>
      </c>
      <c r="X663" t="s">
        <v>7840</v>
      </c>
      <c r="Y663">
        <v>25.081</v>
      </c>
      <c r="Z663" t="s">
        <v>7854</v>
      </c>
      <c r="AA663">
        <v>13.816</v>
      </c>
      <c r="AB663">
        <v>0.09</v>
      </c>
    </row>
    <row r="664" spans="1:28">
      <c r="A664" t="s">
        <v>4616</v>
      </c>
      <c r="B664" t="s">
        <v>4617</v>
      </c>
      <c r="C664" t="s">
        <v>4618</v>
      </c>
      <c r="D664" t="s">
        <v>7862</v>
      </c>
      <c r="E664" t="s">
        <v>7839</v>
      </c>
      <c r="F664" t="s">
        <v>7932</v>
      </c>
      <c r="G664" t="s">
        <v>7860</v>
      </c>
      <c r="H664" t="s">
        <v>9</v>
      </c>
      <c r="I664">
        <v>2179.558</v>
      </c>
      <c r="J664">
        <v>64.166</v>
      </c>
      <c r="K664">
        <v>0.07</v>
      </c>
      <c r="M664" t="s">
        <v>7865</v>
      </c>
      <c r="N664">
        <v>883.153</v>
      </c>
      <c r="V664" t="s">
        <v>7862</v>
      </c>
      <c r="W664" t="s">
        <v>7839</v>
      </c>
      <c r="X664" t="s">
        <v>7932</v>
      </c>
      <c r="Y664">
        <v>2179.558</v>
      </c>
      <c r="Z664" t="s">
        <v>7860</v>
      </c>
      <c r="AA664">
        <v>64.166</v>
      </c>
      <c r="AB664">
        <v>0.07</v>
      </c>
    </row>
    <row r="665" spans="1:28">
      <c r="A665" t="s">
        <v>4100</v>
      </c>
      <c r="B665" t="s">
        <v>4101</v>
      </c>
      <c r="C665" t="s">
        <v>4102</v>
      </c>
      <c r="D665" t="s">
        <v>7864</v>
      </c>
      <c r="E665" t="s">
        <v>7839</v>
      </c>
      <c r="F665" t="s">
        <v>7840</v>
      </c>
      <c r="G665" t="s">
        <v>7914</v>
      </c>
      <c r="H665" t="s">
        <v>9</v>
      </c>
      <c r="I665">
        <v>187.145</v>
      </c>
      <c r="J665">
        <v>36.647</v>
      </c>
      <c r="K665">
        <v>0.68</v>
      </c>
      <c r="M665" t="s">
        <v>7923</v>
      </c>
      <c r="N665">
        <v>3779.21</v>
      </c>
      <c r="V665" t="s">
        <v>7864</v>
      </c>
      <c r="W665" t="s">
        <v>7839</v>
      </c>
      <c r="X665" t="s">
        <v>7840</v>
      </c>
      <c r="Y665">
        <v>187.145</v>
      </c>
      <c r="Z665" t="s">
        <v>7914</v>
      </c>
      <c r="AA665">
        <v>36.647</v>
      </c>
      <c r="AB665">
        <v>0.68</v>
      </c>
    </row>
    <row r="666" spans="1:28">
      <c r="A666" t="s">
        <v>3668</v>
      </c>
      <c r="B666" t="s">
        <v>3669</v>
      </c>
      <c r="C666" t="s">
        <v>3670</v>
      </c>
      <c r="D666" t="s">
        <v>7847</v>
      </c>
      <c r="E666" t="s">
        <v>7839</v>
      </c>
      <c r="F666" t="s">
        <v>7932</v>
      </c>
      <c r="G666" t="s">
        <v>7885</v>
      </c>
      <c r="H666" t="s">
        <v>9</v>
      </c>
      <c r="I666">
        <v>14676.198</v>
      </c>
      <c r="J666">
        <v>13.239</v>
      </c>
      <c r="K666">
        <v>0.35</v>
      </c>
      <c r="M666" t="s">
        <v>7885</v>
      </c>
      <c r="N666">
        <v>430.642</v>
      </c>
      <c r="V666" t="s">
        <v>7847</v>
      </c>
      <c r="W666" t="s">
        <v>7839</v>
      </c>
      <c r="X666" t="s">
        <v>7932</v>
      </c>
      <c r="Y666">
        <v>14676.198</v>
      </c>
      <c r="Z666" t="s">
        <v>7885</v>
      </c>
      <c r="AA666">
        <v>13.239</v>
      </c>
      <c r="AB666">
        <v>0.35</v>
      </c>
    </row>
    <row r="667" spans="1:28">
      <c r="A667" t="s">
        <v>4397</v>
      </c>
      <c r="B667" t="s">
        <v>4398</v>
      </c>
      <c r="C667" t="s">
        <v>4399</v>
      </c>
      <c r="D667" t="s">
        <v>7862</v>
      </c>
      <c r="E667" t="s">
        <v>7839</v>
      </c>
      <c r="F667" t="s">
        <v>7932</v>
      </c>
      <c r="G667" t="s">
        <v>7854</v>
      </c>
      <c r="H667" t="s">
        <v>9</v>
      </c>
      <c r="I667">
        <v>70452.945</v>
      </c>
      <c r="J667">
        <v>75.835</v>
      </c>
      <c r="K667">
        <v>0.09</v>
      </c>
      <c r="M667" t="s">
        <v>7854</v>
      </c>
      <c r="N667">
        <v>109.206</v>
      </c>
      <c r="V667" t="s">
        <v>7862</v>
      </c>
      <c r="W667" t="s">
        <v>7839</v>
      </c>
      <c r="X667" t="s">
        <v>7932</v>
      </c>
      <c r="Y667">
        <v>70452.945</v>
      </c>
      <c r="Z667" t="s">
        <v>7854</v>
      </c>
      <c r="AA667">
        <v>75.835</v>
      </c>
      <c r="AB667">
        <v>0.09</v>
      </c>
    </row>
    <row r="668" spans="1:28">
      <c r="A668" t="s">
        <v>3766</v>
      </c>
      <c r="B668" t="s">
        <v>3767</v>
      </c>
      <c r="C668" t="s">
        <v>3768</v>
      </c>
      <c r="D668" t="s">
        <v>7847</v>
      </c>
      <c r="E668" t="s">
        <v>7839</v>
      </c>
      <c r="F668" t="s">
        <v>7935</v>
      </c>
      <c r="G668" t="s">
        <v>7969</v>
      </c>
      <c r="H668" t="s">
        <v>9</v>
      </c>
      <c r="I668">
        <v>895.501</v>
      </c>
      <c r="J668">
        <v>12.524</v>
      </c>
      <c r="K668">
        <v>0.24</v>
      </c>
      <c r="M668" t="s">
        <v>7854</v>
      </c>
      <c r="N668">
        <v>25.081</v>
      </c>
      <c r="V668" t="s">
        <v>7847</v>
      </c>
      <c r="W668" t="s">
        <v>7839</v>
      </c>
      <c r="X668" t="s">
        <v>7935</v>
      </c>
      <c r="Y668">
        <v>895.501</v>
      </c>
      <c r="Z668" t="s">
        <v>7969</v>
      </c>
      <c r="AA668">
        <v>12.524</v>
      </c>
      <c r="AB668">
        <v>0.24</v>
      </c>
    </row>
    <row r="669" spans="1:28">
      <c r="A669" t="s">
        <v>4345</v>
      </c>
      <c r="B669" t="s">
        <v>4346</v>
      </c>
      <c r="C669" t="s">
        <v>4347</v>
      </c>
      <c r="D669" t="s">
        <v>7862</v>
      </c>
      <c r="E669" t="s">
        <v>7839</v>
      </c>
      <c r="F669" t="s">
        <v>7932</v>
      </c>
      <c r="G669" t="s">
        <v>7852</v>
      </c>
      <c r="H669" t="s">
        <v>9</v>
      </c>
      <c r="I669">
        <v>42687.102</v>
      </c>
      <c r="J669">
        <v>68.19</v>
      </c>
      <c r="K669">
        <v>0.134</v>
      </c>
      <c r="M669" t="s">
        <v>7860</v>
      </c>
      <c r="N669">
        <v>2179.558</v>
      </c>
      <c r="V669" t="s">
        <v>7862</v>
      </c>
      <c r="W669" t="s">
        <v>7839</v>
      </c>
      <c r="X669" t="s">
        <v>7932</v>
      </c>
      <c r="Y669">
        <v>42687.102</v>
      </c>
      <c r="Z669" t="s">
        <v>7852</v>
      </c>
      <c r="AA669">
        <v>68.19</v>
      </c>
      <c r="AB669">
        <v>0.134</v>
      </c>
    </row>
    <row r="670" spans="1:28">
      <c r="A670" t="s">
        <v>2967</v>
      </c>
      <c r="B670" t="s">
        <v>2968</v>
      </c>
      <c r="C670" t="s">
        <v>2969</v>
      </c>
      <c r="D670" t="s">
        <v>7847</v>
      </c>
      <c r="E670" t="s">
        <v>7848</v>
      </c>
      <c r="F670" t="s">
        <v>7935</v>
      </c>
      <c r="G670" t="s">
        <v>8054</v>
      </c>
      <c r="H670" t="s">
        <v>9</v>
      </c>
      <c r="I670">
        <v>729.319</v>
      </c>
      <c r="J670">
        <v>51.074</v>
      </c>
      <c r="K670">
        <v>0.17</v>
      </c>
      <c r="M670" t="s">
        <v>7914</v>
      </c>
      <c r="N670">
        <v>187.145</v>
      </c>
      <c r="V670" t="s">
        <v>7847</v>
      </c>
      <c r="W670" t="s">
        <v>7848</v>
      </c>
      <c r="X670" t="s">
        <v>7935</v>
      </c>
      <c r="Y670">
        <v>729.319</v>
      </c>
      <c r="Z670" t="s">
        <v>8054</v>
      </c>
      <c r="AA670">
        <v>51.074</v>
      </c>
      <c r="AB670">
        <v>0.17</v>
      </c>
    </row>
    <row r="671" spans="1:28">
      <c r="A671" t="s">
        <v>5689</v>
      </c>
      <c r="B671" t="s">
        <v>5690</v>
      </c>
      <c r="C671" t="s">
        <v>5691</v>
      </c>
      <c r="D671" t="s">
        <v>7844</v>
      </c>
      <c r="E671" t="s">
        <v>7839</v>
      </c>
      <c r="F671" t="s">
        <v>7888</v>
      </c>
      <c r="G671" t="s">
        <v>7858</v>
      </c>
      <c r="H671" t="s">
        <v>9</v>
      </c>
      <c r="I671">
        <v>646.58</v>
      </c>
      <c r="J671">
        <v>5.226</v>
      </c>
      <c r="K671">
        <v>0.24</v>
      </c>
      <c r="M671" t="s">
        <v>7885</v>
      </c>
      <c r="N671">
        <v>14676.198</v>
      </c>
      <c r="V671" t="s">
        <v>7844</v>
      </c>
      <c r="W671" t="s">
        <v>7839</v>
      </c>
      <c r="X671" t="s">
        <v>7888</v>
      </c>
      <c r="Y671">
        <v>646.58</v>
      </c>
      <c r="Z671" t="s">
        <v>7858</v>
      </c>
      <c r="AA671">
        <v>5.226</v>
      </c>
      <c r="AB671">
        <v>0.24</v>
      </c>
    </row>
    <row r="672" spans="1:28">
      <c r="A672" t="s">
        <v>4197</v>
      </c>
      <c r="B672" t="s">
        <v>4198</v>
      </c>
      <c r="C672" t="s">
        <v>4199</v>
      </c>
      <c r="D672" t="s">
        <v>7847</v>
      </c>
      <c r="E672" t="s">
        <v>7839</v>
      </c>
      <c r="F672" t="s">
        <v>7840</v>
      </c>
      <c r="G672" t="s">
        <v>7903</v>
      </c>
      <c r="H672" t="s">
        <v>9</v>
      </c>
      <c r="I672">
        <v>193.209</v>
      </c>
      <c r="J672">
        <v>94.424</v>
      </c>
      <c r="K672">
        <v>0.2</v>
      </c>
      <c r="M672" t="s">
        <v>7854</v>
      </c>
      <c r="N672">
        <v>70452.945</v>
      </c>
      <c r="V672" t="s">
        <v>7847</v>
      </c>
      <c r="W672" t="s">
        <v>7839</v>
      </c>
      <c r="X672" t="s">
        <v>7840</v>
      </c>
      <c r="Y672">
        <v>193.209</v>
      </c>
      <c r="Z672" t="s">
        <v>7903</v>
      </c>
      <c r="AA672">
        <v>94.424</v>
      </c>
      <c r="AB672">
        <v>0.2</v>
      </c>
    </row>
    <row r="673" spans="1:28">
      <c r="A673" t="s">
        <v>1180</v>
      </c>
      <c r="B673" t="s">
        <v>1181</v>
      </c>
      <c r="C673" t="s">
        <v>1182</v>
      </c>
      <c r="D673" t="s">
        <v>7855</v>
      </c>
      <c r="E673" t="s">
        <v>7839</v>
      </c>
      <c r="F673" t="s">
        <v>7840</v>
      </c>
      <c r="G673" t="s">
        <v>7886</v>
      </c>
      <c r="H673" t="s">
        <v>9</v>
      </c>
      <c r="I673">
        <v>10.4</v>
      </c>
      <c r="J673">
        <v>100.358</v>
      </c>
      <c r="K673">
        <v>0.7</v>
      </c>
      <c r="M673" t="s">
        <v>7969</v>
      </c>
      <c r="N673">
        <v>895.501</v>
      </c>
      <c r="V673" t="s">
        <v>7855</v>
      </c>
      <c r="W673" t="s">
        <v>7839</v>
      </c>
      <c r="X673" t="s">
        <v>7840</v>
      </c>
      <c r="Y673">
        <v>10.4</v>
      </c>
      <c r="Z673" t="s">
        <v>7886</v>
      </c>
      <c r="AA673">
        <v>100.358</v>
      </c>
      <c r="AB673">
        <v>0.7</v>
      </c>
    </row>
    <row r="674" spans="1:28">
      <c r="A674" t="s">
        <v>4619</v>
      </c>
      <c r="B674" t="s">
        <v>4620</v>
      </c>
      <c r="C674" t="s">
        <v>4621</v>
      </c>
      <c r="D674" t="s">
        <v>7844</v>
      </c>
      <c r="E674" t="s">
        <v>7839</v>
      </c>
      <c r="F674" t="s">
        <v>7840</v>
      </c>
      <c r="G674" t="s">
        <v>7941</v>
      </c>
      <c r="H674" t="s">
        <v>9</v>
      </c>
      <c r="I674">
        <v>302.681</v>
      </c>
      <c r="J674">
        <v>4.555</v>
      </c>
      <c r="K674">
        <v>0.18</v>
      </c>
      <c r="M674" t="s">
        <v>7852</v>
      </c>
      <c r="N674">
        <v>42687.102</v>
      </c>
      <c r="V674" t="s">
        <v>7844</v>
      </c>
      <c r="W674" t="s">
        <v>7839</v>
      </c>
      <c r="X674" t="s">
        <v>7840</v>
      </c>
      <c r="Y674">
        <v>302.681</v>
      </c>
      <c r="Z674" t="s">
        <v>7941</v>
      </c>
      <c r="AA674">
        <v>4.555</v>
      </c>
      <c r="AB674">
        <v>0.18</v>
      </c>
    </row>
    <row r="675" spans="1:28">
      <c r="A675" t="s">
        <v>4332</v>
      </c>
      <c r="B675" t="s">
        <v>4333</v>
      </c>
      <c r="C675" t="s">
        <v>4334</v>
      </c>
      <c r="D675" t="s">
        <v>7850</v>
      </c>
      <c r="E675" t="s">
        <v>7839</v>
      </c>
      <c r="F675" t="s">
        <v>7888</v>
      </c>
      <c r="G675" t="s">
        <v>8075</v>
      </c>
      <c r="H675" t="s">
        <v>9</v>
      </c>
      <c r="I675">
        <v>6.242</v>
      </c>
      <c r="J675">
        <v>19.558</v>
      </c>
      <c r="K675">
        <v>0.15</v>
      </c>
      <c r="M675" t="s">
        <v>8054</v>
      </c>
      <c r="N675">
        <v>729.319</v>
      </c>
      <c r="V675" t="s">
        <v>7850</v>
      </c>
      <c r="W675" t="s">
        <v>7839</v>
      </c>
      <c r="X675" t="s">
        <v>7888</v>
      </c>
      <c r="Y675">
        <v>6.242</v>
      </c>
      <c r="Z675" t="s">
        <v>8075</v>
      </c>
      <c r="AA675">
        <v>19.558</v>
      </c>
      <c r="AB675">
        <v>0.15</v>
      </c>
    </row>
    <row r="676" spans="1:28">
      <c r="A676" t="s">
        <v>5112</v>
      </c>
      <c r="B676" t="s">
        <v>5113</v>
      </c>
      <c r="C676" t="s">
        <v>5114</v>
      </c>
      <c r="D676" t="s">
        <v>7847</v>
      </c>
      <c r="E676" t="s">
        <v>7839</v>
      </c>
      <c r="F676" t="s">
        <v>7840</v>
      </c>
      <c r="G676" t="s">
        <v>8007</v>
      </c>
      <c r="H676" t="s">
        <v>9</v>
      </c>
      <c r="I676">
        <v>43.749</v>
      </c>
      <c r="J676">
        <v>56.922</v>
      </c>
      <c r="K676">
        <v>0.55</v>
      </c>
      <c r="M676" t="s">
        <v>7858</v>
      </c>
      <c r="N676">
        <v>646.58</v>
      </c>
      <c r="V676" t="s">
        <v>7847</v>
      </c>
      <c r="W676" t="s">
        <v>7839</v>
      </c>
      <c r="X676" t="s">
        <v>7840</v>
      </c>
      <c r="Y676">
        <v>43.749</v>
      </c>
      <c r="Z676" t="s">
        <v>8007</v>
      </c>
      <c r="AA676">
        <v>56.922</v>
      </c>
      <c r="AB676">
        <v>0.55</v>
      </c>
    </row>
    <row r="677" spans="1:28">
      <c r="A677" t="s">
        <v>4156</v>
      </c>
      <c r="B677" t="s">
        <v>4157</v>
      </c>
      <c r="C677" t="s">
        <v>4158</v>
      </c>
      <c r="D677" t="s">
        <v>7855</v>
      </c>
      <c r="E677" t="s">
        <v>7839</v>
      </c>
      <c r="F677" t="s">
        <v>7840</v>
      </c>
      <c r="G677" t="s">
        <v>7854</v>
      </c>
      <c r="H677" t="s">
        <v>9</v>
      </c>
      <c r="I677">
        <v>70.353</v>
      </c>
      <c r="J677">
        <v>99.991</v>
      </c>
      <c r="K677">
        <v>0.1</v>
      </c>
      <c r="M677" t="s">
        <v>7903</v>
      </c>
      <c r="N677">
        <v>193.209</v>
      </c>
      <c r="V677" t="s">
        <v>7855</v>
      </c>
      <c r="W677" t="s">
        <v>7839</v>
      </c>
      <c r="X677" t="s">
        <v>7840</v>
      </c>
      <c r="Y677">
        <v>70.353</v>
      </c>
      <c r="Z677" t="s">
        <v>7854</v>
      </c>
      <c r="AA677">
        <v>99.991</v>
      </c>
      <c r="AB677">
        <v>0.1</v>
      </c>
    </row>
    <row r="678" spans="1:28">
      <c r="A678" t="s">
        <v>3118</v>
      </c>
      <c r="B678" t="s">
        <v>3119</v>
      </c>
      <c r="C678" t="s">
        <v>3120</v>
      </c>
      <c r="D678" t="s">
        <v>7855</v>
      </c>
      <c r="E678" t="s">
        <v>7839</v>
      </c>
      <c r="F678" t="s">
        <v>7935</v>
      </c>
      <c r="G678" t="s">
        <v>8118</v>
      </c>
      <c r="H678" t="s">
        <v>9</v>
      </c>
      <c r="I678">
        <v>17468.779</v>
      </c>
      <c r="J678">
        <v>49.842</v>
      </c>
      <c r="K678">
        <v>0.02</v>
      </c>
      <c r="M678" t="s">
        <v>7886</v>
      </c>
      <c r="N678">
        <v>10.4</v>
      </c>
      <c r="V678" t="s">
        <v>7855</v>
      </c>
      <c r="W678" t="s">
        <v>7839</v>
      </c>
      <c r="X678" t="s">
        <v>7935</v>
      </c>
      <c r="Y678">
        <v>17468.779</v>
      </c>
      <c r="Z678" t="s">
        <v>8118</v>
      </c>
      <c r="AA678">
        <v>49.842</v>
      </c>
      <c r="AB678">
        <v>0.02</v>
      </c>
    </row>
    <row r="679" spans="1:28">
      <c r="A679" t="s">
        <v>4500</v>
      </c>
      <c r="B679" t="s">
        <v>4501</v>
      </c>
      <c r="C679" t="s">
        <v>4502</v>
      </c>
      <c r="D679" t="s">
        <v>7850</v>
      </c>
      <c r="E679" t="s">
        <v>7839</v>
      </c>
      <c r="F679" t="s">
        <v>7840</v>
      </c>
      <c r="G679" t="s">
        <v>8075</v>
      </c>
      <c r="H679" t="s">
        <v>9</v>
      </c>
      <c r="I679">
        <v>7.448</v>
      </c>
      <c r="J679">
        <v>20.475</v>
      </c>
      <c r="K679">
        <v>0.15</v>
      </c>
      <c r="M679" t="s">
        <v>7941</v>
      </c>
      <c r="N679">
        <v>302.681</v>
      </c>
      <c r="V679" t="s">
        <v>7850</v>
      </c>
      <c r="W679" t="s">
        <v>7839</v>
      </c>
      <c r="X679" t="s">
        <v>7840</v>
      </c>
      <c r="Y679">
        <v>7.448</v>
      </c>
      <c r="Z679" t="s">
        <v>8075</v>
      </c>
      <c r="AA679">
        <v>20.475</v>
      </c>
      <c r="AB679">
        <v>0.15</v>
      </c>
    </row>
    <row r="680" spans="1:28">
      <c r="A680" t="s">
        <v>4006</v>
      </c>
      <c r="B680" t="s">
        <v>4007</v>
      </c>
      <c r="C680" t="s">
        <v>4008</v>
      </c>
      <c r="D680" t="s">
        <v>7847</v>
      </c>
      <c r="E680" t="s">
        <v>7839</v>
      </c>
      <c r="F680" t="s">
        <v>7932</v>
      </c>
      <c r="G680" t="s">
        <v>8116</v>
      </c>
      <c r="H680" t="s">
        <v>9</v>
      </c>
      <c r="I680">
        <v>6947.991</v>
      </c>
      <c r="J680">
        <v>10.307</v>
      </c>
      <c r="K680">
        <v>0.09</v>
      </c>
      <c r="M680" t="s">
        <v>8075</v>
      </c>
      <c r="N680">
        <v>6.242</v>
      </c>
      <c r="V680" t="s">
        <v>7847</v>
      </c>
      <c r="W680" t="s">
        <v>7839</v>
      </c>
      <c r="X680" t="s">
        <v>7932</v>
      </c>
      <c r="Y680">
        <v>6947.991</v>
      </c>
      <c r="Z680" t="s">
        <v>8116</v>
      </c>
      <c r="AA680">
        <v>10.307</v>
      </c>
      <c r="AB680">
        <v>0.09</v>
      </c>
    </row>
    <row r="681" spans="1:28">
      <c r="A681" t="s">
        <v>4082</v>
      </c>
      <c r="B681" t="s">
        <v>4083</v>
      </c>
      <c r="C681" t="s">
        <v>4084</v>
      </c>
      <c r="D681" t="s">
        <v>7847</v>
      </c>
      <c r="E681" t="s">
        <v>7848</v>
      </c>
      <c r="F681" t="s">
        <v>7932</v>
      </c>
      <c r="G681" t="s">
        <v>7908</v>
      </c>
      <c r="H681" t="s">
        <v>9</v>
      </c>
      <c r="I681">
        <v>229.068</v>
      </c>
      <c r="J681">
        <v>23.833</v>
      </c>
      <c r="K681">
        <v>0.12</v>
      </c>
      <c r="M681" t="s">
        <v>8007</v>
      </c>
      <c r="N681">
        <v>43.749</v>
      </c>
      <c r="V681" t="s">
        <v>7847</v>
      </c>
      <c r="W681" t="s">
        <v>7848</v>
      </c>
      <c r="X681" t="s">
        <v>7932</v>
      </c>
      <c r="Y681">
        <v>229.068</v>
      </c>
      <c r="Z681" t="s">
        <v>7908</v>
      </c>
      <c r="AA681">
        <v>23.833</v>
      </c>
      <c r="AB681">
        <v>0.12</v>
      </c>
    </row>
    <row r="682" spans="1:28">
      <c r="A682" t="s">
        <v>4394</v>
      </c>
      <c r="B682" t="s">
        <v>4395</v>
      </c>
      <c r="C682" t="s">
        <v>4396</v>
      </c>
      <c r="D682" t="s">
        <v>7847</v>
      </c>
      <c r="E682" t="s">
        <v>7839</v>
      </c>
      <c r="F682" t="s">
        <v>7935</v>
      </c>
      <c r="G682" t="s">
        <v>7901</v>
      </c>
      <c r="H682" t="s">
        <v>9</v>
      </c>
      <c r="I682">
        <v>51.1</v>
      </c>
      <c r="J682">
        <v>42.109</v>
      </c>
      <c r="K682">
        <v>0.3</v>
      </c>
      <c r="M682" t="s">
        <v>7854</v>
      </c>
      <c r="N682">
        <v>70.353</v>
      </c>
      <c r="V682" t="s">
        <v>7847</v>
      </c>
      <c r="W682" t="s">
        <v>7839</v>
      </c>
      <c r="X682" t="s">
        <v>7935</v>
      </c>
      <c r="Y682">
        <v>51.1</v>
      </c>
      <c r="Z682" t="s">
        <v>7901</v>
      </c>
      <c r="AA682">
        <v>42.109</v>
      </c>
      <c r="AB682">
        <v>0.3</v>
      </c>
    </row>
    <row r="683" spans="1:28">
      <c r="A683" t="s">
        <v>4715</v>
      </c>
      <c r="B683" t="s">
        <v>4716</v>
      </c>
      <c r="C683" t="s">
        <v>4717</v>
      </c>
      <c r="D683" t="s">
        <v>7862</v>
      </c>
      <c r="E683" t="s">
        <v>7839</v>
      </c>
      <c r="F683" t="s">
        <v>7932</v>
      </c>
      <c r="G683" t="s">
        <v>8092</v>
      </c>
      <c r="H683" t="s">
        <v>9</v>
      </c>
      <c r="I683">
        <v>753.729</v>
      </c>
      <c r="J683">
        <v>99.996</v>
      </c>
      <c r="K683">
        <v>0.15</v>
      </c>
      <c r="M683" t="s">
        <v>8118</v>
      </c>
      <c r="N683">
        <v>17468.779</v>
      </c>
      <c r="V683" t="s">
        <v>7862</v>
      </c>
      <c r="W683" t="s">
        <v>7839</v>
      </c>
      <c r="X683" t="s">
        <v>7932</v>
      </c>
      <c r="Y683">
        <v>753.729</v>
      </c>
      <c r="Z683" t="s">
        <v>8092</v>
      </c>
      <c r="AA683">
        <v>99.996</v>
      </c>
      <c r="AB683">
        <v>0.15</v>
      </c>
    </row>
    <row r="684" spans="1:28">
      <c r="A684" t="s">
        <v>4421</v>
      </c>
      <c r="B684" t="s">
        <v>4422</v>
      </c>
      <c r="C684" t="s">
        <v>4423</v>
      </c>
      <c r="D684" t="s">
        <v>7862</v>
      </c>
      <c r="E684" t="s">
        <v>7839</v>
      </c>
      <c r="F684" t="s">
        <v>7935</v>
      </c>
      <c r="G684" t="s">
        <v>7907</v>
      </c>
      <c r="H684" t="s">
        <v>9</v>
      </c>
      <c r="I684">
        <v>19.871</v>
      </c>
      <c r="J684">
        <v>27.265</v>
      </c>
      <c r="K684">
        <v>0.06</v>
      </c>
      <c r="M684" t="s">
        <v>8075</v>
      </c>
      <c r="N684">
        <v>7.448</v>
      </c>
      <c r="V684" t="s">
        <v>7862</v>
      </c>
      <c r="W684" t="s">
        <v>7839</v>
      </c>
      <c r="X684" t="s">
        <v>7935</v>
      </c>
      <c r="Y684">
        <v>19.871</v>
      </c>
      <c r="Z684" t="s">
        <v>7907</v>
      </c>
      <c r="AA684">
        <v>27.265</v>
      </c>
      <c r="AB684">
        <v>0.06</v>
      </c>
    </row>
    <row r="685" spans="1:28">
      <c r="A685" t="s">
        <v>5329</v>
      </c>
      <c r="B685" t="s">
        <v>5330</v>
      </c>
      <c r="C685" t="s">
        <v>5331</v>
      </c>
      <c r="D685" t="s">
        <v>7864</v>
      </c>
      <c r="E685" t="s">
        <v>7839</v>
      </c>
      <c r="F685" t="s">
        <v>7840</v>
      </c>
      <c r="G685" t="s">
        <v>8030</v>
      </c>
      <c r="H685" t="s">
        <v>9</v>
      </c>
      <c r="I685">
        <v>131.62</v>
      </c>
      <c r="J685">
        <v>27.76</v>
      </c>
      <c r="K685">
        <v>0.33</v>
      </c>
      <c r="M685" t="s">
        <v>8116</v>
      </c>
      <c r="N685">
        <v>6947.991</v>
      </c>
      <c r="V685" t="s">
        <v>7864</v>
      </c>
      <c r="W685" t="s">
        <v>7839</v>
      </c>
      <c r="X685" t="s">
        <v>7840</v>
      </c>
      <c r="Y685">
        <v>131.62</v>
      </c>
      <c r="Z685" t="s">
        <v>8030</v>
      </c>
      <c r="AA685">
        <v>27.76</v>
      </c>
      <c r="AB685">
        <v>0.33</v>
      </c>
    </row>
    <row r="686" spans="1:28">
      <c r="A686" t="s">
        <v>5316</v>
      </c>
      <c r="B686" t="s">
        <v>5317</v>
      </c>
      <c r="C686" t="s">
        <v>5318</v>
      </c>
      <c r="D686" t="s">
        <v>7847</v>
      </c>
      <c r="E686" t="s">
        <v>7839</v>
      </c>
      <c r="F686" t="s">
        <v>7840</v>
      </c>
      <c r="G686" t="s">
        <v>7946</v>
      </c>
      <c r="H686" t="s">
        <v>9</v>
      </c>
      <c r="I686">
        <v>122.215</v>
      </c>
      <c r="J686">
        <v>19.405</v>
      </c>
      <c r="K686">
        <v>0.49</v>
      </c>
      <c r="M686" t="s">
        <v>7908</v>
      </c>
      <c r="N686">
        <v>229.068</v>
      </c>
      <c r="V686" t="s">
        <v>7847</v>
      </c>
      <c r="W686" t="s">
        <v>7839</v>
      </c>
      <c r="X686" t="s">
        <v>7840</v>
      </c>
      <c r="Y686">
        <v>122.215</v>
      </c>
      <c r="Z686" t="s">
        <v>7946</v>
      </c>
      <c r="AA686">
        <v>19.405</v>
      </c>
      <c r="AB686">
        <v>0.49</v>
      </c>
    </row>
    <row r="687" spans="1:28">
      <c r="A687" t="s">
        <v>3674</v>
      </c>
      <c r="B687" t="s">
        <v>3675</v>
      </c>
      <c r="C687" t="s">
        <v>3676</v>
      </c>
      <c r="D687" t="s">
        <v>7862</v>
      </c>
      <c r="E687" t="s">
        <v>7839</v>
      </c>
      <c r="F687" t="s">
        <v>7932</v>
      </c>
      <c r="G687" t="s">
        <v>7861</v>
      </c>
      <c r="H687" t="s">
        <v>9</v>
      </c>
      <c r="I687">
        <v>16521.6</v>
      </c>
      <c r="J687">
        <v>100.001</v>
      </c>
      <c r="K687">
        <v>0.15</v>
      </c>
      <c r="M687" t="s">
        <v>7901</v>
      </c>
      <c r="N687">
        <v>51.1</v>
      </c>
      <c r="V687" t="s">
        <v>7862</v>
      </c>
      <c r="W687" t="s">
        <v>7839</v>
      </c>
      <c r="X687" t="s">
        <v>7932</v>
      </c>
      <c r="Y687">
        <v>16521.6</v>
      </c>
      <c r="Z687" t="s">
        <v>7861</v>
      </c>
      <c r="AA687">
        <v>100.001</v>
      </c>
      <c r="AB687">
        <v>0.15</v>
      </c>
    </row>
    <row r="688" spans="1:28">
      <c r="A688" t="s">
        <v>3917</v>
      </c>
      <c r="B688" t="s">
        <v>3918</v>
      </c>
      <c r="C688" t="s">
        <v>3919</v>
      </c>
      <c r="D688" t="s">
        <v>7862</v>
      </c>
      <c r="E688" t="s">
        <v>7839</v>
      </c>
      <c r="F688" t="s">
        <v>7932</v>
      </c>
      <c r="G688" t="s">
        <v>7854</v>
      </c>
      <c r="H688" t="s">
        <v>9</v>
      </c>
      <c r="I688">
        <v>6454.237</v>
      </c>
      <c r="J688">
        <v>100.002</v>
      </c>
      <c r="K688">
        <v>0.15</v>
      </c>
      <c r="M688" t="s">
        <v>8092</v>
      </c>
      <c r="N688">
        <v>753.729</v>
      </c>
      <c r="V688" t="s">
        <v>7862</v>
      </c>
      <c r="W688" t="s">
        <v>7839</v>
      </c>
      <c r="X688" t="s">
        <v>7932</v>
      </c>
      <c r="Y688">
        <v>6454.237</v>
      </c>
      <c r="Z688" t="s">
        <v>7854</v>
      </c>
      <c r="AA688">
        <v>100.002</v>
      </c>
      <c r="AB688">
        <v>0.15</v>
      </c>
    </row>
    <row r="689" spans="1:28">
      <c r="A689" t="s">
        <v>4925</v>
      </c>
      <c r="B689" t="s">
        <v>4926</v>
      </c>
      <c r="C689" t="s">
        <v>4927</v>
      </c>
      <c r="D689" t="s">
        <v>7847</v>
      </c>
      <c r="E689" t="s">
        <v>7839</v>
      </c>
      <c r="F689" t="s">
        <v>7932</v>
      </c>
      <c r="G689" t="s">
        <v>7865</v>
      </c>
      <c r="H689" t="s">
        <v>9</v>
      </c>
      <c r="I689">
        <v>1466.267</v>
      </c>
      <c r="J689">
        <v>42.08</v>
      </c>
      <c r="K689">
        <v>0.25</v>
      </c>
      <c r="M689" t="s">
        <v>7907</v>
      </c>
      <c r="N689">
        <v>19.871</v>
      </c>
      <c r="V689" t="s">
        <v>7847</v>
      </c>
      <c r="W689" t="s">
        <v>7839</v>
      </c>
      <c r="X689" t="s">
        <v>7932</v>
      </c>
      <c r="Y689">
        <v>1466.267</v>
      </c>
      <c r="Z689" t="s">
        <v>7865</v>
      </c>
      <c r="AA689">
        <v>42.08</v>
      </c>
      <c r="AB689">
        <v>0.25</v>
      </c>
    </row>
    <row r="690" spans="1:28">
      <c r="A690" t="s">
        <v>4548</v>
      </c>
      <c r="B690" t="s">
        <v>4549</v>
      </c>
      <c r="C690" t="s">
        <v>4550</v>
      </c>
      <c r="D690" t="s">
        <v>7847</v>
      </c>
      <c r="E690" t="s">
        <v>7848</v>
      </c>
      <c r="F690" t="s">
        <v>7935</v>
      </c>
      <c r="G690" t="s">
        <v>7885</v>
      </c>
      <c r="H690" t="s">
        <v>9</v>
      </c>
      <c r="I690">
        <v>1213.102</v>
      </c>
      <c r="J690">
        <v>56.692</v>
      </c>
      <c r="K690">
        <v>0.46</v>
      </c>
      <c r="M690" t="s">
        <v>8030</v>
      </c>
      <c r="N690">
        <v>131.62</v>
      </c>
      <c r="V690" t="s">
        <v>7847</v>
      </c>
      <c r="W690" t="s">
        <v>7848</v>
      </c>
      <c r="X690" t="s">
        <v>7935</v>
      </c>
      <c r="Y690">
        <v>1213.102</v>
      </c>
      <c r="Z690" t="s">
        <v>7885</v>
      </c>
      <c r="AA690">
        <v>56.692</v>
      </c>
      <c r="AB690">
        <v>0.46</v>
      </c>
    </row>
    <row r="691" spans="1:28">
      <c r="A691" t="s">
        <v>930</v>
      </c>
      <c r="B691" t="s">
        <v>931</v>
      </c>
      <c r="C691" t="s">
        <v>932</v>
      </c>
      <c r="D691" t="s">
        <v>7847</v>
      </c>
      <c r="E691" t="s">
        <v>7839</v>
      </c>
      <c r="F691" t="s">
        <v>7935</v>
      </c>
      <c r="G691" t="s">
        <v>7954</v>
      </c>
      <c r="H691" t="s">
        <v>9</v>
      </c>
      <c r="I691">
        <v>73.25</v>
      </c>
      <c r="J691">
        <v>24.601</v>
      </c>
      <c r="K691">
        <v>0.39</v>
      </c>
      <c r="M691" t="s">
        <v>7946</v>
      </c>
      <c r="N691">
        <v>122.215</v>
      </c>
      <c r="V691" t="s">
        <v>7847</v>
      </c>
      <c r="W691" t="s">
        <v>7839</v>
      </c>
      <c r="X691" t="s">
        <v>7935</v>
      </c>
      <c r="Y691">
        <v>73.25</v>
      </c>
      <c r="Z691" t="s">
        <v>7954</v>
      </c>
      <c r="AA691">
        <v>24.601</v>
      </c>
      <c r="AB691">
        <v>0.39</v>
      </c>
    </row>
    <row r="692" spans="1:28">
      <c r="A692" t="s">
        <v>5054</v>
      </c>
      <c r="B692" t="s">
        <v>5055</v>
      </c>
      <c r="C692" t="s">
        <v>5056</v>
      </c>
      <c r="D692" t="s">
        <v>7862</v>
      </c>
      <c r="E692" t="s">
        <v>7839</v>
      </c>
      <c r="F692" t="s">
        <v>7932</v>
      </c>
      <c r="G692" t="s">
        <v>8098</v>
      </c>
      <c r="H692" t="s">
        <v>9</v>
      </c>
      <c r="I692">
        <v>141.082</v>
      </c>
      <c r="J692">
        <v>77.154</v>
      </c>
      <c r="K692">
        <v>0.19</v>
      </c>
      <c r="M692" t="s">
        <v>7861</v>
      </c>
      <c r="N692">
        <v>16521.6</v>
      </c>
      <c r="V692" t="s">
        <v>7862</v>
      </c>
      <c r="W692" t="s">
        <v>7839</v>
      </c>
      <c r="X692" t="s">
        <v>7932</v>
      </c>
      <c r="Y692">
        <v>141.082</v>
      </c>
      <c r="Z692" t="s">
        <v>8098</v>
      </c>
      <c r="AA692">
        <v>77.154</v>
      </c>
      <c r="AB692">
        <v>0.19</v>
      </c>
    </row>
    <row r="693" spans="1:28">
      <c r="A693" t="s">
        <v>3588</v>
      </c>
      <c r="B693" t="s">
        <v>3589</v>
      </c>
      <c r="C693" t="s">
        <v>3590</v>
      </c>
      <c r="D693" t="s">
        <v>7847</v>
      </c>
      <c r="E693" t="s">
        <v>7839</v>
      </c>
      <c r="F693" t="s">
        <v>7935</v>
      </c>
      <c r="G693" t="s">
        <v>7946</v>
      </c>
      <c r="H693" t="s">
        <v>9</v>
      </c>
      <c r="I693">
        <v>364.22</v>
      </c>
      <c r="J693">
        <v>10.582</v>
      </c>
      <c r="K693">
        <v>0.25</v>
      </c>
      <c r="M693" t="s">
        <v>7854</v>
      </c>
      <c r="N693">
        <v>6454.237</v>
      </c>
      <c r="V693" t="s">
        <v>7847</v>
      </c>
      <c r="W693" t="s">
        <v>7839</v>
      </c>
      <c r="X693" t="s">
        <v>7935</v>
      </c>
      <c r="Y693">
        <v>364.22</v>
      </c>
      <c r="Z693" t="s">
        <v>7946</v>
      </c>
      <c r="AA693">
        <v>10.582</v>
      </c>
      <c r="AB693">
        <v>0.25</v>
      </c>
    </row>
    <row r="694" spans="1:28">
      <c r="A694" t="s">
        <v>3389</v>
      </c>
      <c r="B694" t="s">
        <v>3390</v>
      </c>
      <c r="C694" t="s">
        <v>3391</v>
      </c>
      <c r="D694" t="s">
        <v>7847</v>
      </c>
      <c r="E694" t="s">
        <v>7839</v>
      </c>
      <c r="F694" t="s">
        <v>7932</v>
      </c>
      <c r="G694" t="s">
        <v>7977</v>
      </c>
      <c r="H694" t="s">
        <v>9</v>
      </c>
      <c r="I694">
        <v>303.065</v>
      </c>
      <c r="J694">
        <v>14.918</v>
      </c>
      <c r="K694">
        <v>0.18</v>
      </c>
      <c r="M694" t="s">
        <v>7865</v>
      </c>
      <c r="N694">
        <v>1466.267</v>
      </c>
      <c r="V694" t="s">
        <v>7847</v>
      </c>
      <c r="W694" t="s">
        <v>7839</v>
      </c>
      <c r="X694" t="s">
        <v>7932</v>
      </c>
      <c r="Y694">
        <v>303.065</v>
      </c>
      <c r="Z694" t="s">
        <v>7977</v>
      </c>
      <c r="AA694">
        <v>14.918</v>
      </c>
      <c r="AB694">
        <v>0.18</v>
      </c>
    </row>
    <row r="695" spans="1:28">
      <c r="A695" t="s">
        <v>4242</v>
      </c>
      <c r="B695" t="s">
        <v>4243</v>
      </c>
      <c r="C695" t="s">
        <v>4244</v>
      </c>
      <c r="D695" t="s">
        <v>7850</v>
      </c>
      <c r="E695" t="s">
        <v>7839</v>
      </c>
      <c r="F695" t="s">
        <v>7840</v>
      </c>
      <c r="G695" t="s">
        <v>7854</v>
      </c>
      <c r="H695" t="s">
        <v>9</v>
      </c>
      <c r="I695">
        <v>1485.955</v>
      </c>
      <c r="J695">
        <v>5.169</v>
      </c>
      <c r="K695">
        <v>0.18</v>
      </c>
      <c r="M695" t="s">
        <v>7885</v>
      </c>
      <c r="N695">
        <v>1213.102</v>
      </c>
      <c r="V695" t="s">
        <v>7850</v>
      </c>
      <c r="W695" t="s">
        <v>7839</v>
      </c>
      <c r="X695" t="s">
        <v>7840</v>
      </c>
      <c r="Y695">
        <v>1485.955</v>
      </c>
      <c r="Z695" t="s">
        <v>7854</v>
      </c>
      <c r="AA695">
        <v>5.169</v>
      </c>
      <c r="AB695">
        <v>0.18</v>
      </c>
    </row>
    <row r="696" spans="1:28">
      <c r="A696" t="s">
        <v>3092</v>
      </c>
      <c r="B696" t="s">
        <v>3093</v>
      </c>
      <c r="C696" t="s">
        <v>3094</v>
      </c>
      <c r="D696" t="s">
        <v>7864</v>
      </c>
      <c r="E696" t="s">
        <v>7839</v>
      </c>
      <c r="F696" t="s">
        <v>7840</v>
      </c>
      <c r="G696" t="s">
        <v>8099</v>
      </c>
      <c r="H696" t="s">
        <v>9</v>
      </c>
      <c r="I696">
        <v>289.664</v>
      </c>
      <c r="J696">
        <v>18.686</v>
      </c>
      <c r="K696">
        <v>0.2</v>
      </c>
      <c r="M696" t="s">
        <v>7954</v>
      </c>
      <c r="N696">
        <v>73.25</v>
      </c>
      <c r="V696" t="s">
        <v>7864</v>
      </c>
      <c r="W696" t="s">
        <v>7839</v>
      </c>
      <c r="X696" t="s">
        <v>7840</v>
      </c>
      <c r="Y696">
        <v>289.664</v>
      </c>
      <c r="Z696" t="s">
        <v>8099</v>
      </c>
      <c r="AA696">
        <v>18.686</v>
      </c>
      <c r="AB696">
        <v>0.2</v>
      </c>
    </row>
    <row r="697" spans="1:28">
      <c r="A697" t="s">
        <v>5237</v>
      </c>
      <c r="B697" t="s">
        <v>5238</v>
      </c>
      <c r="C697" t="s">
        <v>5239</v>
      </c>
      <c r="D697" t="s">
        <v>7862</v>
      </c>
      <c r="E697" t="s">
        <v>7839</v>
      </c>
      <c r="F697" t="s">
        <v>7840</v>
      </c>
      <c r="G697" t="s">
        <v>7988</v>
      </c>
      <c r="H697" t="s">
        <v>9</v>
      </c>
      <c r="I697">
        <v>1095.73</v>
      </c>
      <c r="J697">
        <v>60.732</v>
      </c>
      <c r="K697">
        <v>0.09</v>
      </c>
      <c r="M697" t="s">
        <v>8098</v>
      </c>
      <c r="N697">
        <v>141.082</v>
      </c>
      <c r="V697" t="s">
        <v>7862</v>
      </c>
      <c r="W697" t="s">
        <v>7839</v>
      </c>
      <c r="X697" t="s">
        <v>7840</v>
      </c>
      <c r="Y697">
        <v>1095.73</v>
      </c>
      <c r="Z697" t="s">
        <v>7988</v>
      </c>
      <c r="AA697">
        <v>60.732</v>
      </c>
      <c r="AB697">
        <v>0.09</v>
      </c>
    </row>
    <row r="698" spans="1:28">
      <c r="A698" t="s">
        <v>2982</v>
      </c>
      <c r="B698" t="s">
        <v>2983</v>
      </c>
      <c r="C698" t="s">
        <v>2984</v>
      </c>
      <c r="D698" t="s">
        <v>7847</v>
      </c>
      <c r="E698" t="s">
        <v>7839</v>
      </c>
      <c r="F698" t="s">
        <v>7840</v>
      </c>
      <c r="G698" t="s">
        <v>7890</v>
      </c>
      <c r="H698" t="s">
        <v>9</v>
      </c>
      <c r="I698">
        <v>165.067</v>
      </c>
      <c r="J698">
        <v>28.302</v>
      </c>
      <c r="K698">
        <v>0.32</v>
      </c>
      <c r="M698" t="s">
        <v>7946</v>
      </c>
      <c r="N698">
        <v>364.22</v>
      </c>
      <c r="V698" t="s">
        <v>7847</v>
      </c>
      <c r="W698" t="s">
        <v>7839</v>
      </c>
      <c r="X698" t="s">
        <v>7840</v>
      </c>
      <c r="Y698">
        <v>165.067</v>
      </c>
      <c r="Z698" t="s">
        <v>7890</v>
      </c>
      <c r="AA698">
        <v>28.302</v>
      </c>
      <c r="AB698">
        <v>0.32</v>
      </c>
    </row>
    <row r="699" spans="1:28">
      <c r="A699" t="s">
        <v>4200</v>
      </c>
      <c r="B699" t="s">
        <v>4201</v>
      </c>
      <c r="C699" t="s">
        <v>4202</v>
      </c>
      <c r="D699" t="s">
        <v>7844</v>
      </c>
      <c r="E699" t="s">
        <v>7848</v>
      </c>
      <c r="F699" t="s">
        <v>7935</v>
      </c>
      <c r="G699" t="s">
        <v>7872</v>
      </c>
      <c r="H699" t="s">
        <v>9</v>
      </c>
      <c r="I699">
        <v>29.747</v>
      </c>
      <c r="J699">
        <v>22.709</v>
      </c>
      <c r="K699">
        <v>0.3</v>
      </c>
      <c r="M699" t="s">
        <v>7977</v>
      </c>
      <c r="N699">
        <v>303.065</v>
      </c>
      <c r="V699" t="s">
        <v>7844</v>
      </c>
      <c r="W699" t="s">
        <v>7848</v>
      </c>
      <c r="X699" t="s">
        <v>7935</v>
      </c>
      <c r="Y699">
        <v>29.747</v>
      </c>
      <c r="Z699" t="s">
        <v>7872</v>
      </c>
      <c r="AA699">
        <v>22.709</v>
      </c>
      <c r="AB699">
        <v>0.3</v>
      </c>
    </row>
    <row r="700" spans="1:28">
      <c r="A700" t="s">
        <v>4599</v>
      </c>
      <c r="B700" t="s">
        <v>4600</v>
      </c>
      <c r="C700" t="s">
        <v>4601</v>
      </c>
      <c r="D700" t="s">
        <v>7850</v>
      </c>
      <c r="E700" t="s">
        <v>7839</v>
      </c>
      <c r="F700" t="s">
        <v>7853</v>
      </c>
      <c r="G700" t="s">
        <v>8053</v>
      </c>
      <c r="H700" t="s">
        <v>9</v>
      </c>
      <c r="I700">
        <v>60167.227</v>
      </c>
      <c r="J700">
        <v>2.691</v>
      </c>
      <c r="K700">
        <v>0.02</v>
      </c>
      <c r="M700" t="s">
        <v>7854</v>
      </c>
      <c r="N700">
        <v>1485.955</v>
      </c>
      <c r="V700" t="s">
        <v>7850</v>
      </c>
      <c r="W700" t="s">
        <v>7839</v>
      </c>
      <c r="X700" t="s">
        <v>7853</v>
      </c>
      <c r="Y700">
        <v>60167.227</v>
      </c>
      <c r="Z700" t="s">
        <v>8053</v>
      </c>
      <c r="AA700">
        <v>2.691</v>
      </c>
      <c r="AB700">
        <v>0.02</v>
      </c>
    </row>
    <row r="701" spans="1:28">
      <c r="A701" t="s">
        <v>4759</v>
      </c>
      <c r="B701" t="s">
        <v>4760</v>
      </c>
      <c r="C701" t="s">
        <v>4761</v>
      </c>
      <c r="D701" t="s">
        <v>7862</v>
      </c>
      <c r="E701" t="s">
        <v>7839</v>
      </c>
      <c r="F701" t="s">
        <v>7932</v>
      </c>
      <c r="G701" t="s">
        <v>7854</v>
      </c>
      <c r="H701" t="s">
        <v>9</v>
      </c>
      <c r="I701">
        <v>19890.867</v>
      </c>
      <c r="J701">
        <v>36.594</v>
      </c>
      <c r="K701">
        <v>0.15</v>
      </c>
      <c r="M701" t="s">
        <v>8099</v>
      </c>
      <c r="N701">
        <v>289.664</v>
      </c>
      <c r="V701" t="s">
        <v>7862</v>
      </c>
      <c r="W701" t="s">
        <v>7839</v>
      </c>
      <c r="X701" t="s">
        <v>7932</v>
      </c>
      <c r="Y701">
        <v>19890.867</v>
      </c>
      <c r="Z701" t="s">
        <v>7854</v>
      </c>
      <c r="AA701">
        <v>36.594</v>
      </c>
      <c r="AB701">
        <v>0.15</v>
      </c>
    </row>
    <row r="702" spans="1:28">
      <c r="A702" t="s">
        <v>4628</v>
      </c>
      <c r="B702" t="s">
        <v>4629</v>
      </c>
      <c r="C702" t="s">
        <v>4630</v>
      </c>
      <c r="D702" t="s">
        <v>7850</v>
      </c>
      <c r="E702" t="s">
        <v>7839</v>
      </c>
      <c r="F702" t="s">
        <v>7840</v>
      </c>
      <c r="G702" t="s">
        <v>7941</v>
      </c>
      <c r="H702" t="s">
        <v>9</v>
      </c>
      <c r="I702">
        <v>413.409</v>
      </c>
      <c r="J702">
        <v>9.371</v>
      </c>
      <c r="K702">
        <v>0.1</v>
      </c>
      <c r="M702" t="s">
        <v>7988</v>
      </c>
      <c r="N702">
        <v>1095.73</v>
      </c>
      <c r="V702" t="s">
        <v>7850</v>
      </c>
      <c r="W702" t="s">
        <v>7839</v>
      </c>
      <c r="X702" t="s">
        <v>7840</v>
      </c>
      <c r="Y702">
        <v>413.409</v>
      </c>
      <c r="Z702" t="s">
        <v>7941</v>
      </c>
      <c r="AA702">
        <v>9.371</v>
      </c>
      <c r="AB702">
        <v>0.1</v>
      </c>
    </row>
    <row r="703" spans="1:28">
      <c r="A703" t="s">
        <v>4539</v>
      </c>
      <c r="B703" t="s">
        <v>4540</v>
      </c>
      <c r="C703" t="s">
        <v>4541</v>
      </c>
      <c r="D703" t="s">
        <v>7862</v>
      </c>
      <c r="E703" t="s">
        <v>7839</v>
      </c>
      <c r="F703" t="s">
        <v>7935</v>
      </c>
      <c r="G703" t="s">
        <v>7943</v>
      </c>
      <c r="H703" t="s">
        <v>9</v>
      </c>
      <c r="I703">
        <v>2264.253</v>
      </c>
      <c r="J703">
        <v>21.134</v>
      </c>
      <c r="K703">
        <v>0.08</v>
      </c>
      <c r="M703" t="s">
        <v>7890</v>
      </c>
      <c r="N703">
        <v>165.067</v>
      </c>
      <c r="V703" t="s">
        <v>7862</v>
      </c>
      <c r="W703" t="s">
        <v>7839</v>
      </c>
      <c r="X703" t="s">
        <v>7935</v>
      </c>
      <c r="Y703">
        <v>2264.253</v>
      </c>
      <c r="Z703" t="s">
        <v>7943</v>
      </c>
      <c r="AA703">
        <v>21.134</v>
      </c>
      <c r="AB703">
        <v>0.08</v>
      </c>
    </row>
    <row r="704" spans="1:28">
      <c r="A704" t="s">
        <v>3124</v>
      </c>
      <c r="B704" t="s">
        <v>3125</v>
      </c>
      <c r="C704" t="s">
        <v>3126</v>
      </c>
      <c r="D704" t="s">
        <v>7847</v>
      </c>
      <c r="E704" t="s">
        <v>7839</v>
      </c>
      <c r="F704" t="s">
        <v>7840</v>
      </c>
      <c r="G704" t="s">
        <v>8070</v>
      </c>
      <c r="H704" t="s">
        <v>9</v>
      </c>
      <c r="I704">
        <v>63.113</v>
      </c>
      <c r="J704">
        <v>20.937</v>
      </c>
      <c r="K704">
        <v>0.18</v>
      </c>
      <c r="M704" t="s">
        <v>7872</v>
      </c>
      <c r="N704">
        <v>29.747</v>
      </c>
      <c r="V704" t="s">
        <v>7847</v>
      </c>
      <c r="W704" t="s">
        <v>7839</v>
      </c>
      <c r="X704" t="s">
        <v>7840</v>
      </c>
      <c r="Y704">
        <v>63.113</v>
      </c>
      <c r="Z704" t="s">
        <v>8070</v>
      </c>
      <c r="AA704">
        <v>20.937</v>
      </c>
      <c r="AB704">
        <v>0.18</v>
      </c>
    </row>
    <row r="705" spans="1:28">
      <c r="A705" t="s">
        <v>4679</v>
      </c>
      <c r="B705" t="s">
        <v>4680</v>
      </c>
      <c r="C705" t="s">
        <v>4681</v>
      </c>
      <c r="D705" t="s">
        <v>7862</v>
      </c>
      <c r="E705" t="s">
        <v>7839</v>
      </c>
      <c r="F705" t="s">
        <v>7932</v>
      </c>
      <c r="G705" t="s">
        <v>7885</v>
      </c>
      <c r="H705" t="s">
        <v>9</v>
      </c>
      <c r="I705">
        <v>911.826</v>
      </c>
      <c r="J705">
        <v>99.992</v>
      </c>
      <c r="K705">
        <v>0.14</v>
      </c>
      <c r="M705" t="s">
        <v>8053</v>
      </c>
      <c r="N705">
        <v>60167.227</v>
      </c>
      <c r="V705" t="s">
        <v>7862</v>
      </c>
      <c r="W705" t="s">
        <v>7839</v>
      </c>
      <c r="X705" t="s">
        <v>7932</v>
      </c>
      <c r="Y705">
        <v>911.826</v>
      </c>
      <c r="Z705" t="s">
        <v>7885</v>
      </c>
      <c r="AA705">
        <v>99.992</v>
      </c>
      <c r="AB705">
        <v>0.14</v>
      </c>
    </row>
    <row r="706" spans="1:28">
      <c r="A706" t="s">
        <v>4323</v>
      </c>
      <c r="B706" t="s">
        <v>4324</v>
      </c>
      <c r="C706" t="s">
        <v>4325</v>
      </c>
      <c r="D706" t="s">
        <v>7850</v>
      </c>
      <c r="E706" t="s">
        <v>7839</v>
      </c>
      <c r="F706" t="s">
        <v>7840</v>
      </c>
      <c r="G706" t="s">
        <v>7861</v>
      </c>
      <c r="H706" t="s">
        <v>9</v>
      </c>
      <c r="I706">
        <v>18.06</v>
      </c>
      <c r="J706">
        <v>10.773</v>
      </c>
      <c r="K706">
        <v>0.18</v>
      </c>
      <c r="M706" t="s">
        <v>7854</v>
      </c>
      <c r="N706">
        <v>19890.867</v>
      </c>
      <c r="V706" t="s">
        <v>7850</v>
      </c>
      <c r="W706" t="s">
        <v>7839</v>
      </c>
      <c r="X706" t="s">
        <v>7840</v>
      </c>
      <c r="Y706">
        <v>18.06</v>
      </c>
      <c r="Z706" t="s">
        <v>7861</v>
      </c>
      <c r="AA706">
        <v>10.773</v>
      </c>
      <c r="AB706">
        <v>0.18</v>
      </c>
    </row>
    <row r="707" spans="1:28">
      <c r="A707" t="s">
        <v>4582</v>
      </c>
      <c r="B707" t="s">
        <v>4583</v>
      </c>
      <c r="C707" t="s">
        <v>4584</v>
      </c>
      <c r="D707" t="s">
        <v>7862</v>
      </c>
      <c r="E707" t="s">
        <v>7839</v>
      </c>
      <c r="F707" t="s">
        <v>7932</v>
      </c>
      <c r="G707" t="s">
        <v>8117</v>
      </c>
      <c r="H707" t="s">
        <v>9</v>
      </c>
      <c r="I707">
        <v>4833.888</v>
      </c>
      <c r="J707">
        <v>53.38</v>
      </c>
      <c r="K707">
        <v>0.02</v>
      </c>
      <c r="M707" t="s">
        <v>7941</v>
      </c>
      <c r="N707">
        <v>413.409</v>
      </c>
      <c r="V707" t="s">
        <v>7862</v>
      </c>
      <c r="W707" t="s">
        <v>7839</v>
      </c>
      <c r="X707" t="s">
        <v>7932</v>
      </c>
      <c r="Y707">
        <v>4833.888</v>
      </c>
      <c r="Z707" t="s">
        <v>8117</v>
      </c>
      <c r="AA707">
        <v>53.38</v>
      </c>
      <c r="AB707">
        <v>0.02</v>
      </c>
    </row>
    <row r="708" spans="1:28">
      <c r="A708" t="s">
        <v>4591</v>
      </c>
      <c r="B708" t="s">
        <v>4592</v>
      </c>
      <c r="C708" t="s">
        <v>4593</v>
      </c>
      <c r="D708" t="s">
        <v>7862</v>
      </c>
      <c r="E708" t="s">
        <v>7839</v>
      </c>
      <c r="F708" t="s">
        <v>7932</v>
      </c>
      <c r="G708" t="s">
        <v>8117</v>
      </c>
      <c r="H708" t="s">
        <v>9</v>
      </c>
      <c r="I708">
        <v>564.587</v>
      </c>
      <c r="J708">
        <v>27.677</v>
      </c>
      <c r="K708">
        <v>0.05</v>
      </c>
      <c r="M708" t="s">
        <v>7943</v>
      </c>
      <c r="N708">
        <v>2264.253</v>
      </c>
      <c r="V708" t="s">
        <v>7862</v>
      </c>
      <c r="W708" t="s">
        <v>7839</v>
      </c>
      <c r="X708" t="s">
        <v>7932</v>
      </c>
      <c r="Y708">
        <v>564.587</v>
      </c>
      <c r="Z708" t="s">
        <v>8117</v>
      </c>
      <c r="AA708">
        <v>27.677</v>
      </c>
      <c r="AB708">
        <v>0.05</v>
      </c>
    </row>
    <row r="709" spans="1:28">
      <c r="A709" t="s">
        <v>4798</v>
      </c>
      <c r="B709" t="s">
        <v>4030</v>
      </c>
      <c r="C709" t="s">
        <v>4799</v>
      </c>
      <c r="D709" t="s">
        <v>7862</v>
      </c>
      <c r="E709" t="s">
        <v>7839</v>
      </c>
      <c r="F709" t="s">
        <v>7932</v>
      </c>
      <c r="G709" t="s">
        <v>7852</v>
      </c>
      <c r="H709" t="s">
        <v>9</v>
      </c>
      <c r="I709">
        <v>3902.758</v>
      </c>
      <c r="J709">
        <v>51.874</v>
      </c>
      <c r="K709">
        <v>0.134</v>
      </c>
      <c r="M709" t="s">
        <v>8070</v>
      </c>
      <c r="N709">
        <v>63.113</v>
      </c>
      <c r="V709" t="s">
        <v>7862</v>
      </c>
      <c r="W709" t="s">
        <v>7839</v>
      </c>
      <c r="X709" t="s">
        <v>7932</v>
      </c>
      <c r="Y709">
        <v>3902.758</v>
      </c>
      <c r="Z709" t="s">
        <v>7852</v>
      </c>
      <c r="AA709">
        <v>51.874</v>
      </c>
      <c r="AB709">
        <v>0.134</v>
      </c>
    </row>
    <row r="710" spans="1:28">
      <c r="A710" t="s">
        <v>4451</v>
      </c>
      <c r="B710" t="s">
        <v>4452</v>
      </c>
      <c r="C710" t="s">
        <v>4453</v>
      </c>
      <c r="D710" t="s">
        <v>7862</v>
      </c>
      <c r="E710" t="s">
        <v>7840</v>
      </c>
      <c r="F710" t="s">
        <v>7932</v>
      </c>
      <c r="G710" t="s">
        <v>7952</v>
      </c>
      <c r="H710" t="s">
        <v>9</v>
      </c>
      <c r="I710">
        <v>115.149</v>
      </c>
      <c r="K710">
        <v>0.2</v>
      </c>
      <c r="M710" t="s">
        <v>7885</v>
      </c>
      <c r="N710">
        <v>911.826</v>
      </c>
      <c r="V710" t="s">
        <v>7862</v>
      </c>
      <c r="W710" t="s">
        <v>7840</v>
      </c>
      <c r="X710" t="s">
        <v>7932</v>
      </c>
      <c r="Y710">
        <v>115.149</v>
      </c>
      <c r="Z710" t="s">
        <v>7952</v>
      </c>
      <c r="AB710">
        <v>0.2</v>
      </c>
    </row>
    <row r="711" spans="1:28">
      <c r="A711" t="s">
        <v>4966</v>
      </c>
      <c r="B711" t="s">
        <v>4967</v>
      </c>
      <c r="C711" t="s">
        <v>4968</v>
      </c>
      <c r="D711" t="s">
        <v>7844</v>
      </c>
      <c r="E711" t="s">
        <v>7839</v>
      </c>
      <c r="F711" t="s">
        <v>7935</v>
      </c>
      <c r="G711" t="s">
        <v>8092</v>
      </c>
      <c r="H711" t="s">
        <v>9</v>
      </c>
      <c r="I711">
        <v>13.032</v>
      </c>
      <c r="J711">
        <v>33.089</v>
      </c>
      <c r="K711">
        <v>0.3</v>
      </c>
      <c r="M711" t="s">
        <v>7861</v>
      </c>
      <c r="N711">
        <v>18.06</v>
      </c>
      <c r="V711" t="s">
        <v>7844</v>
      </c>
      <c r="W711" t="s">
        <v>7839</v>
      </c>
      <c r="X711" t="s">
        <v>7935</v>
      </c>
      <c r="Y711">
        <v>13.032</v>
      </c>
      <c r="Z711" t="s">
        <v>8092</v>
      </c>
      <c r="AA711">
        <v>33.089</v>
      </c>
      <c r="AB711">
        <v>0.3</v>
      </c>
    </row>
    <row r="712" spans="1:28">
      <c r="A712" t="s">
        <v>6090</v>
      </c>
      <c r="B712" t="s">
        <v>6091</v>
      </c>
      <c r="C712" t="s">
        <v>6092</v>
      </c>
      <c r="D712" t="s">
        <v>7850</v>
      </c>
      <c r="E712" t="s">
        <v>7839</v>
      </c>
      <c r="F712" t="s">
        <v>7853</v>
      </c>
      <c r="G712" t="s">
        <v>7854</v>
      </c>
      <c r="H712" t="s">
        <v>9</v>
      </c>
      <c r="I712">
        <v>451.874</v>
      </c>
      <c r="J712">
        <v>20.766</v>
      </c>
      <c r="K712">
        <v>0.35</v>
      </c>
      <c r="M712" t="s">
        <v>8117</v>
      </c>
      <c r="N712">
        <v>4833.888</v>
      </c>
      <c r="V712" t="s">
        <v>7850</v>
      </c>
      <c r="W712" t="s">
        <v>7839</v>
      </c>
      <c r="X712" t="s">
        <v>7853</v>
      </c>
      <c r="Y712">
        <v>451.874</v>
      </c>
      <c r="Z712" t="s">
        <v>7854</v>
      </c>
      <c r="AA712">
        <v>20.766</v>
      </c>
      <c r="AB712">
        <v>0.35</v>
      </c>
    </row>
    <row r="713" spans="1:28">
      <c r="A713" t="s">
        <v>4290</v>
      </c>
      <c r="B713" t="s">
        <v>4291</v>
      </c>
      <c r="C713" t="s">
        <v>4292</v>
      </c>
      <c r="D713" t="s">
        <v>7844</v>
      </c>
      <c r="E713" t="s">
        <v>7839</v>
      </c>
      <c r="F713" t="s">
        <v>7932</v>
      </c>
      <c r="G713" t="s">
        <v>8002</v>
      </c>
      <c r="H713" t="s">
        <v>9</v>
      </c>
      <c r="I713">
        <v>23.908</v>
      </c>
      <c r="J713">
        <v>17.571</v>
      </c>
      <c r="K713">
        <v>0.16</v>
      </c>
      <c r="M713" t="s">
        <v>8117</v>
      </c>
      <c r="N713">
        <v>564.587</v>
      </c>
      <c r="V713" t="s">
        <v>7844</v>
      </c>
      <c r="W713" t="s">
        <v>7839</v>
      </c>
      <c r="X713" t="s">
        <v>7932</v>
      </c>
      <c r="Y713">
        <v>23.908</v>
      </c>
      <c r="Z713" t="s">
        <v>8002</v>
      </c>
      <c r="AA713">
        <v>17.571</v>
      </c>
      <c r="AB713">
        <v>0.16</v>
      </c>
    </row>
    <row r="714" spans="1:28">
      <c r="A714" t="s">
        <v>4293</v>
      </c>
      <c r="B714" t="s">
        <v>4294</v>
      </c>
      <c r="C714" t="s">
        <v>4295</v>
      </c>
      <c r="D714" t="s">
        <v>7844</v>
      </c>
      <c r="E714" t="s">
        <v>7839</v>
      </c>
      <c r="F714" t="s">
        <v>7935</v>
      </c>
      <c r="G714" t="s">
        <v>8028</v>
      </c>
      <c r="H714" t="s">
        <v>9</v>
      </c>
      <c r="I714">
        <v>1349.958</v>
      </c>
      <c r="J714">
        <v>16.911</v>
      </c>
      <c r="K714">
        <v>0.25</v>
      </c>
      <c r="M714" t="s">
        <v>7852</v>
      </c>
      <c r="N714">
        <v>3902.758</v>
      </c>
      <c r="V714" t="s">
        <v>7844</v>
      </c>
      <c r="W714" t="s">
        <v>7839</v>
      </c>
      <c r="X714" t="s">
        <v>7935</v>
      </c>
      <c r="Y714">
        <v>1349.958</v>
      </c>
      <c r="Z714" t="s">
        <v>8028</v>
      </c>
      <c r="AA714">
        <v>16.911</v>
      </c>
      <c r="AB714">
        <v>0.25</v>
      </c>
    </row>
    <row r="715" spans="1:28">
      <c r="A715" t="s">
        <v>4038</v>
      </c>
      <c r="B715" t="s">
        <v>4039</v>
      </c>
      <c r="C715" t="s">
        <v>4040</v>
      </c>
      <c r="D715" t="s">
        <v>7847</v>
      </c>
      <c r="E715" t="s">
        <v>7839</v>
      </c>
      <c r="F715" t="s">
        <v>7932</v>
      </c>
      <c r="G715" t="s">
        <v>7938</v>
      </c>
      <c r="H715" t="s">
        <v>9</v>
      </c>
      <c r="I715">
        <v>1397.765</v>
      </c>
      <c r="J715">
        <v>15.091</v>
      </c>
      <c r="K715">
        <v>0.25</v>
      </c>
      <c r="M715" t="s">
        <v>7952</v>
      </c>
      <c r="N715">
        <v>115.149</v>
      </c>
      <c r="V715" t="s">
        <v>7847</v>
      </c>
      <c r="W715" t="s">
        <v>7839</v>
      </c>
      <c r="X715" t="s">
        <v>7932</v>
      </c>
      <c r="Y715">
        <v>1397.765</v>
      </c>
      <c r="Z715" t="s">
        <v>7938</v>
      </c>
      <c r="AA715">
        <v>15.091</v>
      </c>
      <c r="AB715">
        <v>0.25</v>
      </c>
    </row>
    <row r="716" spans="1:28">
      <c r="A716" t="s">
        <v>3855</v>
      </c>
      <c r="B716" t="s">
        <v>3856</v>
      </c>
      <c r="C716" t="s">
        <v>3857</v>
      </c>
      <c r="D716" t="s">
        <v>7847</v>
      </c>
      <c r="E716" t="s">
        <v>7839</v>
      </c>
      <c r="F716" t="s">
        <v>7932</v>
      </c>
      <c r="G716" t="s">
        <v>7969</v>
      </c>
      <c r="H716" t="s">
        <v>9</v>
      </c>
      <c r="I716">
        <v>181.417</v>
      </c>
      <c r="J716">
        <v>26.264</v>
      </c>
      <c r="K716">
        <v>0.24</v>
      </c>
      <c r="M716" t="s">
        <v>8092</v>
      </c>
      <c r="N716">
        <v>13.032</v>
      </c>
      <c r="V716" t="s">
        <v>7847</v>
      </c>
      <c r="W716" t="s">
        <v>7839</v>
      </c>
      <c r="X716" t="s">
        <v>7932</v>
      </c>
      <c r="Y716">
        <v>181.417</v>
      </c>
      <c r="Z716" t="s">
        <v>7969</v>
      </c>
      <c r="AA716">
        <v>26.264</v>
      </c>
      <c r="AB716">
        <v>0.24</v>
      </c>
    </row>
    <row r="717" spans="1:28">
      <c r="A717" t="s">
        <v>1771</v>
      </c>
      <c r="B717" t="s">
        <v>1772</v>
      </c>
      <c r="C717" t="s">
        <v>1773</v>
      </c>
      <c r="D717" t="s">
        <v>7862</v>
      </c>
      <c r="E717" t="s">
        <v>7839</v>
      </c>
      <c r="F717" t="s">
        <v>7840</v>
      </c>
      <c r="G717" t="s">
        <v>7858</v>
      </c>
      <c r="H717" t="s">
        <v>9</v>
      </c>
      <c r="I717">
        <v>18.364</v>
      </c>
      <c r="J717">
        <v>51.994</v>
      </c>
      <c r="K717">
        <v>0.4</v>
      </c>
      <c r="M717" t="s">
        <v>7854</v>
      </c>
      <c r="N717">
        <v>451.874</v>
      </c>
      <c r="V717" t="s">
        <v>7862</v>
      </c>
      <c r="W717" t="s">
        <v>7839</v>
      </c>
      <c r="X717" t="s">
        <v>7840</v>
      </c>
      <c r="Y717">
        <v>18.364</v>
      </c>
      <c r="Z717" t="s">
        <v>7858</v>
      </c>
      <c r="AA717">
        <v>51.994</v>
      </c>
      <c r="AB717">
        <v>0.4</v>
      </c>
    </row>
    <row r="718" spans="1:28">
      <c r="A718" t="s">
        <v>4248</v>
      </c>
      <c r="B718" t="s">
        <v>3941</v>
      </c>
      <c r="C718" t="s">
        <v>4249</v>
      </c>
      <c r="D718" t="s">
        <v>7862</v>
      </c>
      <c r="E718" t="s">
        <v>7839</v>
      </c>
      <c r="F718" t="s">
        <v>7840</v>
      </c>
      <c r="G718" t="s">
        <v>7854</v>
      </c>
      <c r="H718" t="s">
        <v>9</v>
      </c>
      <c r="I718">
        <v>2368.232</v>
      </c>
      <c r="J718">
        <v>30.15</v>
      </c>
      <c r="K718">
        <v>0.07</v>
      </c>
      <c r="M718" t="s">
        <v>8002</v>
      </c>
      <c r="N718">
        <v>23.908</v>
      </c>
      <c r="V718" t="s">
        <v>7862</v>
      </c>
      <c r="W718" t="s">
        <v>7839</v>
      </c>
      <c r="X718" t="s">
        <v>7840</v>
      </c>
      <c r="Y718">
        <v>2368.232</v>
      </c>
      <c r="Z718" t="s">
        <v>7854</v>
      </c>
      <c r="AA718">
        <v>30.15</v>
      </c>
      <c r="AB718">
        <v>0.07</v>
      </c>
    </row>
    <row r="719" spans="1:28">
      <c r="A719" t="s">
        <v>3790</v>
      </c>
      <c r="B719" t="s">
        <v>3791</v>
      </c>
      <c r="C719" t="s">
        <v>3792</v>
      </c>
      <c r="D719" t="s">
        <v>7847</v>
      </c>
      <c r="E719" t="s">
        <v>7839</v>
      </c>
      <c r="F719" t="s">
        <v>7840</v>
      </c>
      <c r="G719" t="s">
        <v>8080</v>
      </c>
      <c r="H719" t="s">
        <v>9</v>
      </c>
      <c r="I719">
        <v>154.465</v>
      </c>
      <c r="J719">
        <v>54.286</v>
      </c>
      <c r="K719">
        <v>0.4</v>
      </c>
      <c r="M719" t="s">
        <v>8028</v>
      </c>
      <c r="N719">
        <v>1349.958</v>
      </c>
      <c r="V719" t="s">
        <v>7847</v>
      </c>
      <c r="W719" t="s">
        <v>7839</v>
      </c>
      <c r="X719" t="s">
        <v>7840</v>
      </c>
      <c r="Y719">
        <v>154.465</v>
      </c>
      <c r="Z719" t="s">
        <v>8080</v>
      </c>
      <c r="AA719">
        <v>54.286</v>
      </c>
      <c r="AB719">
        <v>0.4</v>
      </c>
    </row>
    <row r="720" spans="1:28">
      <c r="A720" t="s">
        <v>4062</v>
      </c>
      <c r="B720" t="s">
        <v>4063</v>
      </c>
      <c r="C720" t="s">
        <v>4064</v>
      </c>
      <c r="D720" t="s">
        <v>7847</v>
      </c>
      <c r="E720" t="s">
        <v>7839</v>
      </c>
      <c r="F720" t="s">
        <v>7935</v>
      </c>
      <c r="G720" t="s">
        <v>8123</v>
      </c>
      <c r="H720" t="s">
        <v>9</v>
      </c>
      <c r="I720">
        <v>1738.999</v>
      </c>
      <c r="J720">
        <v>14.285</v>
      </c>
      <c r="K720">
        <v>0.25</v>
      </c>
      <c r="M720" t="s">
        <v>7938</v>
      </c>
      <c r="N720">
        <v>1397.765</v>
      </c>
      <c r="V720" t="s">
        <v>7847</v>
      </c>
      <c r="W720" t="s">
        <v>7839</v>
      </c>
      <c r="X720" t="s">
        <v>7935</v>
      </c>
      <c r="Y720">
        <v>1738.999</v>
      </c>
      <c r="Z720" t="s">
        <v>8123</v>
      </c>
      <c r="AA720">
        <v>14.285</v>
      </c>
      <c r="AB720">
        <v>0.25</v>
      </c>
    </row>
    <row r="721" spans="1:28">
      <c r="A721" t="s">
        <v>4391</v>
      </c>
      <c r="B721" t="s">
        <v>4392</v>
      </c>
      <c r="C721" t="s">
        <v>4393</v>
      </c>
      <c r="D721" t="s">
        <v>7850</v>
      </c>
      <c r="E721" t="s">
        <v>7839</v>
      </c>
      <c r="F721" t="s">
        <v>7935</v>
      </c>
      <c r="G721" t="s">
        <v>8075</v>
      </c>
      <c r="H721" t="s">
        <v>9</v>
      </c>
      <c r="I721">
        <v>50.093</v>
      </c>
      <c r="J721">
        <v>16.284</v>
      </c>
      <c r="K721">
        <v>0.15</v>
      </c>
      <c r="M721" t="s">
        <v>7969</v>
      </c>
      <c r="N721">
        <v>181.417</v>
      </c>
      <c r="V721" t="s">
        <v>7850</v>
      </c>
      <c r="W721" t="s">
        <v>7839</v>
      </c>
      <c r="X721" t="s">
        <v>7935</v>
      </c>
      <c r="Y721">
        <v>50.093</v>
      </c>
      <c r="Z721" t="s">
        <v>8075</v>
      </c>
      <c r="AA721">
        <v>16.284</v>
      </c>
      <c r="AB721">
        <v>0.15</v>
      </c>
    </row>
    <row r="722" spans="1:28">
      <c r="A722" t="s">
        <v>3920</v>
      </c>
      <c r="B722" t="s">
        <v>3921</v>
      </c>
      <c r="C722" t="s">
        <v>3922</v>
      </c>
      <c r="D722" t="s">
        <v>7847</v>
      </c>
      <c r="E722" t="s">
        <v>7839</v>
      </c>
      <c r="F722" t="s">
        <v>7935</v>
      </c>
      <c r="G722" t="s">
        <v>7845</v>
      </c>
      <c r="H722" t="s">
        <v>9</v>
      </c>
      <c r="I722">
        <v>6333.533</v>
      </c>
      <c r="J722">
        <v>6.51</v>
      </c>
      <c r="K722">
        <v>0.29</v>
      </c>
      <c r="M722" t="s">
        <v>7858</v>
      </c>
      <c r="N722">
        <v>18.364</v>
      </c>
      <c r="V722" t="s">
        <v>7847</v>
      </c>
      <c r="W722" t="s">
        <v>7839</v>
      </c>
      <c r="X722" t="s">
        <v>7935</v>
      </c>
      <c r="Y722">
        <v>6333.533</v>
      </c>
      <c r="Z722" t="s">
        <v>7845</v>
      </c>
      <c r="AA722">
        <v>6.51</v>
      </c>
      <c r="AB722">
        <v>0.29</v>
      </c>
    </row>
    <row r="723" spans="1:28">
      <c r="A723" t="s">
        <v>2908</v>
      </c>
      <c r="B723" t="s">
        <v>2909</v>
      </c>
      <c r="C723" t="s">
        <v>2910</v>
      </c>
      <c r="D723" t="s">
        <v>7855</v>
      </c>
      <c r="E723" t="s">
        <v>7839</v>
      </c>
      <c r="F723" t="s">
        <v>7840</v>
      </c>
      <c r="G723" t="s">
        <v>7938</v>
      </c>
      <c r="H723" t="s">
        <v>9</v>
      </c>
      <c r="I723">
        <v>2543.096</v>
      </c>
      <c r="J723">
        <v>62.741</v>
      </c>
      <c r="K723">
        <v>0.18</v>
      </c>
      <c r="M723" t="s">
        <v>7854</v>
      </c>
      <c r="N723">
        <v>2368.232</v>
      </c>
      <c r="V723" t="s">
        <v>7855</v>
      </c>
      <c r="W723" t="s">
        <v>7839</v>
      </c>
      <c r="X723" t="s">
        <v>7840</v>
      </c>
      <c r="Y723">
        <v>2543.096</v>
      </c>
      <c r="Z723" t="s">
        <v>7938</v>
      </c>
      <c r="AA723">
        <v>62.741</v>
      </c>
      <c r="AB723">
        <v>0.18</v>
      </c>
    </row>
    <row r="724" spans="1:28">
      <c r="A724" t="s">
        <v>5340</v>
      </c>
      <c r="B724" t="s">
        <v>5341</v>
      </c>
      <c r="C724" t="s">
        <v>5342</v>
      </c>
      <c r="D724" t="s">
        <v>7847</v>
      </c>
      <c r="E724" t="s">
        <v>7839</v>
      </c>
      <c r="F724" t="s">
        <v>7840</v>
      </c>
      <c r="G724" t="s">
        <v>7854</v>
      </c>
      <c r="H724" t="s">
        <v>9</v>
      </c>
      <c r="I724">
        <v>698.654</v>
      </c>
      <c r="J724">
        <v>4.109</v>
      </c>
      <c r="K724">
        <v>0.12</v>
      </c>
      <c r="M724" t="s">
        <v>8080</v>
      </c>
      <c r="N724">
        <v>154.465</v>
      </c>
      <c r="V724" t="s">
        <v>7847</v>
      </c>
      <c r="W724" t="s">
        <v>7839</v>
      </c>
      <c r="X724" t="s">
        <v>7840</v>
      </c>
      <c r="Y724">
        <v>698.654</v>
      </c>
      <c r="Z724" t="s">
        <v>7854</v>
      </c>
      <c r="AA724">
        <v>4.109</v>
      </c>
      <c r="AB724">
        <v>0.12</v>
      </c>
    </row>
    <row r="725" spans="1:28">
      <c r="A725" t="s">
        <v>3532</v>
      </c>
      <c r="B725" t="s">
        <v>3533</v>
      </c>
      <c r="C725" t="s">
        <v>3534</v>
      </c>
      <c r="D725" t="s">
        <v>7847</v>
      </c>
      <c r="E725" t="s">
        <v>7839</v>
      </c>
      <c r="F725" t="s">
        <v>7840</v>
      </c>
      <c r="G725" t="s">
        <v>7878</v>
      </c>
      <c r="H725" t="s">
        <v>9</v>
      </c>
      <c r="I725">
        <v>296.534</v>
      </c>
      <c r="J725">
        <v>99.996</v>
      </c>
      <c r="K725">
        <v>0.7</v>
      </c>
      <c r="M725" t="s">
        <v>8123</v>
      </c>
      <c r="N725">
        <v>1738.999</v>
      </c>
      <c r="V725" t="s">
        <v>7847</v>
      </c>
      <c r="W725" t="s">
        <v>7839</v>
      </c>
      <c r="X725" t="s">
        <v>7840</v>
      </c>
      <c r="Y725">
        <v>296.534</v>
      </c>
      <c r="Z725" t="s">
        <v>7878</v>
      </c>
      <c r="AA725">
        <v>99.996</v>
      </c>
      <c r="AB725">
        <v>0.7</v>
      </c>
    </row>
    <row r="726" spans="1:28">
      <c r="A726" t="s">
        <v>5530</v>
      </c>
      <c r="B726" t="s">
        <v>5531</v>
      </c>
      <c r="C726" t="s">
        <v>5532</v>
      </c>
      <c r="D726" t="s">
        <v>7847</v>
      </c>
      <c r="E726" t="s">
        <v>7848</v>
      </c>
      <c r="F726" t="s">
        <v>7853</v>
      </c>
      <c r="G726" t="s">
        <v>7985</v>
      </c>
      <c r="H726" t="s">
        <v>9</v>
      </c>
      <c r="I726">
        <v>13.574</v>
      </c>
      <c r="J726">
        <v>79.233</v>
      </c>
      <c r="K726">
        <v>0.39</v>
      </c>
      <c r="M726" t="s">
        <v>8075</v>
      </c>
      <c r="N726">
        <v>50.093</v>
      </c>
      <c r="V726" t="s">
        <v>7847</v>
      </c>
      <c r="W726" t="s">
        <v>7848</v>
      </c>
      <c r="X726" t="s">
        <v>7853</v>
      </c>
      <c r="Y726">
        <v>13.574</v>
      </c>
      <c r="Z726" t="s">
        <v>7985</v>
      </c>
      <c r="AA726">
        <v>79.233</v>
      </c>
      <c r="AB726">
        <v>0.39</v>
      </c>
    </row>
    <row r="727" spans="1:28">
      <c r="A727" t="s">
        <v>5123</v>
      </c>
      <c r="B727" t="s">
        <v>5124</v>
      </c>
      <c r="C727" t="s">
        <v>5125</v>
      </c>
      <c r="D727" t="s">
        <v>7850</v>
      </c>
      <c r="E727" t="s">
        <v>7839</v>
      </c>
      <c r="F727" t="s">
        <v>7840</v>
      </c>
      <c r="G727" t="s">
        <v>7997</v>
      </c>
      <c r="H727" t="s">
        <v>9</v>
      </c>
      <c r="I727">
        <v>4.962</v>
      </c>
      <c r="J727">
        <v>21.037</v>
      </c>
      <c r="K727">
        <v>0.15</v>
      </c>
      <c r="M727" t="s">
        <v>7845</v>
      </c>
      <c r="N727">
        <v>6333.533</v>
      </c>
      <c r="V727" t="s">
        <v>7850</v>
      </c>
      <c r="W727" t="s">
        <v>7839</v>
      </c>
      <c r="X727" t="s">
        <v>7840</v>
      </c>
      <c r="Y727">
        <v>4.962</v>
      </c>
      <c r="Z727" t="s">
        <v>7997</v>
      </c>
      <c r="AA727">
        <v>21.037</v>
      </c>
      <c r="AB727">
        <v>0.15</v>
      </c>
    </row>
    <row r="728" spans="1:28">
      <c r="A728" t="s">
        <v>4489</v>
      </c>
      <c r="B728" t="s">
        <v>4490</v>
      </c>
      <c r="C728" t="s">
        <v>4491</v>
      </c>
      <c r="D728" t="s">
        <v>7862</v>
      </c>
      <c r="E728" t="s">
        <v>7839</v>
      </c>
      <c r="F728" t="s">
        <v>7932</v>
      </c>
      <c r="G728" t="s">
        <v>8051</v>
      </c>
      <c r="H728" t="s">
        <v>9</v>
      </c>
      <c r="I728">
        <v>838.195</v>
      </c>
      <c r="J728">
        <v>79.902</v>
      </c>
      <c r="K728">
        <v>0.38</v>
      </c>
      <c r="M728" t="s">
        <v>7938</v>
      </c>
      <c r="N728">
        <v>2543.096</v>
      </c>
      <c r="V728" t="s">
        <v>7862</v>
      </c>
      <c r="W728" t="s">
        <v>7839</v>
      </c>
      <c r="X728" t="s">
        <v>7932</v>
      </c>
      <c r="Y728">
        <v>838.195</v>
      </c>
      <c r="Z728" t="s">
        <v>8051</v>
      </c>
      <c r="AA728">
        <v>79.902</v>
      </c>
      <c r="AB728">
        <v>0.38</v>
      </c>
    </row>
    <row r="729" spans="1:28">
      <c r="A729" t="s">
        <v>1222</v>
      </c>
      <c r="B729" t="s">
        <v>1223</v>
      </c>
      <c r="C729" t="s">
        <v>1224</v>
      </c>
      <c r="D729" t="s">
        <v>7850</v>
      </c>
      <c r="E729" t="s">
        <v>7839</v>
      </c>
      <c r="F729" t="s">
        <v>7840</v>
      </c>
      <c r="G729" t="s">
        <v>7854</v>
      </c>
      <c r="H729" t="s">
        <v>9</v>
      </c>
      <c r="I729">
        <v>22.014</v>
      </c>
      <c r="J729">
        <v>6.122</v>
      </c>
      <c r="K729">
        <v>0.18</v>
      </c>
      <c r="M729" t="s">
        <v>7854</v>
      </c>
      <c r="N729">
        <v>698.654</v>
      </c>
      <c r="V729" t="s">
        <v>7850</v>
      </c>
      <c r="W729" t="s">
        <v>7839</v>
      </c>
      <c r="X729" t="s">
        <v>7840</v>
      </c>
      <c r="Y729">
        <v>22.014</v>
      </c>
      <c r="Z729" t="s">
        <v>7854</v>
      </c>
      <c r="AA729">
        <v>6.122</v>
      </c>
      <c r="AB729">
        <v>0.18</v>
      </c>
    </row>
    <row r="730" spans="1:28">
      <c r="A730" t="s">
        <v>4710</v>
      </c>
      <c r="B730" t="s">
        <v>4711</v>
      </c>
      <c r="C730" t="s">
        <v>4712</v>
      </c>
      <c r="D730" t="s">
        <v>7862</v>
      </c>
      <c r="E730" t="s">
        <v>7839</v>
      </c>
      <c r="F730" t="s">
        <v>7932</v>
      </c>
      <c r="G730" t="s">
        <v>8002</v>
      </c>
      <c r="H730" t="s">
        <v>9</v>
      </c>
      <c r="I730">
        <v>6655.464</v>
      </c>
      <c r="J730">
        <v>50.625</v>
      </c>
      <c r="K730">
        <v>0.14</v>
      </c>
      <c r="M730" t="s">
        <v>7878</v>
      </c>
      <c r="N730">
        <v>296.534</v>
      </c>
      <c r="V730" t="s">
        <v>7862</v>
      </c>
      <c r="W730" t="s">
        <v>7839</v>
      </c>
      <c r="X730" t="s">
        <v>7932</v>
      </c>
      <c r="Y730">
        <v>6655.464</v>
      </c>
      <c r="Z730" t="s">
        <v>8002</v>
      </c>
      <c r="AA730">
        <v>50.625</v>
      </c>
      <c r="AB730">
        <v>0.14</v>
      </c>
    </row>
    <row r="731" spans="1:28">
      <c r="A731" t="s">
        <v>5745</v>
      </c>
      <c r="B731" t="s">
        <v>5746</v>
      </c>
      <c r="C731" t="s">
        <v>5747</v>
      </c>
      <c r="D731" t="s">
        <v>7847</v>
      </c>
      <c r="E731" t="s">
        <v>7839</v>
      </c>
      <c r="F731" t="s">
        <v>7840</v>
      </c>
      <c r="G731" t="s">
        <v>8123</v>
      </c>
      <c r="H731" t="s">
        <v>9</v>
      </c>
      <c r="I731">
        <v>113.524</v>
      </c>
      <c r="J731">
        <v>51.246</v>
      </c>
      <c r="K731">
        <v>0.35</v>
      </c>
      <c r="M731" t="s">
        <v>7985</v>
      </c>
      <c r="N731">
        <v>13.574</v>
      </c>
      <c r="V731" t="s">
        <v>7847</v>
      </c>
      <c r="W731" t="s">
        <v>7839</v>
      </c>
      <c r="X731" t="s">
        <v>7840</v>
      </c>
      <c r="Y731">
        <v>113.524</v>
      </c>
      <c r="Z731" t="s">
        <v>8123</v>
      </c>
      <c r="AA731">
        <v>51.246</v>
      </c>
      <c r="AB731">
        <v>0.35</v>
      </c>
    </row>
    <row r="732" spans="1:28">
      <c r="A732" t="s">
        <v>4035</v>
      </c>
      <c r="B732" t="s">
        <v>4036</v>
      </c>
      <c r="C732" t="s">
        <v>4037</v>
      </c>
      <c r="D732" t="s">
        <v>7847</v>
      </c>
      <c r="E732" t="s">
        <v>7839</v>
      </c>
      <c r="F732" t="s">
        <v>7932</v>
      </c>
      <c r="G732" t="s">
        <v>8107</v>
      </c>
      <c r="H732" t="s">
        <v>9</v>
      </c>
      <c r="I732">
        <v>111.342</v>
      </c>
      <c r="J732">
        <v>31.912</v>
      </c>
      <c r="K732">
        <v>0.25</v>
      </c>
      <c r="M732" t="s">
        <v>7997</v>
      </c>
      <c r="N732">
        <v>4.962</v>
      </c>
      <c r="V732" t="s">
        <v>7847</v>
      </c>
      <c r="W732" t="s">
        <v>7839</v>
      </c>
      <c r="X732" t="s">
        <v>7932</v>
      </c>
      <c r="Y732">
        <v>111.342</v>
      </c>
      <c r="Z732" t="s">
        <v>8107</v>
      </c>
      <c r="AA732">
        <v>31.912</v>
      </c>
      <c r="AB732">
        <v>0.25</v>
      </c>
    </row>
    <row r="733" spans="1:28">
      <c r="A733" t="s">
        <v>4724</v>
      </c>
      <c r="B733" t="s">
        <v>4725</v>
      </c>
      <c r="C733" t="s">
        <v>4726</v>
      </c>
      <c r="D733" t="s">
        <v>7862</v>
      </c>
      <c r="E733" t="s">
        <v>7839</v>
      </c>
      <c r="F733" t="s">
        <v>7932</v>
      </c>
      <c r="G733" t="s">
        <v>7914</v>
      </c>
      <c r="H733" t="s">
        <v>9</v>
      </c>
      <c r="I733">
        <v>1930.433</v>
      </c>
      <c r="J733">
        <v>76.974</v>
      </c>
      <c r="K733">
        <v>0.03</v>
      </c>
      <c r="M733" t="s">
        <v>8051</v>
      </c>
      <c r="N733">
        <v>838.195</v>
      </c>
      <c r="V733" t="s">
        <v>7862</v>
      </c>
      <c r="W733" t="s">
        <v>7839</v>
      </c>
      <c r="X733" t="s">
        <v>7932</v>
      </c>
      <c r="Y733">
        <v>1930.433</v>
      </c>
      <c r="Z733" t="s">
        <v>7914</v>
      </c>
      <c r="AA733">
        <v>76.974</v>
      </c>
      <c r="AB733">
        <v>0.03</v>
      </c>
    </row>
    <row r="734" spans="1:28">
      <c r="A734" t="s">
        <v>4727</v>
      </c>
      <c r="B734" t="s">
        <v>4728</v>
      </c>
      <c r="C734" t="s">
        <v>4729</v>
      </c>
      <c r="D734" t="s">
        <v>7862</v>
      </c>
      <c r="E734" t="s">
        <v>7839</v>
      </c>
      <c r="F734" t="s">
        <v>7935</v>
      </c>
      <c r="G734" t="s">
        <v>8066</v>
      </c>
      <c r="H734" t="s">
        <v>9</v>
      </c>
      <c r="I734">
        <v>72.207</v>
      </c>
      <c r="J734">
        <v>99.486</v>
      </c>
      <c r="K734">
        <v>0.65</v>
      </c>
      <c r="M734" t="s">
        <v>7854</v>
      </c>
      <c r="N734">
        <v>22.014</v>
      </c>
      <c r="V734" t="s">
        <v>7862</v>
      </c>
      <c r="W734" t="s">
        <v>7839</v>
      </c>
      <c r="X734" t="s">
        <v>7935</v>
      </c>
      <c r="Y734">
        <v>72.207</v>
      </c>
      <c r="Z734" t="s">
        <v>8066</v>
      </c>
      <c r="AA734">
        <v>99.486</v>
      </c>
      <c r="AB734">
        <v>0.65</v>
      </c>
    </row>
    <row r="735" spans="1:28">
      <c r="A735" t="s">
        <v>2649</v>
      </c>
      <c r="B735" t="s">
        <v>2650</v>
      </c>
      <c r="C735" t="s">
        <v>2651</v>
      </c>
      <c r="D735" t="s">
        <v>7847</v>
      </c>
      <c r="E735" t="s">
        <v>7848</v>
      </c>
      <c r="F735" t="s">
        <v>7840</v>
      </c>
      <c r="G735" t="s">
        <v>8047</v>
      </c>
      <c r="H735" t="s">
        <v>9</v>
      </c>
      <c r="I735">
        <v>3.023</v>
      </c>
      <c r="J735">
        <v>89.814</v>
      </c>
      <c r="K735">
        <v>0.65</v>
      </c>
      <c r="M735" t="s">
        <v>8002</v>
      </c>
      <c r="N735">
        <v>6655.464</v>
      </c>
      <c r="V735" t="s">
        <v>7847</v>
      </c>
      <c r="W735" t="s">
        <v>7848</v>
      </c>
      <c r="X735" t="s">
        <v>7840</v>
      </c>
      <c r="Y735">
        <v>3.023</v>
      </c>
      <c r="Z735" t="s">
        <v>8047</v>
      </c>
      <c r="AA735">
        <v>89.814</v>
      </c>
      <c r="AB735">
        <v>0.65</v>
      </c>
    </row>
    <row r="736" spans="1:28">
      <c r="A736" t="s">
        <v>6334</v>
      </c>
      <c r="B736" t="s">
        <v>6335</v>
      </c>
      <c r="C736" t="s">
        <v>6336</v>
      </c>
      <c r="D736" t="s">
        <v>7859</v>
      </c>
      <c r="E736" t="s">
        <v>7839</v>
      </c>
      <c r="F736" t="s">
        <v>7840</v>
      </c>
      <c r="G736" t="s">
        <v>7997</v>
      </c>
      <c r="H736" t="s">
        <v>9</v>
      </c>
      <c r="I736">
        <v>50.411</v>
      </c>
      <c r="J736">
        <v>25.098</v>
      </c>
      <c r="K736">
        <v>0.4</v>
      </c>
      <c r="M736" t="s">
        <v>8123</v>
      </c>
      <c r="N736">
        <v>113.524</v>
      </c>
      <c r="V736" t="s">
        <v>7859</v>
      </c>
      <c r="W736" t="s">
        <v>7839</v>
      </c>
      <c r="X736" t="s">
        <v>7840</v>
      </c>
      <c r="Y736">
        <v>50.411</v>
      </c>
      <c r="Z736" t="s">
        <v>7997</v>
      </c>
      <c r="AA736">
        <v>25.098</v>
      </c>
      <c r="AB736">
        <v>0.4</v>
      </c>
    </row>
    <row r="737" spans="1:28">
      <c r="A737" t="s">
        <v>3929</v>
      </c>
      <c r="B737" t="s">
        <v>3930</v>
      </c>
      <c r="C737" t="s">
        <v>3931</v>
      </c>
      <c r="D737" t="s">
        <v>7847</v>
      </c>
      <c r="E737" t="s">
        <v>7848</v>
      </c>
      <c r="F737" t="s">
        <v>7932</v>
      </c>
      <c r="G737" t="s">
        <v>8028</v>
      </c>
      <c r="H737" t="s">
        <v>9</v>
      </c>
      <c r="I737">
        <v>6795.636</v>
      </c>
      <c r="J737">
        <v>7.074</v>
      </c>
      <c r="K737">
        <v>0.08</v>
      </c>
      <c r="M737" t="s">
        <v>8107</v>
      </c>
      <c r="N737">
        <v>111.342</v>
      </c>
      <c r="V737" t="s">
        <v>7847</v>
      </c>
      <c r="W737" t="s">
        <v>7848</v>
      </c>
      <c r="X737" t="s">
        <v>7932</v>
      </c>
      <c r="Y737">
        <v>6795.636</v>
      </c>
      <c r="Z737" t="s">
        <v>8028</v>
      </c>
      <c r="AA737">
        <v>7.074</v>
      </c>
      <c r="AB737">
        <v>0.08</v>
      </c>
    </row>
    <row r="738" spans="1:28">
      <c r="A738" t="s">
        <v>3176</v>
      </c>
      <c r="B738" t="s">
        <v>3177</v>
      </c>
      <c r="C738" t="s">
        <v>3178</v>
      </c>
      <c r="D738" t="s">
        <v>7847</v>
      </c>
      <c r="E738" t="s">
        <v>7839</v>
      </c>
      <c r="F738" t="s">
        <v>7932</v>
      </c>
      <c r="G738" t="s">
        <v>7923</v>
      </c>
      <c r="H738" t="s">
        <v>9</v>
      </c>
      <c r="I738">
        <v>197.487</v>
      </c>
      <c r="J738">
        <v>14.263</v>
      </c>
      <c r="K738">
        <v>0.18</v>
      </c>
      <c r="M738" t="s">
        <v>7914</v>
      </c>
      <c r="N738">
        <v>1930.433</v>
      </c>
      <c r="V738" t="s">
        <v>7847</v>
      </c>
      <c r="W738" t="s">
        <v>7839</v>
      </c>
      <c r="X738" t="s">
        <v>7932</v>
      </c>
      <c r="Y738">
        <v>197.487</v>
      </c>
      <c r="Z738" t="s">
        <v>7923</v>
      </c>
      <c r="AA738">
        <v>14.263</v>
      </c>
      <c r="AB738">
        <v>0.18</v>
      </c>
    </row>
    <row r="739" spans="1:28">
      <c r="A739" t="s">
        <v>4059</v>
      </c>
      <c r="B739" t="s">
        <v>4060</v>
      </c>
      <c r="C739" t="s">
        <v>4061</v>
      </c>
      <c r="D739" t="s">
        <v>7847</v>
      </c>
      <c r="E739" t="s">
        <v>7839</v>
      </c>
      <c r="F739" t="s">
        <v>7932</v>
      </c>
      <c r="G739" t="s">
        <v>7899</v>
      </c>
      <c r="H739" t="s">
        <v>9</v>
      </c>
      <c r="I739">
        <v>1256.622</v>
      </c>
      <c r="J739">
        <v>9.907</v>
      </c>
      <c r="K739">
        <v>0.55</v>
      </c>
      <c r="M739" t="s">
        <v>8066</v>
      </c>
      <c r="N739">
        <v>72.207</v>
      </c>
      <c r="V739" t="s">
        <v>7847</v>
      </c>
      <c r="W739" t="s">
        <v>7839</v>
      </c>
      <c r="X739" t="s">
        <v>7932</v>
      </c>
      <c r="Y739">
        <v>1256.622</v>
      </c>
      <c r="Z739" t="s">
        <v>7899</v>
      </c>
      <c r="AA739">
        <v>9.907</v>
      </c>
      <c r="AB739">
        <v>0.55</v>
      </c>
    </row>
    <row r="740" spans="1:28">
      <c r="A740" t="s">
        <v>5086</v>
      </c>
      <c r="B740" t="s">
        <v>5087</v>
      </c>
      <c r="C740" t="s">
        <v>5088</v>
      </c>
      <c r="D740" t="s">
        <v>7847</v>
      </c>
      <c r="E740" t="s">
        <v>7839</v>
      </c>
      <c r="F740" t="s">
        <v>7840</v>
      </c>
      <c r="G740" t="s">
        <v>7991</v>
      </c>
      <c r="H740" t="s">
        <v>9</v>
      </c>
      <c r="I740">
        <v>44.415</v>
      </c>
      <c r="J740">
        <v>99.589</v>
      </c>
      <c r="K740">
        <v>0.6</v>
      </c>
      <c r="M740" t="s">
        <v>8047</v>
      </c>
      <c r="N740">
        <v>3.023</v>
      </c>
      <c r="V740" t="s">
        <v>7847</v>
      </c>
      <c r="W740" t="s">
        <v>7839</v>
      </c>
      <c r="X740" t="s">
        <v>7840</v>
      </c>
      <c r="Y740">
        <v>44.415</v>
      </c>
      <c r="Z740" t="s">
        <v>7991</v>
      </c>
      <c r="AA740">
        <v>99.589</v>
      </c>
      <c r="AB740">
        <v>0.6</v>
      </c>
    </row>
    <row r="741" spans="1:28">
      <c r="A741" t="s">
        <v>3149</v>
      </c>
      <c r="B741" t="s">
        <v>3150</v>
      </c>
      <c r="C741" t="s">
        <v>3151</v>
      </c>
      <c r="D741" t="s">
        <v>7855</v>
      </c>
      <c r="E741" t="s">
        <v>7840</v>
      </c>
      <c r="F741" t="s">
        <v>7888</v>
      </c>
      <c r="G741" t="s">
        <v>7925</v>
      </c>
      <c r="H741" t="s">
        <v>9</v>
      </c>
      <c r="I741">
        <v>17.413</v>
      </c>
      <c r="K741">
        <v>0.55</v>
      </c>
      <c r="M741" t="s">
        <v>7997</v>
      </c>
      <c r="N741">
        <v>50.411</v>
      </c>
      <c r="V741" t="s">
        <v>7855</v>
      </c>
      <c r="W741" t="s">
        <v>7840</v>
      </c>
      <c r="X741" t="s">
        <v>7888</v>
      </c>
      <c r="Y741">
        <v>17.413</v>
      </c>
      <c r="Z741" t="s">
        <v>7925</v>
      </c>
      <c r="AB741">
        <v>0.55</v>
      </c>
    </row>
    <row r="742" spans="1:28">
      <c r="A742" t="s">
        <v>5298</v>
      </c>
      <c r="B742" t="s">
        <v>741</v>
      </c>
      <c r="C742" t="s">
        <v>5299</v>
      </c>
      <c r="D742" t="s">
        <v>7850</v>
      </c>
      <c r="E742" t="s">
        <v>7839</v>
      </c>
      <c r="F742" t="s">
        <v>7888</v>
      </c>
      <c r="G742" t="s">
        <v>7854</v>
      </c>
      <c r="H742" t="s">
        <v>9</v>
      </c>
      <c r="I742">
        <v>246.438</v>
      </c>
      <c r="J742">
        <v>8.154</v>
      </c>
      <c r="K742">
        <v>0.1</v>
      </c>
      <c r="M742" t="s">
        <v>8028</v>
      </c>
      <c r="N742">
        <v>6795.636</v>
      </c>
      <c r="V742" t="s">
        <v>7850</v>
      </c>
      <c r="W742" t="s">
        <v>7839</v>
      </c>
      <c r="X742" t="s">
        <v>7888</v>
      </c>
      <c r="Y742">
        <v>246.438</v>
      </c>
      <c r="Z742" t="s">
        <v>7854</v>
      </c>
      <c r="AA742">
        <v>8.154</v>
      </c>
      <c r="AB742">
        <v>0.1</v>
      </c>
    </row>
    <row r="743" spans="1:28">
      <c r="A743" t="s">
        <v>354</v>
      </c>
      <c r="B743" t="s">
        <v>355</v>
      </c>
      <c r="C743" t="s">
        <v>356</v>
      </c>
      <c r="D743" t="s">
        <v>7862</v>
      </c>
      <c r="E743" t="s">
        <v>7848</v>
      </c>
      <c r="F743" t="s">
        <v>7853</v>
      </c>
      <c r="G743" t="s">
        <v>7889</v>
      </c>
      <c r="H743" t="s">
        <v>9</v>
      </c>
      <c r="I743">
        <v>9.938</v>
      </c>
      <c r="K743">
        <v>0.75</v>
      </c>
      <c r="M743" t="s">
        <v>7923</v>
      </c>
      <c r="N743">
        <v>197.487</v>
      </c>
      <c r="V743" t="s">
        <v>7862</v>
      </c>
      <c r="W743" t="s">
        <v>7848</v>
      </c>
      <c r="X743" t="s">
        <v>7853</v>
      </c>
      <c r="Y743">
        <v>9.938</v>
      </c>
      <c r="Z743" t="s">
        <v>7889</v>
      </c>
      <c r="AB743">
        <v>0.75</v>
      </c>
    </row>
    <row r="744" spans="1:28">
      <c r="A744" t="s">
        <v>4492</v>
      </c>
      <c r="B744" t="s">
        <v>4493</v>
      </c>
      <c r="C744" t="s">
        <v>4494</v>
      </c>
      <c r="D744" t="s">
        <v>7850</v>
      </c>
      <c r="E744" t="s">
        <v>7839</v>
      </c>
      <c r="F744" t="s">
        <v>7853</v>
      </c>
      <c r="G744" t="s">
        <v>7854</v>
      </c>
      <c r="H744" t="s">
        <v>9</v>
      </c>
      <c r="I744">
        <v>17398.463</v>
      </c>
      <c r="J744">
        <v>1.94</v>
      </c>
      <c r="K744">
        <v>0.04</v>
      </c>
      <c r="M744" t="s">
        <v>7899</v>
      </c>
      <c r="N744">
        <v>1256.622</v>
      </c>
      <c r="V744" t="s">
        <v>7850</v>
      </c>
      <c r="W744" t="s">
        <v>7839</v>
      </c>
      <c r="X744" t="s">
        <v>7853</v>
      </c>
      <c r="Y744">
        <v>17398.463</v>
      </c>
      <c r="Z744" t="s">
        <v>7854</v>
      </c>
      <c r="AA744">
        <v>1.94</v>
      </c>
      <c r="AB744">
        <v>0.04</v>
      </c>
    </row>
    <row r="745" spans="1:28">
      <c r="A745" t="s">
        <v>5009</v>
      </c>
      <c r="B745" t="s">
        <v>5010</v>
      </c>
      <c r="C745" t="s">
        <v>5011</v>
      </c>
      <c r="D745" t="s">
        <v>7850</v>
      </c>
      <c r="E745" t="s">
        <v>7839</v>
      </c>
      <c r="F745" t="s">
        <v>7853</v>
      </c>
      <c r="G745" t="s">
        <v>8043</v>
      </c>
      <c r="H745" t="s">
        <v>9</v>
      </c>
      <c r="I745">
        <v>62.627</v>
      </c>
      <c r="J745">
        <v>20.982</v>
      </c>
      <c r="K745">
        <v>0.4</v>
      </c>
      <c r="M745" t="s">
        <v>7991</v>
      </c>
      <c r="N745">
        <v>44.415</v>
      </c>
      <c r="V745" t="s">
        <v>7850</v>
      </c>
      <c r="W745" t="s">
        <v>7839</v>
      </c>
      <c r="X745" t="s">
        <v>7853</v>
      </c>
      <c r="Y745">
        <v>62.627</v>
      </c>
      <c r="Z745" t="s">
        <v>8043</v>
      </c>
      <c r="AA745">
        <v>20.982</v>
      </c>
      <c r="AB745">
        <v>0.4</v>
      </c>
    </row>
    <row r="746" spans="1:28">
      <c r="A746" t="s">
        <v>126</v>
      </c>
      <c r="B746" t="s">
        <v>127</v>
      </c>
      <c r="C746" t="s">
        <v>128</v>
      </c>
      <c r="D746" t="s">
        <v>7862</v>
      </c>
      <c r="E746" t="s">
        <v>7839</v>
      </c>
      <c r="F746" t="s">
        <v>7840</v>
      </c>
      <c r="G746" t="s">
        <v>7854</v>
      </c>
      <c r="H746" t="s">
        <v>9</v>
      </c>
      <c r="I746">
        <v>1003.588</v>
      </c>
      <c r="J746">
        <v>4.581</v>
      </c>
      <c r="K746">
        <v>0.35</v>
      </c>
      <c r="M746" t="s">
        <v>7925</v>
      </c>
      <c r="N746">
        <v>17.413</v>
      </c>
      <c r="V746" t="s">
        <v>7862</v>
      </c>
      <c r="W746" t="s">
        <v>7839</v>
      </c>
      <c r="X746" t="s">
        <v>7840</v>
      </c>
      <c r="Y746">
        <v>1003.588</v>
      </c>
      <c r="Z746" t="s">
        <v>7854</v>
      </c>
      <c r="AA746">
        <v>4.581</v>
      </c>
      <c r="AB746">
        <v>0.35</v>
      </c>
    </row>
    <row r="747" spans="1:28">
      <c r="A747" t="s">
        <v>3600</v>
      </c>
      <c r="B747" t="s">
        <v>3601</v>
      </c>
      <c r="C747" t="s">
        <v>3602</v>
      </c>
      <c r="D747" t="s">
        <v>7862</v>
      </c>
      <c r="E747" t="s">
        <v>7839</v>
      </c>
      <c r="F747" t="s">
        <v>7853</v>
      </c>
      <c r="G747" t="s">
        <v>7854</v>
      </c>
      <c r="H747" t="s">
        <v>9</v>
      </c>
      <c r="I747">
        <v>67.134</v>
      </c>
      <c r="J747">
        <v>99.999</v>
      </c>
      <c r="K747">
        <v>0.1</v>
      </c>
      <c r="M747" t="s">
        <v>7854</v>
      </c>
      <c r="N747">
        <v>246.438</v>
      </c>
      <c r="V747" t="s">
        <v>7862</v>
      </c>
      <c r="W747" t="s">
        <v>7839</v>
      </c>
      <c r="X747" t="s">
        <v>7853</v>
      </c>
      <c r="Y747">
        <v>67.134</v>
      </c>
      <c r="Z747" t="s">
        <v>7854</v>
      </c>
      <c r="AA747">
        <v>99.999</v>
      </c>
      <c r="AB747">
        <v>0.1</v>
      </c>
    </row>
    <row r="748" spans="1:28">
      <c r="A748" t="s">
        <v>4091</v>
      </c>
      <c r="B748" t="s">
        <v>4092</v>
      </c>
      <c r="C748" t="s">
        <v>4093</v>
      </c>
      <c r="D748" t="s">
        <v>7862</v>
      </c>
      <c r="E748" t="s">
        <v>7839</v>
      </c>
      <c r="F748" t="s">
        <v>7932</v>
      </c>
      <c r="G748" t="s">
        <v>8000</v>
      </c>
      <c r="H748" t="s">
        <v>9</v>
      </c>
      <c r="I748">
        <v>9.38</v>
      </c>
      <c r="J748">
        <v>47.048</v>
      </c>
      <c r="K748">
        <v>0.2</v>
      </c>
      <c r="M748" t="s">
        <v>7889</v>
      </c>
      <c r="N748">
        <v>9.938</v>
      </c>
      <c r="V748" t="s">
        <v>7862</v>
      </c>
      <c r="W748" t="s">
        <v>7839</v>
      </c>
      <c r="X748" t="s">
        <v>7932</v>
      </c>
      <c r="Y748">
        <v>9.38</v>
      </c>
      <c r="Z748" t="s">
        <v>8000</v>
      </c>
      <c r="AA748">
        <v>47.048</v>
      </c>
      <c r="AB748">
        <v>0.2</v>
      </c>
    </row>
    <row r="749" spans="1:28">
      <c r="A749" t="s">
        <v>5263</v>
      </c>
      <c r="B749" t="s">
        <v>5264</v>
      </c>
      <c r="C749" t="s">
        <v>5265</v>
      </c>
      <c r="D749" t="s">
        <v>7850</v>
      </c>
      <c r="E749" t="s">
        <v>7839</v>
      </c>
      <c r="F749" t="s">
        <v>7853</v>
      </c>
      <c r="G749" t="s">
        <v>7941</v>
      </c>
      <c r="H749" t="s">
        <v>9</v>
      </c>
      <c r="I749">
        <v>882.851</v>
      </c>
      <c r="J749">
        <v>11.069</v>
      </c>
      <c r="K749">
        <v>0.1</v>
      </c>
      <c r="M749" t="s">
        <v>7854</v>
      </c>
      <c r="N749">
        <v>17398.463</v>
      </c>
      <c r="V749" t="s">
        <v>7850</v>
      </c>
      <c r="W749" t="s">
        <v>7839</v>
      </c>
      <c r="X749" t="s">
        <v>7853</v>
      </c>
      <c r="Y749">
        <v>882.851</v>
      </c>
      <c r="Z749" t="s">
        <v>7941</v>
      </c>
      <c r="AA749">
        <v>11.069</v>
      </c>
      <c r="AB749">
        <v>0.1</v>
      </c>
    </row>
    <row r="750" spans="1:28">
      <c r="A750" t="s">
        <v>4741</v>
      </c>
      <c r="B750" t="s">
        <v>4742</v>
      </c>
      <c r="C750" t="s">
        <v>4743</v>
      </c>
      <c r="D750" t="s">
        <v>7847</v>
      </c>
      <c r="E750" t="s">
        <v>7839</v>
      </c>
      <c r="F750" t="s">
        <v>7840</v>
      </c>
      <c r="G750" t="s">
        <v>8034</v>
      </c>
      <c r="H750" t="s">
        <v>9</v>
      </c>
      <c r="I750">
        <v>1201.685</v>
      </c>
      <c r="J750">
        <v>25.664</v>
      </c>
      <c r="K750">
        <v>0.33</v>
      </c>
      <c r="M750" t="s">
        <v>8043</v>
      </c>
      <c r="N750">
        <v>62.627</v>
      </c>
      <c r="V750" t="s">
        <v>7847</v>
      </c>
      <c r="W750" t="s">
        <v>7839</v>
      </c>
      <c r="X750" t="s">
        <v>7840</v>
      </c>
      <c r="Y750">
        <v>1201.685</v>
      </c>
      <c r="Z750" t="s">
        <v>8034</v>
      </c>
      <c r="AA750">
        <v>25.664</v>
      </c>
      <c r="AB750">
        <v>0.33</v>
      </c>
    </row>
    <row r="751" spans="1:28">
      <c r="A751" t="s">
        <v>4212</v>
      </c>
      <c r="B751" t="s">
        <v>4213</v>
      </c>
      <c r="C751" t="s">
        <v>4214</v>
      </c>
      <c r="D751" t="s">
        <v>7847</v>
      </c>
      <c r="E751" t="s">
        <v>7839</v>
      </c>
      <c r="F751" t="s">
        <v>7932</v>
      </c>
      <c r="G751" t="s">
        <v>8089</v>
      </c>
      <c r="H751" t="s">
        <v>9</v>
      </c>
      <c r="I751">
        <v>208.77</v>
      </c>
      <c r="J751">
        <v>5.781</v>
      </c>
      <c r="K751">
        <v>0.25</v>
      </c>
      <c r="M751" t="s">
        <v>7854</v>
      </c>
      <c r="N751">
        <v>1003.588</v>
      </c>
      <c r="V751" t="s">
        <v>7847</v>
      </c>
      <c r="W751" t="s">
        <v>7839</v>
      </c>
      <c r="X751" t="s">
        <v>7932</v>
      </c>
      <c r="Y751">
        <v>208.77</v>
      </c>
      <c r="Z751" t="s">
        <v>8089</v>
      </c>
      <c r="AA751">
        <v>5.781</v>
      </c>
      <c r="AB751">
        <v>0.25</v>
      </c>
    </row>
    <row r="752" spans="1:28">
      <c r="A752" t="s">
        <v>5074</v>
      </c>
      <c r="B752" t="s">
        <v>5075</v>
      </c>
      <c r="C752" t="s">
        <v>5076</v>
      </c>
      <c r="D752" t="s">
        <v>7862</v>
      </c>
      <c r="E752" t="s">
        <v>7848</v>
      </c>
      <c r="F752" t="s">
        <v>7888</v>
      </c>
      <c r="G752" t="s">
        <v>7978</v>
      </c>
      <c r="H752" t="s">
        <v>9</v>
      </c>
      <c r="I752">
        <v>17.238</v>
      </c>
      <c r="J752">
        <v>1.124</v>
      </c>
      <c r="K752">
        <v>0.65</v>
      </c>
      <c r="M752" t="s">
        <v>7854</v>
      </c>
      <c r="N752">
        <v>67.134</v>
      </c>
      <c r="V752" t="s">
        <v>7862</v>
      </c>
      <c r="W752" t="s">
        <v>7848</v>
      </c>
      <c r="X752" t="s">
        <v>7888</v>
      </c>
      <c r="Y752">
        <v>17.238</v>
      </c>
      <c r="Z752" t="s">
        <v>7978</v>
      </c>
      <c r="AA752">
        <v>1.124</v>
      </c>
      <c r="AB752">
        <v>0.65</v>
      </c>
    </row>
    <row r="753" spans="1:28">
      <c r="A753" t="s">
        <v>5257</v>
      </c>
      <c r="B753" t="s">
        <v>5258</v>
      </c>
      <c r="C753" t="s">
        <v>5259</v>
      </c>
      <c r="D753" t="s">
        <v>7850</v>
      </c>
      <c r="E753" t="s">
        <v>7839</v>
      </c>
      <c r="F753" t="s">
        <v>7853</v>
      </c>
      <c r="G753" t="s">
        <v>8092</v>
      </c>
      <c r="H753" t="s">
        <v>9</v>
      </c>
      <c r="I753">
        <v>28.734</v>
      </c>
      <c r="J753">
        <v>4.427</v>
      </c>
      <c r="K753">
        <v>0.15</v>
      </c>
      <c r="M753" t="s">
        <v>8000</v>
      </c>
      <c r="N753">
        <v>9.38</v>
      </c>
      <c r="V753" t="s">
        <v>7850</v>
      </c>
      <c r="W753" t="s">
        <v>7839</v>
      </c>
      <c r="X753" t="s">
        <v>7853</v>
      </c>
      <c r="Y753">
        <v>28.734</v>
      </c>
      <c r="Z753" t="s">
        <v>8092</v>
      </c>
      <c r="AA753">
        <v>4.427</v>
      </c>
      <c r="AB753">
        <v>0.15</v>
      </c>
    </row>
    <row r="754" spans="1:28">
      <c r="A754" t="s">
        <v>5819</v>
      </c>
      <c r="B754" t="s">
        <v>5820</v>
      </c>
      <c r="C754" t="s">
        <v>5821</v>
      </c>
      <c r="D754" t="s">
        <v>7847</v>
      </c>
      <c r="E754" t="s">
        <v>7839</v>
      </c>
      <c r="F754" t="s">
        <v>7840</v>
      </c>
      <c r="G754" t="s">
        <v>8111</v>
      </c>
      <c r="H754" t="s">
        <v>9</v>
      </c>
      <c r="I754">
        <v>41.929</v>
      </c>
      <c r="J754">
        <v>52.734</v>
      </c>
      <c r="K754">
        <v>0.75</v>
      </c>
      <c r="M754" t="s">
        <v>7941</v>
      </c>
      <c r="N754">
        <v>882.851</v>
      </c>
      <c r="V754" t="s">
        <v>7847</v>
      </c>
      <c r="W754" t="s">
        <v>7839</v>
      </c>
      <c r="X754" t="s">
        <v>7840</v>
      </c>
      <c r="Y754">
        <v>41.929</v>
      </c>
      <c r="Z754" t="s">
        <v>8111</v>
      </c>
      <c r="AA754">
        <v>52.734</v>
      </c>
      <c r="AB754">
        <v>0.75</v>
      </c>
    </row>
    <row r="755" spans="1:28">
      <c r="A755" t="s">
        <v>470</v>
      </c>
      <c r="B755" t="s">
        <v>471</v>
      </c>
      <c r="C755" t="s">
        <v>472</v>
      </c>
      <c r="D755" t="s">
        <v>7862</v>
      </c>
      <c r="E755" t="s">
        <v>7839</v>
      </c>
      <c r="F755" t="s">
        <v>7840</v>
      </c>
      <c r="G755" t="s">
        <v>7851</v>
      </c>
      <c r="H755" t="s">
        <v>9</v>
      </c>
      <c r="I755">
        <v>36.159</v>
      </c>
      <c r="J755">
        <v>99.258</v>
      </c>
      <c r="K755">
        <v>0.49</v>
      </c>
      <c r="M755" t="s">
        <v>8034</v>
      </c>
      <c r="N755">
        <v>1201.685</v>
      </c>
      <c r="V755" t="s">
        <v>7862</v>
      </c>
      <c r="W755" t="s">
        <v>7839</v>
      </c>
      <c r="X755" t="s">
        <v>7840</v>
      </c>
      <c r="Y755">
        <v>36.159</v>
      </c>
      <c r="Z755" t="s">
        <v>7851</v>
      </c>
      <c r="AA755">
        <v>99.258</v>
      </c>
      <c r="AB755">
        <v>0.49</v>
      </c>
    </row>
    <row r="756" spans="1:28">
      <c r="A756" t="s">
        <v>4474</v>
      </c>
      <c r="B756" t="s">
        <v>4475</v>
      </c>
      <c r="C756" t="s">
        <v>4476</v>
      </c>
      <c r="D756" t="s">
        <v>7850</v>
      </c>
      <c r="E756" t="s">
        <v>7839</v>
      </c>
      <c r="F756" t="s">
        <v>7853</v>
      </c>
      <c r="G756" t="s">
        <v>8033</v>
      </c>
      <c r="H756" t="s">
        <v>9</v>
      </c>
      <c r="I756">
        <v>9910.696</v>
      </c>
      <c r="J756">
        <v>2.334</v>
      </c>
      <c r="K756">
        <v>0.03</v>
      </c>
      <c r="M756" t="s">
        <v>8089</v>
      </c>
      <c r="N756">
        <v>208.77</v>
      </c>
      <c r="V756" t="s">
        <v>7850</v>
      </c>
      <c r="W756" t="s">
        <v>7839</v>
      </c>
      <c r="X756" t="s">
        <v>7853</v>
      </c>
      <c r="Y756">
        <v>9910.696</v>
      </c>
      <c r="Z756" t="s">
        <v>8033</v>
      </c>
      <c r="AA756">
        <v>2.334</v>
      </c>
      <c r="AB756">
        <v>0.03</v>
      </c>
    </row>
    <row r="757" spans="1:28">
      <c r="A757" t="s">
        <v>4262</v>
      </c>
      <c r="B757" t="s">
        <v>4263</v>
      </c>
      <c r="C757" t="s">
        <v>4264</v>
      </c>
      <c r="D757" t="s">
        <v>7847</v>
      </c>
      <c r="E757" t="s">
        <v>7839</v>
      </c>
      <c r="F757" t="s">
        <v>7840</v>
      </c>
      <c r="G757" t="s">
        <v>8112</v>
      </c>
      <c r="H757" t="s">
        <v>9</v>
      </c>
      <c r="I757">
        <v>221.294</v>
      </c>
      <c r="J757">
        <v>17.002</v>
      </c>
      <c r="K757">
        <v>0.5</v>
      </c>
      <c r="M757" t="s">
        <v>7978</v>
      </c>
      <c r="N757">
        <v>17.238</v>
      </c>
      <c r="V757" t="s">
        <v>7847</v>
      </c>
      <c r="W757" t="s">
        <v>7839</v>
      </c>
      <c r="X757" t="s">
        <v>7840</v>
      </c>
      <c r="Y757">
        <v>221.294</v>
      </c>
      <c r="Z757" t="s">
        <v>8112</v>
      </c>
      <c r="AA757">
        <v>17.002</v>
      </c>
      <c r="AB757">
        <v>0.5</v>
      </c>
    </row>
    <row r="758" spans="1:28">
      <c r="A758" t="s">
        <v>4131</v>
      </c>
      <c r="B758" t="s">
        <v>4132</v>
      </c>
      <c r="C758" t="s">
        <v>4133</v>
      </c>
      <c r="D758" t="s">
        <v>7847</v>
      </c>
      <c r="E758" t="s">
        <v>7839</v>
      </c>
      <c r="F758" t="s">
        <v>7840</v>
      </c>
      <c r="G758" t="s">
        <v>8075</v>
      </c>
      <c r="H758" t="s">
        <v>9</v>
      </c>
      <c r="I758">
        <v>338.959</v>
      </c>
      <c r="J758">
        <v>35.304</v>
      </c>
      <c r="K758">
        <v>0.45</v>
      </c>
      <c r="M758" t="s">
        <v>8092</v>
      </c>
      <c r="N758">
        <v>28.734</v>
      </c>
      <c r="V758" t="s">
        <v>7847</v>
      </c>
      <c r="W758" t="s">
        <v>7839</v>
      </c>
      <c r="X758" t="s">
        <v>7840</v>
      </c>
      <c r="Y758">
        <v>338.959</v>
      </c>
      <c r="Z758" t="s">
        <v>8075</v>
      </c>
      <c r="AA758">
        <v>35.304</v>
      </c>
      <c r="AB758">
        <v>0.45</v>
      </c>
    </row>
    <row r="759" spans="1:28">
      <c r="A759" t="s">
        <v>3490</v>
      </c>
      <c r="B759" t="s">
        <v>3491</v>
      </c>
      <c r="C759" t="s">
        <v>3492</v>
      </c>
      <c r="D759" t="s">
        <v>7850</v>
      </c>
      <c r="E759" t="s">
        <v>7839</v>
      </c>
      <c r="F759" t="s">
        <v>7935</v>
      </c>
      <c r="G759" t="s">
        <v>7939</v>
      </c>
      <c r="H759" t="s">
        <v>9</v>
      </c>
      <c r="I759">
        <v>5981.584</v>
      </c>
      <c r="J759">
        <v>6.961</v>
      </c>
      <c r="K759">
        <v>0.15</v>
      </c>
      <c r="M759" t="s">
        <v>8111</v>
      </c>
      <c r="N759">
        <v>41.929</v>
      </c>
      <c r="V759" t="s">
        <v>7850</v>
      </c>
      <c r="W759" t="s">
        <v>7839</v>
      </c>
      <c r="X759" t="s">
        <v>7935</v>
      </c>
      <c r="Y759">
        <v>5981.584</v>
      </c>
      <c r="Z759" t="s">
        <v>7939</v>
      </c>
      <c r="AA759">
        <v>6.961</v>
      </c>
      <c r="AB759">
        <v>0.15</v>
      </c>
    </row>
    <row r="760" spans="1:28">
      <c r="A760" t="s">
        <v>781</v>
      </c>
      <c r="B760" t="s">
        <v>167</v>
      </c>
      <c r="C760" t="s">
        <v>782</v>
      </c>
      <c r="D760" t="s">
        <v>7850</v>
      </c>
      <c r="E760" t="s">
        <v>7839</v>
      </c>
      <c r="F760" t="s">
        <v>7840</v>
      </c>
      <c r="G760" t="s">
        <v>7999</v>
      </c>
      <c r="H760" t="s">
        <v>9</v>
      </c>
      <c r="I760">
        <v>553.91</v>
      </c>
      <c r="J760">
        <v>9.515</v>
      </c>
      <c r="K760">
        <v>0.5</v>
      </c>
      <c r="M760" t="s">
        <v>7851</v>
      </c>
      <c r="N760">
        <v>36.159</v>
      </c>
      <c r="V760" t="s">
        <v>7850</v>
      </c>
      <c r="W760" t="s">
        <v>7839</v>
      </c>
      <c r="X760" t="s">
        <v>7840</v>
      </c>
      <c r="Y760">
        <v>553.91</v>
      </c>
      <c r="Z760" t="s">
        <v>7999</v>
      </c>
      <c r="AA760">
        <v>9.515</v>
      </c>
      <c r="AB760">
        <v>0.5</v>
      </c>
    </row>
    <row r="761" spans="1:28">
      <c r="A761" t="s">
        <v>4862</v>
      </c>
      <c r="B761" t="s">
        <v>4519</v>
      </c>
      <c r="C761" t="s">
        <v>4863</v>
      </c>
      <c r="D761" t="s">
        <v>7850</v>
      </c>
      <c r="E761" t="s">
        <v>7839</v>
      </c>
      <c r="F761" t="s">
        <v>7935</v>
      </c>
      <c r="G761" t="s">
        <v>7965</v>
      </c>
      <c r="H761" t="s">
        <v>9</v>
      </c>
      <c r="I761">
        <v>64.71</v>
      </c>
      <c r="J761">
        <v>23.444</v>
      </c>
      <c r="K761">
        <v>0.39</v>
      </c>
      <c r="M761" t="s">
        <v>8033</v>
      </c>
      <c r="N761">
        <v>9910.696</v>
      </c>
      <c r="V761" t="s">
        <v>7850</v>
      </c>
      <c r="W761" t="s">
        <v>7839</v>
      </c>
      <c r="X761" t="s">
        <v>7935</v>
      </c>
      <c r="Y761">
        <v>64.71</v>
      </c>
      <c r="Z761" t="s">
        <v>7965</v>
      </c>
      <c r="AA761">
        <v>23.444</v>
      </c>
      <c r="AB761">
        <v>0.39</v>
      </c>
    </row>
    <row r="762" spans="1:28">
      <c r="A762" t="s">
        <v>3757</v>
      </c>
      <c r="B762" t="s">
        <v>3758</v>
      </c>
      <c r="C762" t="s">
        <v>3759</v>
      </c>
      <c r="D762" t="s">
        <v>7847</v>
      </c>
      <c r="E762" t="s">
        <v>7839</v>
      </c>
      <c r="F762" t="s">
        <v>7932</v>
      </c>
      <c r="G762" t="s">
        <v>8075</v>
      </c>
      <c r="H762" t="s">
        <v>9</v>
      </c>
      <c r="I762">
        <v>597.067</v>
      </c>
      <c r="J762">
        <v>52.45</v>
      </c>
      <c r="K762">
        <v>0.2</v>
      </c>
      <c r="M762" t="s">
        <v>8112</v>
      </c>
      <c r="N762">
        <v>221.294</v>
      </c>
      <c r="V762" t="s">
        <v>7847</v>
      </c>
      <c r="W762" t="s">
        <v>7839</v>
      </c>
      <c r="X762" t="s">
        <v>7932</v>
      </c>
      <c r="Y762">
        <v>597.067</v>
      </c>
      <c r="Z762" t="s">
        <v>8075</v>
      </c>
      <c r="AA762">
        <v>52.45</v>
      </c>
      <c r="AB762">
        <v>0.2</v>
      </c>
    </row>
    <row r="763" spans="1:28">
      <c r="A763" t="s">
        <v>3817</v>
      </c>
      <c r="B763" t="s">
        <v>3818</v>
      </c>
      <c r="C763" t="s">
        <v>3819</v>
      </c>
      <c r="D763" t="s">
        <v>7847</v>
      </c>
      <c r="E763" t="s">
        <v>7839</v>
      </c>
      <c r="F763" t="s">
        <v>7840</v>
      </c>
      <c r="G763" t="s">
        <v>7858</v>
      </c>
      <c r="H763" t="s">
        <v>9</v>
      </c>
      <c r="I763">
        <v>167.894</v>
      </c>
      <c r="J763">
        <v>8.558</v>
      </c>
      <c r="K763">
        <v>0.2</v>
      </c>
      <c r="M763" t="s">
        <v>8075</v>
      </c>
      <c r="N763">
        <v>338.959</v>
      </c>
      <c r="V763" t="s">
        <v>7847</v>
      </c>
      <c r="W763" t="s">
        <v>7839</v>
      </c>
      <c r="X763" t="s">
        <v>7840</v>
      </c>
      <c r="Y763">
        <v>167.894</v>
      </c>
      <c r="Z763" t="s">
        <v>7858</v>
      </c>
      <c r="AA763">
        <v>8.558</v>
      </c>
      <c r="AB763">
        <v>0.2</v>
      </c>
    </row>
    <row r="764" spans="1:28">
      <c r="A764" t="s">
        <v>4843</v>
      </c>
      <c r="B764" t="s">
        <v>4844</v>
      </c>
      <c r="C764" t="s">
        <v>4845</v>
      </c>
      <c r="D764" t="s">
        <v>7847</v>
      </c>
      <c r="E764" t="s">
        <v>7839</v>
      </c>
      <c r="F764" t="s">
        <v>7840</v>
      </c>
      <c r="G764" t="s">
        <v>7854</v>
      </c>
      <c r="H764" t="s">
        <v>9</v>
      </c>
      <c r="I764">
        <v>445.422</v>
      </c>
      <c r="J764">
        <v>11.079</v>
      </c>
      <c r="K764">
        <v>0.2</v>
      </c>
      <c r="M764" t="s">
        <v>7939</v>
      </c>
      <c r="N764">
        <v>5981.584</v>
      </c>
      <c r="V764" t="s">
        <v>7847</v>
      </c>
      <c r="W764" t="s">
        <v>7839</v>
      </c>
      <c r="X764" t="s">
        <v>7840</v>
      </c>
      <c r="Y764">
        <v>445.422</v>
      </c>
      <c r="Z764" t="s">
        <v>7854</v>
      </c>
      <c r="AA764">
        <v>11.079</v>
      </c>
      <c r="AB764">
        <v>0.2</v>
      </c>
    </row>
    <row r="765" spans="1:28">
      <c r="A765" t="s">
        <v>5039</v>
      </c>
      <c r="B765" t="s">
        <v>5040</v>
      </c>
      <c r="C765" t="s">
        <v>5041</v>
      </c>
      <c r="D765" t="s">
        <v>7862</v>
      </c>
      <c r="E765" t="s">
        <v>7839</v>
      </c>
      <c r="F765" t="s">
        <v>7935</v>
      </c>
      <c r="G765" t="s">
        <v>7914</v>
      </c>
      <c r="H765" t="s">
        <v>9</v>
      </c>
      <c r="I765">
        <v>681.942</v>
      </c>
      <c r="J765">
        <v>27.145</v>
      </c>
      <c r="K765">
        <v>0.03</v>
      </c>
      <c r="M765" t="s">
        <v>7999</v>
      </c>
      <c r="N765">
        <v>553.91</v>
      </c>
      <c r="V765" t="s">
        <v>7862</v>
      </c>
      <c r="W765" t="s">
        <v>7839</v>
      </c>
      <c r="X765" t="s">
        <v>7935</v>
      </c>
      <c r="Y765">
        <v>681.942</v>
      </c>
      <c r="Z765" t="s">
        <v>7914</v>
      </c>
      <c r="AA765">
        <v>27.145</v>
      </c>
      <c r="AB765">
        <v>0.03</v>
      </c>
    </row>
    <row r="766" spans="1:28">
      <c r="A766" t="s">
        <v>3647</v>
      </c>
      <c r="B766" t="s">
        <v>3648</v>
      </c>
      <c r="C766" t="s">
        <v>3649</v>
      </c>
      <c r="D766" t="s">
        <v>7862</v>
      </c>
      <c r="E766" t="s">
        <v>7839</v>
      </c>
      <c r="F766" t="s">
        <v>7935</v>
      </c>
      <c r="G766" t="s">
        <v>7990</v>
      </c>
      <c r="H766" t="s">
        <v>9</v>
      </c>
      <c r="I766">
        <v>835.302</v>
      </c>
      <c r="J766">
        <v>9.789</v>
      </c>
      <c r="K766">
        <v>0.17</v>
      </c>
      <c r="M766" t="s">
        <v>7965</v>
      </c>
      <c r="N766">
        <v>64.71</v>
      </c>
      <c r="V766" t="s">
        <v>7862</v>
      </c>
      <c r="W766" t="s">
        <v>7839</v>
      </c>
      <c r="X766" t="s">
        <v>7935</v>
      </c>
      <c r="Y766">
        <v>835.302</v>
      </c>
      <c r="Z766" t="s">
        <v>7990</v>
      </c>
      <c r="AA766">
        <v>9.789</v>
      </c>
      <c r="AB766">
        <v>0.17</v>
      </c>
    </row>
    <row r="767" spans="1:28">
      <c r="A767" t="s">
        <v>3778</v>
      </c>
      <c r="B767" t="s">
        <v>3779</v>
      </c>
      <c r="C767" t="s">
        <v>3780</v>
      </c>
      <c r="D767" t="s">
        <v>7850</v>
      </c>
      <c r="E767" t="s">
        <v>7839</v>
      </c>
      <c r="F767" t="s">
        <v>7840</v>
      </c>
      <c r="G767" t="s">
        <v>8075</v>
      </c>
      <c r="H767" t="s">
        <v>9</v>
      </c>
      <c r="I767">
        <v>6.246</v>
      </c>
      <c r="J767">
        <v>18.573</v>
      </c>
      <c r="K767">
        <v>0.15</v>
      </c>
      <c r="M767" t="s">
        <v>8075</v>
      </c>
      <c r="N767">
        <v>597.067</v>
      </c>
      <c r="V767" t="s">
        <v>7850</v>
      </c>
      <c r="W767" t="s">
        <v>7839</v>
      </c>
      <c r="X767" t="s">
        <v>7840</v>
      </c>
      <c r="Y767">
        <v>6.246</v>
      </c>
      <c r="Z767" t="s">
        <v>8075</v>
      </c>
      <c r="AA767">
        <v>18.573</v>
      </c>
      <c r="AB767">
        <v>0.15</v>
      </c>
    </row>
    <row r="768" spans="1:28">
      <c r="A768" t="s">
        <v>4676</v>
      </c>
      <c r="B768" t="s">
        <v>4677</v>
      </c>
      <c r="C768" t="s">
        <v>4678</v>
      </c>
      <c r="D768" t="s">
        <v>7847</v>
      </c>
      <c r="E768" t="s">
        <v>7840</v>
      </c>
      <c r="F768" t="s">
        <v>7935</v>
      </c>
      <c r="G768" t="s">
        <v>7895</v>
      </c>
      <c r="H768" t="s">
        <v>9</v>
      </c>
      <c r="I768">
        <v>374.897</v>
      </c>
      <c r="K768">
        <v>0.2</v>
      </c>
      <c r="M768" t="s">
        <v>7858</v>
      </c>
      <c r="N768">
        <v>167.894</v>
      </c>
      <c r="V768" t="s">
        <v>7847</v>
      </c>
      <c r="W768" t="s">
        <v>7840</v>
      </c>
      <c r="X768" t="s">
        <v>7935</v>
      </c>
      <c r="Y768">
        <v>374.897</v>
      </c>
      <c r="Z768" t="s">
        <v>7895</v>
      </c>
      <c r="AB768">
        <v>0.2</v>
      </c>
    </row>
    <row r="769" spans="1:28">
      <c r="A769" t="s">
        <v>4986</v>
      </c>
      <c r="B769" t="s">
        <v>4987</v>
      </c>
      <c r="C769" t="s">
        <v>4988</v>
      </c>
      <c r="D769" t="s">
        <v>7862</v>
      </c>
      <c r="E769" t="s">
        <v>7839</v>
      </c>
      <c r="F769" t="s">
        <v>7935</v>
      </c>
      <c r="G769" t="s">
        <v>8092</v>
      </c>
      <c r="H769" t="s">
        <v>9</v>
      </c>
      <c r="I769">
        <v>297.814</v>
      </c>
      <c r="J769">
        <v>99.996</v>
      </c>
      <c r="K769">
        <v>0.15</v>
      </c>
      <c r="M769" t="s">
        <v>7854</v>
      </c>
      <c r="N769">
        <v>445.422</v>
      </c>
      <c r="V769" t="s">
        <v>7862</v>
      </c>
      <c r="W769" t="s">
        <v>7839</v>
      </c>
      <c r="X769" t="s">
        <v>7935</v>
      </c>
      <c r="Y769">
        <v>297.814</v>
      </c>
      <c r="Z769" t="s">
        <v>8092</v>
      </c>
      <c r="AA769">
        <v>99.996</v>
      </c>
      <c r="AB769">
        <v>0.15</v>
      </c>
    </row>
    <row r="770" spans="1:28">
      <c r="A770" t="s">
        <v>4299</v>
      </c>
      <c r="B770" t="s">
        <v>4300</v>
      </c>
      <c r="C770" t="s">
        <v>4301</v>
      </c>
      <c r="D770" t="s">
        <v>7850</v>
      </c>
      <c r="E770" t="s">
        <v>7839</v>
      </c>
      <c r="F770" t="s">
        <v>7935</v>
      </c>
      <c r="G770" t="s">
        <v>8080</v>
      </c>
      <c r="H770" t="s">
        <v>9</v>
      </c>
      <c r="I770">
        <v>210.365</v>
      </c>
      <c r="J770">
        <v>17.916</v>
      </c>
      <c r="K770">
        <v>0.2</v>
      </c>
      <c r="M770" t="s">
        <v>7914</v>
      </c>
      <c r="N770">
        <v>681.942</v>
      </c>
      <c r="V770" t="s">
        <v>7850</v>
      </c>
      <c r="W770" t="s">
        <v>7839</v>
      </c>
      <c r="X770" t="s">
        <v>7935</v>
      </c>
      <c r="Y770">
        <v>210.365</v>
      </c>
      <c r="Z770" t="s">
        <v>8080</v>
      </c>
      <c r="AA770">
        <v>17.916</v>
      </c>
      <c r="AB770">
        <v>0.2</v>
      </c>
    </row>
    <row r="771" spans="1:28">
      <c r="A771" t="s">
        <v>5845</v>
      </c>
      <c r="B771" t="s">
        <v>5846</v>
      </c>
      <c r="C771" t="s">
        <v>5847</v>
      </c>
      <c r="D771" t="s">
        <v>7862</v>
      </c>
      <c r="E771" t="s">
        <v>7839</v>
      </c>
      <c r="F771" t="s">
        <v>7840</v>
      </c>
      <c r="G771" t="s">
        <v>8118</v>
      </c>
      <c r="H771" t="s">
        <v>9</v>
      </c>
      <c r="I771">
        <v>72.342</v>
      </c>
      <c r="J771">
        <v>8.802</v>
      </c>
      <c r="K771">
        <v>0</v>
      </c>
      <c r="M771" t="s">
        <v>7990</v>
      </c>
      <c r="N771">
        <v>835.302</v>
      </c>
      <c r="V771" t="s">
        <v>7862</v>
      </c>
      <c r="W771" t="s">
        <v>7839</v>
      </c>
      <c r="X771" t="s">
        <v>7840</v>
      </c>
      <c r="Y771">
        <v>72.342</v>
      </c>
      <c r="Z771" t="s">
        <v>8118</v>
      </c>
      <c r="AA771">
        <v>8.802</v>
      </c>
      <c r="AB771">
        <v>0</v>
      </c>
    </row>
    <row r="772" spans="1:28">
      <c r="A772" t="s">
        <v>4750</v>
      </c>
      <c r="B772" t="s">
        <v>4751</v>
      </c>
      <c r="C772" t="s">
        <v>4752</v>
      </c>
      <c r="D772" t="s">
        <v>7850</v>
      </c>
      <c r="E772" t="s">
        <v>7839</v>
      </c>
      <c r="F772" t="s">
        <v>7853</v>
      </c>
      <c r="G772" t="s">
        <v>7852</v>
      </c>
      <c r="H772" t="s">
        <v>9</v>
      </c>
      <c r="I772">
        <v>11050.914</v>
      </c>
      <c r="J772">
        <v>1.905</v>
      </c>
      <c r="K772">
        <v>0.04</v>
      </c>
      <c r="M772" t="s">
        <v>8075</v>
      </c>
      <c r="N772">
        <v>6.246</v>
      </c>
      <c r="V772" t="s">
        <v>7850</v>
      </c>
      <c r="W772" t="s">
        <v>7839</v>
      </c>
      <c r="X772" t="s">
        <v>7853</v>
      </c>
      <c r="Y772">
        <v>11050.914</v>
      </c>
      <c r="Z772" t="s">
        <v>7852</v>
      </c>
      <c r="AA772">
        <v>1.905</v>
      </c>
      <c r="AB772">
        <v>0.04</v>
      </c>
    </row>
    <row r="773" spans="1:28">
      <c r="A773" t="s">
        <v>4701</v>
      </c>
      <c r="B773" t="s">
        <v>4702</v>
      </c>
      <c r="C773" t="s">
        <v>4703</v>
      </c>
      <c r="D773" t="s">
        <v>7850</v>
      </c>
      <c r="E773" t="s">
        <v>7839</v>
      </c>
      <c r="F773" t="s">
        <v>7840</v>
      </c>
      <c r="G773" t="s">
        <v>7865</v>
      </c>
      <c r="H773" t="s">
        <v>9</v>
      </c>
      <c r="I773">
        <v>26.825</v>
      </c>
      <c r="J773">
        <v>30.185</v>
      </c>
      <c r="K773">
        <v>0.3</v>
      </c>
      <c r="M773" t="s">
        <v>7895</v>
      </c>
      <c r="N773">
        <v>374.897</v>
      </c>
      <c r="V773" t="s">
        <v>7850</v>
      </c>
      <c r="W773" t="s">
        <v>7839</v>
      </c>
      <c r="X773" t="s">
        <v>7840</v>
      </c>
      <c r="Y773">
        <v>26.825</v>
      </c>
      <c r="Z773" t="s">
        <v>7865</v>
      </c>
      <c r="AA773">
        <v>30.185</v>
      </c>
      <c r="AB773">
        <v>0.3</v>
      </c>
    </row>
    <row r="774" spans="1:28">
      <c r="A774" t="s">
        <v>5946</v>
      </c>
      <c r="B774" t="s">
        <v>5947</v>
      </c>
      <c r="C774" t="s">
        <v>5948</v>
      </c>
      <c r="D774" t="s">
        <v>7847</v>
      </c>
      <c r="E774" t="s">
        <v>7839</v>
      </c>
      <c r="F774" t="s">
        <v>7840</v>
      </c>
      <c r="G774" t="s">
        <v>8107</v>
      </c>
      <c r="H774" t="s">
        <v>9</v>
      </c>
      <c r="I774">
        <v>108.495</v>
      </c>
      <c r="J774">
        <v>21.742</v>
      </c>
      <c r="K774">
        <v>0.45</v>
      </c>
      <c r="M774" t="s">
        <v>8092</v>
      </c>
      <c r="N774">
        <v>297.814</v>
      </c>
      <c r="V774" t="s">
        <v>7847</v>
      </c>
      <c r="W774" t="s">
        <v>7839</v>
      </c>
      <c r="X774" t="s">
        <v>7840</v>
      </c>
      <c r="Y774">
        <v>108.495</v>
      </c>
      <c r="Z774" t="s">
        <v>8107</v>
      </c>
      <c r="AA774">
        <v>21.742</v>
      </c>
      <c r="AB774">
        <v>0.45</v>
      </c>
    </row>
    <row r="775" spans="1:28">
      <c r="A775" t="s">
        <v>4065</v>
      </c>
      <c r="B775" t="s">
        <v>4066</v>
      </c>
      <c r="C775" t="s">
        <v>4067</v>
      </c>
      <c r="D775" t="s">
        <v>7847</v>
      </c>
      <c r="E775" t="s">
        <v>7839</v>
      </c>
      <c r="F775" t="s">
        <v>7840</v>
      </c>
      <c r="G775" t="s">
        <v>7854</v>
      </c>
      <c r="H775" t="s">
        <v>9</v>
      </c>
      <c r="I775">
        <v>42.914</v>
      </c>
      <c r="J775">
        <v>6.502</v>
      </c>
      <c r="K775">
        <v>0.15</v>
      </c>
      <c r="M775" t="s">
        <v>8080</v>
      </c>
      <c r="N775">
        <v>210.365</v>
      </c>
      <c r="V775" t="s">
        <v>7847</v>
      </c>
      <c r="W775" t="s">
        <v>7839</v>
      </c>
      <c r="X775" t="s">
        <v>7840</v>
      </c>
      <c r="Y775">
        <v>42.914</v>
      </c>
      <c r="Z775" t="s">
        <v>7854</v>
      </c>
      <c r="AA775">
        <v>6.502</v>
      </c>
      <c r="AB775">
        <v>0.15</v>
      </c>
    </row>
    <row r="776" spans="1:28">
      <c r="A776" t="s">
        <v>3973</v>
      </c>
      <c r="B776" t="s">
        <v>3974</v>
      </c>
      <c r="C776" t="s">
        <v>3975</v>
      </c>
      <c r="D776" t="s">
        <v>7847</v>
      </c>
      <c r="E776" t="s">
        <v>7839</v>
      </c>
      <c r="F776" t="s">
        <v>7840</v>
      </c>
      <c r="G776" t="s">
        <v>8118</v>
      </c>
      <c r="H776" t="s">
        <v>9</v>
      </c>
      <c r="I776">
        <v>135.61</v>
      </c>
      <c r="J776">
        <v>17.532</v>
      </c>
      <c r="K776">
        <v>0</v>
      </c>
      <c r="M776" t="s">
        <v>8118</v>
      </c>
      <c r="N776">
        <v>72.342</v>
      </c>
      <c r="V776" t="s">
        <v>7847</v>
      </c>
      <c r="W776" t="s">
        <v>7839</v>
      </c>
      <c r="X776" t="s">
        <v>7840</v>
      </c>
      <c r="Y776">
        <v>135.61</v>
      </c>
      <c r="Z776" t="s">
        <v>8118</v>
      </c>
      <c r="AA776">
        <v>17.532</v>
      </c>
      <c r="AB776">
        <v>0</v>
      </c>
    </row>
    <row r="777" spans="1:28">
      <c r="A777" t="s">
        <v>6033</v>
      </c>
      <c r="B777" t="s">
        <v>6034</v>
      </c>
      <c r="C777" t="s">
        <v>6035</v>
      </c>
      <c r="D777" t="s">
        <v>7859</v>
      </c>
      <c r="E777" t="s">
        <v>7839</v>
      </c>
      <c r="F777" t="s">
        <v>7840</v>
      </c>
      <c r="G777" t="s">
        <v>8080</v>
      </c>
      <c r="H777" t="s">
        <v>9</v>
      </c>
      <c r="I777">
        <v>105.663</v>
      </c>
      <c r="J777">
        <v>21.025</v>
      </c>
      <c r="K777">
        <v>0.72</v>
      </c>
      <c r="M777" t="s">
        <v>7852</v>
      </c>
      <c r="N777">
        <v>11050.914</v>
      </c>
      <c r="V777" t="s">
        <v>7859</v>
      </c>
      <c r="W777" t="s">
        <v>7839</v>
      </c>
      <c r="X777" t="s">
        <v>7840</v>
      </c>
      <c r="Y777">
        <v>105.663</v>
      </c>
      <c r="Z777" t="s">
        <v>8080</v>
      </c>
      <c r="AA777">
        <v>21.025</v>
      </c>
      <c r="AB777">
        <v>0.72</v>
      </c>
    </row>
    <row r="778" spans="1:28">
      <c r="A778" t="s">
        <v>603</v>
      </c>
      <c r="B778" t="s">
        <v>604</v>
      </c>
      <c r="C778" t="s">
        <v>605</v>
      </c>
      <c r="D778" t="s">
        <v>7862</v>
      </c>
      <c r="E778" t="s">
        <v>7848</v>
      </c>
      <c r="F778" t="s">
        <v>7853</v>
      </c>
      <c r="G778" t="s">
        <v>7952</v>
      </c>
      <c r="H778" t="s">
        <v>9</v>
      </c>
      <c r="I778">
        <v>1.761</v>
      </c>
      <c r="J778">
        <v>74.434</v>
      </c>
      <c r="K778">
        <v>0.85</v>
      </c>
      <c r="M778" t="s">
        <v>7865</v>
      </c>
      <c r="N778">
        <v>26.825</v>
      </c>
      <c r="V778" t="s">
        <v>7862</v>
      </c>
      <c r="W778" t="s">
        <v>7848</v>
      </c>
      <c r="X778" t="s">
        <v>7853</v>
      </c>
      <c r="Y778">
        <v>1.761</v>
      </c>
      <c r="Z778" t="s">
        <v>7952</v>
      </c>
      <c r="AA778">
        <v>74.434</v>
      </c>
      <c r="AB778">
        <v>0.85</v>
      </c>
    </row>
    <row r="779" spans="1:28">
      <c r="A779" t="s">
        <v>4989</v>
      </c>
      <c r="B779" t="s">
        <v>4990</v>
      </c>
      <c r="C779" t="s">
        <v>4991</v>
      </c>
      <c r="D779" t="s">
        <v>7862</v>
      </c>
      <c r="E779" t="s">
        <v>7839</v>
      </c>
      <c r="F779" t="s">
        <v>7935</v>
      </c>
      <c r="G779" t="s">
        <v>7860</v>
      </c>
      <c r="H779" t="s">
        <v>9</v>
      </c>
      <c r="I779">
        <v>34.706</v>
      </c>
      <c r="J779">
        <v>32.799</v>
      </c>
      <c r="K779">
        <v>0.12</v>
      </c>
      <c r="M779" t="s">
        <v>8107</v>
      </c>
      <c r="N779">
        <v>108.495</v>
      </c>
      <c r="V779" t="s">
        <v>7862</v>
      </c>
      <c r="W779" t="s">
        <v>7839</v>
      </c>
      <c r="X779" t="s">
        <v>7935</v>
      </c>
      <c r="Y779">
        <v>34.706</v>
      </c>
      <c r="Z779" t="s">
        <v>7860</v>
      </c>
      <c r="AA779">
        <v>32.799</v>
      </c>
      <c r="AB779">
        <v>0.12</v>
      </c>
    </row>
    <row r="780" spans="1:28">
      <c r="A780" t="s">
        <v>4233</v>
      </c>
      <c r="B780" t="s">
        <v>4234</v>
      </c>
      <c r="C780" t="s">
        <v>4235</v>
      </c>
      <c r="D780" t="s">
        <v>7847</v>
      </c>
      <c r="E780" t="s">
        <v>7839</v>
      </c>
      <c r="F780" t="s">
        <v>7840</v>
      </c>
      <c r="G780" t="s">
        <v>8017</v>
      </c>
      <c r="H780" t="s">
        <v>9</v>
      </c>
      <c r="I780">
        <v>22.702</v>
      </c>
      <c r="J780">
        <v>21.639</v>
      </c>
      <c r="K780">
        <v>0.5</v>
      </c>
      <c r="M780" t="s">
        <v>7854</v>
      </c>
      <c r="N780">
        <v>42.914</v>
      </c>
      <c r="V780" t="s">
        <v>7847</v>
      </c>
      <c r="W780" t="s">
        <v>7839</v>
      </c>
      <c r="X780" t="s">
        <v>7840</v>
      </c>
      <c r="Y780">
        <v>22.702</v>
      </c>
      <c r="Z780" t="s">
        <v>8017</v>
      </c>
      <c r="AA780">
        <v>21.639</v>
      </c>
      <c r="AB780">
        <v>0.5</v>
      </c>
    </row>
    <row r="781" spans="1:28">
      <c r="A781" t="s">
        <v>5399</v>
      </c>
      <c r="B781" t="s">
        <v>5400</v>
      </c>
      <c r="C781" t="s">
        <v>5401</v>
      </c>
      <c r="D781" t="s">
        <v>7850</v>
      </c>
      <c r="E781" t="s">
        <v>7839</v>
      </c>
      <c r="F781" t="s">
        <v>7888</v>
      </c>
      <c r="G781" t="s">
        <v>7941</v>
      </c>
      <c r="H781" t="s">
        <v>9</v>
      </c>
      <c r="I781">
        <v>131.162</v>
      </c>
      <c r="J781">
        <v>11.038</v>
      </c>
      <c r="K781">
        <v>0.1</v>
      </c>
      <c r="M781" t="s">
        <v>8118</v>
      </c>
      <c r="N781">
        <v>135.61</v>
      </c>
      <c r="V781" t="s">
        <v>7850</v>
      </c>
      <c r="W781" t="s">
        <v>7839</v>
      </c>
      <c r="X781" t="s">
        <v>7888</v>
      </c>
      <c r="Y781">
        <v>131.162</v>
      </c>
      <c r="Z781" t="s">
        <v>7941</v>
      </c>
      <c r="AA781">
        <v>11.038</v>
      </c>
      <c r="AB781">
        <v>0.1</v>
      </c>
    </row>
    <row r="782" spans="1:28">
      <c r="A782" t="s">
        <v>4916</v>
      </c>
      <c r="B782" t="s">
        <v>4917</v>
      </c>
      <c r="C782" t="s">
        <v>4918</v>
      </c>
      <c r="D782" t="s">
        <v>7850</v>
      </c>
      <c r="E782" t="s">
        <v>7839</v>
      </c>
      <c r="F782" t="s">
        <v>7853</v>
      </c>
      <c r="G782" t="s">
        <v>8080</v>
      </c>
      <c r="H782" t="s">
        <v>9</v>
      </c>
      <c r="I782">
        <v>169.884</v>
      </c>
      <c r="J782">
        <v>24.72</v>
      </c>
      <c r="K782">
        <v>0.25</v>
      </c>
      <c r="M782" t="s">
        <v>8080</v>
      </c>
      <c r="N782">
        <v>105.663</v>
      </c>
      <c r="V782" t="s">
        <v>7850</v>
      </c>
      <c r="W782" t="s">
        <v>7839</v>
      </c>
      <c r="X782" t="s">
        <v>7853</v>
      </c>
      <c r="Y782">
        <v>169.884</v>
      </c>
      <c r="Z782" t="s">
        <v>8080</v>
      </c>
      <c r="AA782">
        <v>24.72</v>
      </c>
      <c r="AB782">
        <v>0.25</v>
      </c>
    </row>
    <row r="783" spans="1:28">
      <c r="A783" t="s">
        <v>4026</v>
      </c>
      <c r="B783" t="s">
        <v>4027</v>
      </c>
      <c r="C783" t="s">
        <v>4028</v>
      </c>
      <c r="D783" t="s">
        <v>7850</v>
      </c>
      <c r="E783" t="s">
        <v>7839</v>
      </c>
      <c r="F783" t="s">
        <v>7853</v>
      </c>
      <c r="G783" t="s">
        <v>7914</v>
      </c>
      <c r="H783" t="s">
        <v>9</v>
      </c>
      <c r="I783">
        <v>98.968</v>
      </c>
      <c r="J783">
        <v>3.725</v>
      </c>
      <c r="K783">
        <v>0.19</v>
      </c>
      <c r="M783" t="s">
        <v>7952</v>
      </c>
      <c r="N783">
        <v>1.761</v>
      </c>
      <c r="V783" t="s">
        <v>7850</v>
      </c>
      <c r="W783" t="s">
        <v>7839</v>
      </c>
      <c r="X783" t="s">
        <v>7853</v>
      </c>
      <c r="Y783">
        <v>98.968</v>
      </c>
      <c r="Z783" t="s">
        <v>7914</v>
      </c>
      <c r="AA783">
        <v>3.725</v>
      </c>
      <c r="AB783">
        <v>0.19</v>
      </c>
    </row>
    <row r="784" spans="1:28">
      <c r="A784" t="s">
        <v>5730</v>
      </c>
      <c r="B784" t="s">
        <v>5731</v>
      </c>
      <c r="C784" t="s">
        <v>5732</v>
      </c>
      <c r="D784" t="s">
        <v>7862</v>
      </c>
      <c r="E784" t="s">
        <v>7839</v>
      </c>
      <c r="F784" t="s">
        <v>7853</v>
      </c>
      <c r="G784" t="s">
        <v>7854</v>
      </c>
      <c r="H784" t="s">
        <v>9</v>
      </c>
      <c r="I784">
        <v>33811.027</v>
      </c>
      <c r="J784">
        <v>22.322</v>
      </c>
      <c r="K784">
        <v>0.05</v>
      </c>
      <c r="M784" t="s">
        <v>7860</v>
      </c>
      <c r="N784">
        <v>34.706</v>
      </c>
      <c r="V784" t="s">
        <v>7862</v>
      </c>
      <c r="W784" t="s">
        <v>7839</v>
      </c>
      <c r="X784" t="s">
        <v>7853</v>
      </c>
      <c r="Y784">
        <v>33811.027</v>
      </c>
      <c r="Z784" t="s">
        <v>7854</v>
      </c>
      <c r="AA784">
        <v>22.322</v>
      </c>
      <c r="AB784">
        <v>0.05</v>
      </c>
    </row>
    <row r="785" spans="1:28">
      <c r="A785" t="s">
        <v>5219</v>
      </c>
      <c r="B785" t="s">
        <v>5220</v>
      </c>
      <c r="C785" t="s">
        <v>5221</v>
      </c>
      <c r="D785" t="s">
        <v>7850</v>
      </c>
      <c r="E785" t="s">
        <v>7839</v>
      </c>
      <c r="F785" t="s">
        <v>7853</v>
      </c>
      <c r="G785" t="s">
        <v>7854</v>
      </c>
      <c r="H785" t="s">
        <v>9</v>
      </c>
      <c r="I785">
        <v>1065.733</v>
      </c>
      <c r="J785">
        <v>21.87</v>
      </c>
      <c r="K785">
        <v>0.35</v>
      </c>
      <c r="M785" t="s">
        <v>8017</v>
      </c>
      <c r="N785">
        <v>22.702</v>
      </c>
      <c r="V785" t="s">
        <v>7850</v>
      </c>
      <c r="W785" t="s">
        <v>7839</v>
      </c>
      <c r="X785" t="s">
        <v>7853</v>
      </c>
      <c r="Y785">
        <v>1065.733</v>
      </c>
      <c r="Z785" t="s">
        <v>7854</v>
      </c>
      <c r="AA785">
        <v>21.87</v>
      </c>
      <c r="AB785">
        <v>0.35</v>
      </c>
    </row>
    <row r="786" spans="1:28">
      <c r="A786" t="s">
        <v>4165</v>
      </c>
      <c r="B786" t="s">
        <v>4166</v>
      </c>
      <c r="C786" t="s">
        <v>4167</v>
      </c>
      <c r="D786" t="s">
        <v>7850</v>
      </c>
      <c r="E786" t="s">
        <v>7839</v>
      </c>
      <c r="F786" t="s">
        <v>7853</v>
      </c>
      <c r="G786" t="s">
        <v>8075</v>
      </c>
      <c r="H786" t="s">
        <v>9</v>
      </c>
      <c r="I786">
        <v>6.271</v>
      </c>
      <c r="J786">
        <v>20.775</v>
      </c>
      <c r="K786">
        <v>0.15</v>
      </c>
      <c r="M786" t="s">
        <v>7941</v>
      </c>
      <c r="N786">
        <v>131.162</v>
      </c>
      <c r="V786" t="s">
        <v>7850</v>
      </c>
      <c r="W786" t="s">
        <v>7839</v>
      </c>
      <c r="X786" t="s">
        <v>7853</v>
      </c>
      <c r="Y786">
        <v>6.271</v>
      </c>
      <c r="Z786" t="s">
        <v>8075</v>
      </c>
      <c r="AA786">
        <v>20.775</v>
      </c>
      <c r="AB786">
        <v>0.15</v>
      </c>
    </row>
    <row r="787" spans="1:28">
      <c r="A787" t="s">
        <v>5260</v>
      </c>
      <c r="B787" t="s">
        <v>3941</v>
      </c>
      <c r="C787" t="s">
        <v>4249</v>
      </c>
      <c r="D787" t="s">
        <v>7850</v>
      </c>
      <c r="E787" t="s">
        <v>7839</v>
      </c>
      <c r="F787" t="s">
        <v>7888</v>
      </c>
      <c r="G787" t="s">
        <v>7854</v>
      </c>
      <c r="H787" t="s">
        <v>9</v>
      </c>
      <c r="I787">
        <v>3794.558</v>
      </c>
      <c r="J787">
        <v>6.458</v>
      </c>
      <c r="K787">
        <v>0.1</v>
      </c>
      <c r="M787" t="s">
        <v>8080</v>
      </c>
      <c r="N787">
        <v>169.884</v>
      </c>
      <c r="V787" t="s">
        <v>7850</v>
      </c>
      <c r="W787" t="s">
        <v>7839</v>
      </c>
      <c r="X787" t="s">
        <v>7888</v>
      </c>
      <c r="Y787">
        <v>3794.558</v>
      </c>
      <c r="Z787" t="s">
        <v>7854</v>
      </c>
      <c r="AA787">
        <v>6.458</v>
      </c>
      <c r="AB787">
        <v>0.1</v>
      </c>
    </row>
    <row r="788" spans="1:28">
      <c r="A788" t="s">
        <v>5003</v>
      </c>
      <c r="B788" t="s">
        <v>5004</v>
      </c>
      <c r="C788" t="s">
        <v>5005</v>
      </c>
      <c r="D788" t="s">
        <v>7847</v>
      </c>
      <c r="E788" t="s">
        <v>7839</v>
      </c>
      <c r="F788" t="s">
        <v>7935</v>
      </c>
      <c r="G788" t="s">
        <v>7854</v>
      </c>
      <c r="H788" t="s">
        <v>9</v>
      </c>
      <c r="I788">
        <v>4708.449</v>
      </c>
      <c r="J788">
        <v>9.077</v>
      </c>
      <c r="K788">
        <v>0.06</v>
      </c>
      <c r="M788" t="s">
        <v>7914</v>
      </c>
      <c r="N788">
        <v>98.968</v>
      </c>
      <c r="V788" t="s">
        <v>7847</v>
      </c>
      <c r="W788" t="s">
        <v>7839</v>
      </c>
      <c r="X788" t="s">
        <v>7935</v>
      </c>
      <c r="Y788">
        <v>4708.449</v>
      </c>
      <c r="Z788" t="s">
        <v>7854</v>
      </c>
      <c r="AA788">
        <v>9.077</v>
      </c>
      <c r="AB788">
        <v>0.06</v>
      </c>
    </row>
    <row r="789" spans="1:28">
      <c r="A789" t="s">
        <v>4814</v>
      </c>
      <c r="B789" t="s">
        <v>4815</v>
      </c>
      <c r="C789" t="s">
        <v>4816</v>
      </c>
      <c r="D789" t="s">
        <v>7847</v>
      </c>
      <c r="E789" t="s">
        <v>7839</v>
      </c>
      <c r="F789" t="s">
        <v>7932</v>
      </c>
      <c r="G789" t="s">
        <v>7970</v>
      </c>
      <c r="H789" t="s">
        <v>9</v>
      </c>
      <c r="I789">
        <v>1268.573</v>
      </c>
      <c r="J789">
        <v>12.269</v>
      </c>
      <c r="K789">
        <v>0.15</v>
      </c>
      <c r="M789" t="s">
        <v>7854</v>
      </c>
      <c r="N789">
        <v>33811.027</v>
      </c>
      <c r="V789" t="s">
        <v>7847</v>
      </c>
      <c r="W789" t="s">
        <v>7839</v>
      </c>
      <c r="X789" t="s">
        <v>7932</v>
      </c>
      <c r="Y789">
        <v>1268.573</v>
      </c>
      <c r="Z789" t="s">
        <v>7970</v>
      </c>
      <c r="AA789">
        <v>12.269</v>
      </c>
      <c r="AB789">
        <v>0.15</v>
      </c>
    </row>
    <row r="790" spans="1:28">
      <c r="A790" t="s">
        <v>4012</v>
      </c>
      <c r="B790" t="s">
        <v>4013</v>
      </c>
      <c r="C790" t="s">
        <v>4014</v>
      </c>
      <c r="D790" t="s">
        <v>7847</v>
      </c>
      <c r="E790" t="s">
        <v>7839</v>
      </c>
      <c r="F790" t="s">
        <v>7840</v>
      </c>
      <c r="G790" t="s">
        <v>8083</v>
      </c>
      <c r="H790" t="s">
        <v>9</v>
      </c>
      <c r="I790">
        <v>112.005</v>
      </c>
      <c r="J790">
        <v>57.232</v>
      </c>
      <c r="K790">
        <v>0.3</v>
      </c>
      <c r="M790" t="s">
        <v>7854</v>
      </c>
      <c r="N790">
        <v>1065.733</v>
      </c>
      <c r="V790" t="s">
        <v>7847</v>
      </c>
      <c r="W790" t="s">
        <v>7839</v>
      </c>
      <c r="X790" t="s">
        <v>7840</v>
      </c>
      <c r="Y790">
        <v>112.005</v>
      </c>
      <c r="Z790" t="s">
        <v>8083</v>
      </c>
      <c r="AA790">
        <v>57.232</v>
      </c>
      <c r="AB790">
        <v>0.3</v>
      </c>
    </row>
    <row r="791" spans="1:28">
      <c r="A791" t="s">
        <v>4217</v>
      </c>
      <c r="B791" t="s">
        <v>4218</v>
      </c>
      <c r="C791" t="s">
        <v>4219</v>
      </c>
      <c r="D791" t="s">
        <v>7850</v>
      </c>
      <c r="E791" t="s">
        <v>7839</v>
      </c>
      <c r="F791" t="s">
        <v>7935</v>
      </c>
      <c r="G791" t="s">
        <v>7854</v>
      </c>
      <c r="H791" t="s">
        <v>9</v>
      </c>
      <c r="I791">
        <v>2344.78</v>
      </c>
      <c r="J791">
        <v>1.753</v>
      </c>
      <c r="K791">
        <v>0.06</v>
      </c>
      <c r="M791" t="s">
        <v>8075</v>
      </c>
      <c r="N791">
        <v>6.271</v>
      </c>
      <c r="V791" t="s">
        <v>7850</v>
      </c>
      <c r="W791" t="s">
        <v>7839</v>
      </c>
      <c r="X791" t="s">
        <v>7935</v>
      </c>
      <c r="Y791">
        <v>2344.78</v>
      </c>
      <c r="Z791" t="s">
        <v>7854</v>
      </c>
      <c r="AA791">
        <v>1.753</v>
      </c>
      <c r="AB791">
        <v>0.06</v>
      </c>
    </row>
    <row r="792" spans="1:28">
      <c r="A792" t="s">
        <v>3967</v>
      </c>
      <c r="B792" t="s">
        <v>3968</v>
      </c>
      <c r="C792" t="s">
        <v>3969</v>
      </c>
      <c r="D792" t="s">
        <v>7850</v>
      </c>
      <c r="E792" t="s">
        <v>7839</v>
      </c>
      <c r="F792" t="s">
        <v>7932</v>
      </c>
      <c r="G792" t="s">
        <v>7858</v>
      </c>
      <c r="H792" t="s">
        <v>9</v>
      </c>
      <c r="I792">
        <v>2550.737</v>
      </c>
      <c r="J792">
        <v>9.162</v>
      </c>
      <c r="K792">
        <v>0.14</v>
      </c>
      <c r="M792" t="s">
        <v>7854</v>
      </c>
      <c r="N792">
        <v>3794.558</v>
      </c>
      <c r="V792" t="s">
        <v>7850</v>
      </c>
      <c r="W792" t="s">
        <v>7839</v>
      </c>
      <c r="X792" t="s">
        <v>7932</v>
      </c>
      <c r="Y792">
        <v>2550.737</v>
      </c>
      <c r="Z792" t="s">
        <v>7858</v>
      </c>
      <c r="AA792">
        <v>9.162</v>
      </c>
      <c r="AB792">
        <v>0.14</v>
      </c>
    </row>
    <row r="793" spans="1:28">
      <c r="A793" t="s">
        <v>4153</v>
      </c>
      <c r="B793" t="s">
        <v>4154</v>
      </c>
      <c r="C793" t="s">
        <v>4155</v>
      </c>
      <c r="D793" t="s">
        <v>7847</v>
      </c>
      <c r="E793" t="s">
        <v>7839</v>
      </c>
      <c r="F793" t="s">
        <v>7935</v>
      </c>
      <c r="G793" t="s">
        <v>8028</v>
      </c>
      <c r="H793" t="s">
        <v>9</v>
      </c>
      <c r="I793">
        <v>3763.254</v>
      </c>
      <c r="J793">
        <v>25.491</v>
      </c>
      <c r="K793">
        <v>0.25</v>
      </c>
      <c r="M793" t="s">
        <v>7854</v>
      </c>
      <c r="N793">
        <v>4708.449</v>
      </c>
      <c r="V793" t="s">
        <v>7847</v>
      </c>
      <c r="W793" t="s">
        <v>7839</v>
      </c>
      <c r="X793" t="s">
        <v>7935</v>
      </c>
      <c r="Y793">
        <v>3763.254</v>
      </c>
      <c r="Z793" t="s">
        <v>8028</v>
      </c>
      <c r="AA793">
        <v>25.491</v>
      </c>
      <c r="AB793">
        <v>0.25</v>
      </c>
    </row>
    <row r="794" spans="1:28">
      <c r="A794" t="s">
        <v>4803</v>
      </c>
      <c r="B794" t="s">
        <v>4804</v>
      </c>
      <c r="C794" t="s">
        <v>4805</v>
      </c>
      <c r="D794" t="s">
        <v>7847</v>
      </c>
      <c r="E794" t="s">
        <v>7839</v>
      </c>
      <c r="F794" t="s">
        <v>7840</v>
      </c>
      <c r="G794" t="s">
        <v>8075</v>
      </c>
      <c r="H794" t="s">
        <v>9</v>
      </c>
      <c r="I794">
        <v>344.076</v>
      </c>
      <c r="J794">
        <v>100</v>
      </c>
      <c r="K794">
        <v>0.5</v>
      </c>
      <c r="M794" t="s">
        <v>7970</v>
      </c>
      <c r="N794">
        <v>1268.573</v>
      </c>
      <c r="V794" t="s">
        <v>7847</v>
      </c>
      <c r="W794" t="s">
        <v>7839</v>
      </c>
      <c r="X794" t="s">
        <v>7840</v>
      </c>
      <c r="Y794">
        <v>344.076</v>
      </c>
      <c r="Z794" t="s">
        <v>8075</v>
      </c>
      <c r="AA794">
        <v>100</v>
      </c>
      <c r="AB794">
        <v>0.5</v>
      </c>
    </row>
    <row r="795" spans="1:28">
      <c r="A795" t="s">
        <v>5536</v>
      </c>
      <c r="B795" t="s">
        <v>835</v>
      </c>
      <c r="C795" t="s">
        <v>5537</v>
      </c>
      <c r="D795" t="s">
        <v>7850</v>
      </c>
      <c r="E795" t="s">
        <v>7839</v>
      </c>
      <c r="F795" t="s">
        <v>7853</v>
      </c>
      <c r="G795" t="s">
        <v>7854</v>
      </c>
      <c r="H795" t="s">
        <v>9</v>
      </c>
      <c r="I795">
        <v>987.344</v>
      </c>
      <c r="J795">
        <v>10.101</v>
      </c>
      <c r="K795">
        <v>0.1</v>
      </c>
      <c r="M795" t="s">
        <v>8083</v>
      </c>
      <c r="N795">
        <v>112.005</v>
      </c>
      <c r="V795" t="s">
        <v>7850</v>
      </c>
      <c r="W795" t="s">
        <v>7839</v>
      </c>
      <c r="X795" t="s">
        <v>7853</v>
      </c>
      <c r="Y795">
        <v>987.344</v>
      </c>
      <c r="Z795" t="s">
        <v>7854</v>
      </c>
      <c r="AA795">
        <v>10.101</v>
      </c>
      <c r="AB795">
        <v>0.1</v>
      </c>
    </row>
    <row r="796" spans="1:28">
      <c r="A796" t="s">
        <v>3875</v>
      </c>
      <c r="B796" t="s">
        <v>3876</v>
      </c>
      <c r="C796" t="s">
        <v>3877</v>
      </c>
      <c r="D796" t="s">
        <v>7850</v>
      </c>
      <c r="E796" t="s">
        <v>7839</v>
      </c>
      <c r="F796" t="s">
        <v>7935</v>
      </c>
      <c r="G796" t="s">
        <v>7854</v>
      </c>
      <c r="H796" t="s">
        <v>9</v>
      </c>
      <c r="I796">
        <v>21943.578</v>
      </c>
      <c r="J796">
        <v>1.529</v>
      </c>
      <c r="K796">
        <v>0.04</v>
      </c>
      <c r="M796" t="s">
        <v>7854</v>
      </c>
      <c r="N796">
        <v>2344.78</v>
      </c>
      <c r="V796" t="s">
        <v>7850</v>
      </c>
      <c r="W796" t="s">
        <v>7839</v>
      </c>
      <c r="X796" t="s">
        <v>7935</v>
      </c>
      <c r="Y796">
        <v>21943.578</v>
      </c>
      <c r="Z796" t="s">
        <v>7854</v>
      </c>
      <c r="AA796">
        <v>1.529</v>
      </c>
      <c r="AB796">
        <v>0.04</v>
      </c>
    </row>
    <row r="797" spans="1:28">
      <c r="A797" t="s">
        <v>4111</v>
      </c>
      <c r="B797" t="s">
        <v>4112</v>
      </c>
      <c r="C797" t="s">
        <v>4113</v>
      </c>
      <c r="D797" t="s">
        <v>7850</v>
      </c>
      <c r="E797" t="s">
        <v>7839</v>
      </c>
      <c r="F797" t="s">
        <v>7935</v>
      </c>
      <c r="G797" t="s">
        <v>7852</v>
      </c>
      <c r="H797" t="s">
        <v>9</v>
      </c>
      <c r="I797">
        <v>8461.449</v>
      </c>
      <c r="J797">
        <v>4.027</v>
      </c>
      <c r="K797">
        <v>0.04</v>
      </c>
      <c r="M797" t="s">
        <v>7858</v>
      </c>
      <c r="N797">
        <v>2550.737</v>
      </c>
      <c r="V797" t="s">
        <v>7850</v>
      </c>
      <c r="W797" t="s">
        <v>7839</v>
      </c>
      <c r="X797" t="s">
        <v>7935</v>
      </c>
      <c r="Y797">
        <v>8461.449</v>
      </c>
      <c r="Z797" t="s">
        <v>7852</v>
      </c>
      <c r="AA797">
        <v>4.027</v>
      </c>
      <c r="AB797">
        <v>0.04</v>
      </c>
    </row>
    <row r="798" spans="1:28">
      <c r="A798" t="s">
        <v>4730</v>
      </c>
      <c r="B798" t="s">
        <v>4731</v>
      </c>
      <c r="C798" t="s">
        <v>4732</v>
      </c>
      <c r="D798" t="s">
        <v>7850</v>
      </c>
      <c r="E798" t="s">
        <v>7839</v>
      </c>
      <c r="F798" t="s">
        <v>7840</v>
      </c>
      <c r="G798" t="s">
        <v>7943</v>
      </c>
      <c r="H798" t="s">
        <v>9</v>
      </c>
      <c r="I798">
        <v>105.675</v>
      </c>
      <c r="J798">
        <v>5.61</v>
      </c>
      <c r="K798">
        <v>0.22</v>
      </c>
      <c r="M798" t="s">
        <v>8028</v>
      </c>
      <c r="N798">
        <v>3763.254</v>
      </c>
      <c r="V798" t="s">
        <v>7850</v>
      </c>
      <c r="W798" t="s">
        <v>7839</v>
      </c>
      <c r="X798" t="s">
        <v>7840</v>
      </c>
      <c r="Y798">
        <v>105.675</v>
      </c>
      <c r="Z798" t="s">
        <v>7943</v>
      </c>
      <c r="AA798">
        <v>5.61</v>
      </c>
      <c r="AB798">
        <v>0.22</v>
      </c>
    </row>
    <row r="799" spans="1:28">
      <c r="A799" t="s">
        <v>6277</v>
      </c>
      <c r="B799" t="s">
        <v>6278</v>
      </c>
      <c r="C799" t="s">
        <v>6279</v>
      </c>
      <c r="D799" t="s">
        <v>7862</v>
      </c>
      <c r="E799" t="s">
        <v>7839</v>
      </c>
      <c r="F799" t="s">
        <v>7853</v>
      </c>
      <c r="G799" t="s">
        <v>7914</v>
      </c>
      <c r="H799" t="s">
        <v>9</v>
      </c>
      <c r="I799">
        <v>280.596</v>
      </c>
      <c r="J799">
        <v>72.367</v>
      </c>
      <c r="K799">
        <v>0.05</v>
      </c>
      <c r="M799" t="s">
        <v>8075</v>
      </c>
      <c r="N799">
        <v>344.076</v>
      </c>
      <c r="V799" t="s">
        <v>7862</v>
      </c>
      <c r="W799" t="s">
        <v>7839</v>
      </c>
      <c r="X799" t="s">
        <v>7853</v>
      </c>
      <c r="Y799">
        <v>280.596</v>
      </c>
      <c r="Z799" t="s">
        <v>7914</v>
      </c>
      <c r="AA799">
        <v>72.367</v>
      </c>
      <c r="AB799">
        <v>0.05</v>
      </c>
    </row>
    <row r="800" spans="1:28">
      <c r="A800" t="s">
        <v>4041</v>
      </c>
      <c r="B800" t="s">
        <v>4042</v>
      </c>
      <c r="C800" t="s">
        <v>4043</v>
      </c>
      <c r="D800" t="s">
        <v>7850</v>
      </c>
      <c r="E800" t="s">
        <v>7839</v>
      </c>
      <c r="F800" t="s">
        <v>7935</v>
      </c>
      <c r="G800" t="s">
        <v>8092</v>
      </c>
      <c r="H800" t="s">
        <v>9</v>
      </c>
      <c r="I800">
        <v>20.33</v>
      </c>
      <c r="J800">
        <v>2.43</v>
      </c>
      <c r="K800">
        <v>0.15</v>
      </c>
      <c r="M800" t="s">
        <v>7854</v>
      </c>
      <c r="N800">
        <v>987.344</v>
      </c>
      <c r="V800" t="s">
        <v>7850</v>
      </c>
      <c r="W800" t="s">
        <v>7839</v>
      </c>
      <c r="X800" t="s">
        <v>7935</v>
      </c>
      <c r="Y800">
        <v>20.33</v>
      </c>
      <c r="Z800" t="s">
        <v>8092</v>
      </c>
      <c r="AA800">
        <v>2.43</v>
      </c>
      <c r="AB800">
        <v>0.15</v>
      </c>
    </row>
    <row r="801" spans="1:28">
      <c r="A801" t="s">
        <v>4972</v>
      </c>
      <c r="B801" t="s">
        <v>4973</v>
      </c>
      <c r="C801" t="s">
        <v>4974</v>
      </c>
      <c r="D801" t="s">
        <v>7850</v>
      </c>
      <c r="E801" t="s">
        <v>7839</v>
      </c>
      <c r="F801" t="s">
        <v>7840</v>
      </c>
      <c r="G801" t="s">
        <v>7858</v>
      </c>
      <c r="H801" t="s">
        <v>9</v>
      </c>
      <c r="I801">
        <v>8.673</v>
      </c>
      <c r="J801">
        <v>12.256</v>
      </c>
      <c r="K801">
        <v>0.25</v>
      </c>
      <c r="M801" t="s">
        <v>7854</v>
      </c>
      <c r="N801">
        <v>21943.578</v>
      </c>
      <c r="V801" t="s">
        <v>7850</v>
      </c>
      <c r="W801" t="s">
        <v>7839</v>
      </c>
      <c r="X801" t="s">
        <v>7840</v>
      </c>
      <c r="Y801">
        <v>8.673</v>
      </c>
      <c r="Z801" t="s">
        <v>7858</v>
      </c>
      <c r="AA801">
        <v>12.256</v>
      </c>
      <c r="AB801">
        <v>0.25</v>
      </c>
    </row>
    <row r="802" spans="1:28">
      <c r="A802" t="s">
        <v>3329</v>
      </c>
      <c r="B802" t="s">
        <v>3330</v>
      </c>
      <c r="C802" t="s">
        <v>3331</v>
      </c>
      <c r="D802" t="s">
        <v>7850</v>
      </c>
      <c r="E802" t="s">
        <v>7839</v>
      </c>
      <c r="F802" t="s">
        <v>7853</v>
      </c>
      <c r="G802" t="s">
        <v>7941</v>
      </c>
      <c r="H802" t="s">
        <v>9</v>
      </c>
      <c r="I802">
        <v>2670.919</v>
      </c>
      <c r="J802">
        <v>8.364</v>
      </c>
      <c r="K802">
        <v>0.1</v>
      </c>
      <c r="M802" t="s">
        <v>7852</v>
      </c>
      <c r="N802">
        <v>8461.449</v>
      </c>
      <c r="V802" t="s">
        <v>7850</v>
      </c>
      <c r="W802" t="s">
        <v>7839</v>
      </c>
      <c r="X802" t="s">
        <v>7853</v>
      </c>
      <c r="Y802">
        <v>2670.919</v>
      </c>
      <c r="Z802" t="s">
        <v>7941</v>
      </c>
      <c r="AA802">
        <v>8.364</v>
      </c>
      <c r="AB802">
        <v>0.1</v>
      </c>
    </row>
    <row r="803" spans="1:28">
      <c r="A803" t="s">
        <v>4928</v>
      </c>
      <c r="B803" t="s">
        <v>4929</v>
      </c>
      <c r="C803" t="s">
        <v>4930</v>
      </c>
      <c r="D803" t="s">
        <v>7850</v>
      </c>
      <c r="E803" t="s">
        <v>7839</v>
      </c>
      <c r="F803" t="s">
        <v>7853</v>
      </c>
      <c r="G803" t="s">
        <v>7941</v>
      </c>
      <c r="H803" t="s">
        <v>9</v>
      </c>
      <c r="I803">
        <v>4273.189</v>
      </c>
      <c r="J803">
        <v>9.949</v>
      </c>
      <c r="K803">
        <v>0.1</v>
      </c>
      <c r="M803" t="s">
        <v>7943</v>
      </c>
      <c r="N803">
        <v>105.675</v>
      </c>
      <c r="V803" t="s">
        <v>7850</v>
      </c>
      <c r="W803" t="s">
        <v>7839</v>
      </c>
      <c r="X803" t="s">
        <v>7853</v>
      </c>
      <c r="Y803">
        <v>4273.189</v>
      </c>
      <c r="Z803" t="s">
        <v>7941</v>
      </c>
      <c r="AA803">
        <v>9.949</v>
      </c>
      <c r="AB803">
        <v>0.1</v>
      </c>
    </row>
    <row r="804" spans="1:28">
      <c r="A804" t="s">
        <v>4385</v>
      </c>
      <c r="B804" t="s">
        <v>4386</v>
      </c>
      <c r="C804" t="s">
        <v>4387</v>
      </c>
      <c r="D804" t="s">
        <v>7850</v>
      </c>
      <c r="E804" t="s">
        <v>7839</v>
      </c>
      <c r="F804" t="s">
        <v>7853</v>
      </c>
      <c r="G804" t="s">
        <v>7860</v>
      </c>
      <c r="H804" t="s">
        <v>9</v>
      </c>
      <c r="I804">
        <v>187.199</v>
      </c>
      <c r="J804">
        <v>27.745</v>
      </c>
      <c r="K804">
        <v>0.14</v>
      </c>
      <c r="M804" t="s">
        <v>7914</v>
      </c>
      <c r="N804">
        <v>280.596</v>
      </c>
      <c r="V804" t="s">
        <v>7850</v>
      </c>
      <c r="W804" t="s">
        <v>7839</v>
      </c>
      <c r="X804" t="s">
        <v>7853</v>
      </c>
      <c r="Y804">
        <v>187.199</v>
      </c>
      <c r="Z804" t="s">
        <v>7860</v>
      </c>
      <c r="AA804">
        <v>27.745</v>
      </c>
      <c r="AB804">
        <v>0.14</v>
      </c>
    </row>
    <row r="805" spans="1:28">
      <c r="A805" t="s">
        <v>6734</v>
      </c>
      <c r="B805" t="s">
        <v>6735</v>
      </c>
      <c r="C805" t="s">
        <v>6736</v>
      </c>
      <c r="D805" t="s">
        <v>7862</v>
      </c>
      <c r="E805" t="s">
        <v>7848</v>
      </c>
      <c r="F805" t="s">
        <v>7853</v>
      </c>
      <c r="G805" t="s">
        <v>7925</v>
      </c>
      <c r="H805" t="s">
        <v>9</v>
      </c>
      <c r="I805">
        <v>17.694</v>
      </c>
      <c r="J805">
        <v>1.263</v>
      </c>
      <c r="K805">
        <v>0.75</v>
      </c>
      <c r="M805" t="s">
        <v>8092</v>
      </c>
      <c r="N805">
        <v>20.33</v>
      </c>
      <c r="V805" t="s">
        <v>7862</v>
      </c>
      <c r="W805" t="s">
        <v>7848</v>
      </c>
      <c r="X805" t="s">
        <v>7853</v>
      </c>
      <c r="Y805">
        <v>17.694</v>
      </c>
      <c r="Z805" t="s">
        <v>7925</v>
      </c>
      <c r="AA805">
        <v>1.263</v>
      </c>
      <c r="AB805">
        <v>0.75</v>
      </c>
    </row>
    <row r="806" spans="1:28">
      <c r="A806" t="s">
        <v>5184</v>
      </c>
      <c r="B806" t="s">
        <v>3345</v>
      </c>
      <c r="C806" t="s">
        <v>3346</v>
      </c>
      <c r="D806" t="s">
        <v>7862</v>
      </c>
      <c r="E806" t="s">
        <v>7839</v>
      </c>
      <c r="F806" t="s">
        <v>7840</v>
      </c>
      <c r="G806" t="s">
        <v>7854</v>
      </c>
      <c r="H806" t="s">
        <v>9</v>
      </c>
      <c r="I806">
        <v>1982.787</v>
      </c>
      <c r="J806">
        <v>27.43</v>
      </c>
      <c r="K806">
        <v>0.07</v>
      </c>
      <c r="M806" t="s">
        <v>7858</v>
      </c>
      <c r="N806">
        <v>8.673</v>
      </c>
      <c r="V806" t="s">
        <v>7862</v>
      </c>
      <c r="W806" t="s">
        <v>7839</v>
      </c>
      <c r="X806" t="s">
        <v>7840</v>
      </c>
      <c r="Y806">
        <v>1982.787</v>
      </c>
      <c r="Z806" t="s">
        <v>7854</v>
      </c>
      <c r="AA806">
        <v>27.43</v>
      </c>
      <c r="AB806">
        <v>0.07</v>
      </c>
    </row>
    <row r="807" spans="1:28">
      <c r="A807" t="s">
        <v>2364</v>
      </c>
      <c r="B807" t="s">
        <v>2365</v>
      </c>
      <c r="C807" t="s">
        <v>2366</v>
      </c>
      <c r="D807" t="s">
        <v>7846</v>
      </c>
      <c r="E807" t="s">
        <v>7839</v>
      </c>
      <c r="F807" t="s">
        <v>7935</v>
      </c>
      <c r="G807" t="s">
        <v>8034</v>
      </c>
      <c r="H807" t="s">
        <v>9</v>
      </c>
      <c r="I807">
        <v>3028.851</v>
      </c>
      <c r="J807">
        <v>13.405</v>
      </c>
      <c r="K807">
        <v>0.2</v>
      </c>
      <c r="M807" t="s">
        <v>7941</v>
      </c>
      <c r="N807">
        <v>2670.919</v>
      </c>
      <c r="V807" t="s">
        <v>7846</v>
      </c>
      <c r="W807" t="s">
        <v>7839</v>
      </c>
      <c r="X807" t="s">
        <v>7935</v>
      </c>
      <c r="Y807">
        <v>3028.851</v>
      </c>
      <c r="Z807" t="s">
        <v>8034</v>
      </c>
      <c r="AA807">
        <v>13.405</v>
      </c>
      <c r="AB807">
        <v>0.2</v>
      </c>
    </row>
    <row r="808" spans="1:28">
      <c r="A808" t="s">
        <v>5402</v>
      </c>
      <c r="B808" t="s">
        <v>5403</v>
      </c>
      <c r="C808" t="s">
        <v>5404</v>
      </c>
      <c r="D808" t="s">
        <v>7850</v>
      </c>
      <c r="E808" t="s">
        <v>7839</v>
      </c>
      <c r="F808" t="s">
        <v>7853</v>
      </c>
      <c r="G808" t="s">
        <v>7941</v>
      </c>
      <c r="H808" t="s">
        <v>9</v>
      </c>
      <c r="I808">
        <v>1175.763</v>
      </c>
      <c r="J808">
        <v>39.2</v>
      </c>
      <c r="K808">
        <v>0.42</v>
      </c>
      <c r="M808" t="s">
        <v>7941</v>
      </c>
      <c r="N808">
        <v>4273.189</v>
      </c>
      <c r="V808" t="s">
        <v>7850</v>
      </c>
      <c r="W808" t="s">
        <v>7839</v>
      </c>
      <c r="X808" t="s">
        <v>7853</v>
      </c>
      <c r="Y808">
        <v>1175.763</v>
      </c>
      <c r="Z808" t="s">
        <v>7941</v>
      </c>
      <c r="AA808">
        <v>39.2</v>
      </c>
      <c r="AB808">
        <v>0.42</v>
      </c>
    </row>
    <row r="809" spans="1:28">
      <c r="A809" t="s">
        <v>5460</v>
      </c>
      <c r="B809" t="s">
        <v>5461</v>
      </c>
      <c r="C809" t="s">
        <v>5462</v>
      </c>
      <c r="D809" t="s">
        <v>7850</v>
      </c>
      <c r="E809" t="s">
        <v>7839</v>
      </c>
      <c r="F809" t="s">
        <v>7935</v>
      </c>
      <c r="G809" t="s">
        <v>8070</v>
      </c>
      <c r="H809" t="s">
        <v>9</v>
      </c>
      <c r="I809">
        <v>33.909</v>
      </c>
      <c r="J809">
        <v>26.738</v>
      </c>
      <c r="K809">
        <v>0.15</v>
      </c>
      <c r="M809" t="s">
        <v>7860</v>
      </c>
      <c r="N809">
        <v>187.199</v>
      </c>
      <c r="V809" t="s">
        <v>7850</v>
      </c>
      <c r="W809" t="s">
        <v>7839</v>
      </c>
      <c r="X809" t="s">
        <v>7935</v>
      </c>
      <c r="Y809">
        <v>33.909</v>
      </c>
      <c r="Z809" t="s">
        <v>8070</v>
      </c>
      <c r="AA809">
        <v>26.738</v>
      </c>
      <c r="AB809">
        <v>0.15</v>
      </c>
    </row>
    <row r="810" spans="1:28">
      <c r="A810" t="s">
        <v>3550</v>
      </c>
      <c r="B810" t="s">
        <v>1241</v>
      </c>
      <c r="C810" t="s">
        <v>3551</v>
      </c>
      <c r="D810" t="s">
        <v>7850</v>
      </c>
      <c r="E810" t="s">
        <v>7839</v>
      </c>
      <c r="F810" t="s">
        <v>7840</v>
      </c>
      <c r="G810" t="s">
        <v>7854</v>
      </c>
      <c r="H810" t="s">
        <v>9</v>
      </c>
      <c r="I810">
        <v>3489.14</v>
      </c>
      <c r="J810">
        <v>6.553</v>
      </c>
      <c r="K810">
        <v>0.1</v>
      </c>
      <c r="M810" t="s">
        <v>7925</v>
      </c>
      <c r="N810">
        <v>17.694</v>
      </c>
      <c r="V810" t="s">
        <v>7850</v>
      </c>
      <c r="W810" t="s">
        <v>7839</v>
      </c>
      <c r="X810" t="s">
        <v>7840</v>
      </c>
      <c r="Y810">
        <v>3489.14</v>
      </c>
      <c r="Z810" t="s">
        <v>7854</v>
      </c>
      <c r="AA810">
        <v>6.553</v>
      </c>
      <c r="AB810">
        <v>0.1</v>
      </c>
    </row>
    <row r="811" spans="1:28">
      <c r="A811" t="s">
        <v>6235</v>
      </c>
      <c r="B811" t="s">
        <v>542</v>
      </c>
      <c r="C811" t="s">
        <v>6236</v>
      </c>
      <c r="D811" t="s">
        <v>7862</v>
      </c>
      <c r="E811" t="s">
        <v>7839</v>
      </c>
      <c r="F811" t="s">
        <v>7840</v>
      </c>
      <c r="G811" t="s">
        <v>7854</v>
      </c>
      <c r="H811" t="s">
        <v>9</v>
      </c>
      <c r="I811">
        <v>217.001</v>
      </c>
      <c r="J811">
        <v>99.994</v>
      </c>
      <c r="K811">
        <v>0.07</v>
      </c>
      <c r="M811" t="s">
        <v>7854</v>
      </c>
      <c r="N811">
        <v>1982.787</v>
      </c>
      <c r="V811" t="s">
        <v>7862</v>
      </c>
      <c r="W811" t="s">
        <v>7839</v>
      </c>
      <c r="X811" t="s">
        <v>7840</v>
      </c>
      <c r="Y811">
        <v>217.001</v>
      </c>
      <c r="Z811" t="s">
        <v>7854</v>
      </c>
      <c r="AA811">
        <v>99.994</v>
      </c>
      <c r="AB811">
        <v>0.07</v>
      </c>
    </row>
    <row r="812" spans="1:28">
      <c r="A812" t="s">
        <v>6311</v>
      </c>
      <c r="B812" t="s">
        <v>6312</v>
      </c>
      <c r="C812" t="s">
        <v>6313</v>
      </c>
      <c r="D812" t="s">
        <v>7862</v>
      </c>
      <c r="E812" t="s">
        <v>7839</v>
      </c>
      <c r="F812" t="s">
        <v>7888</v>
      </c>
      <c r="G812" t="s">
        <v>7854</v>
      </c>
      <c r="H812" t="s">
        <v>9</v>
      </c>
      <c r="I812">
        <v>46056.91</v>
      </c>
      <c r="J812">
        <v>86.085</v>
      </c>
      <c r="K812">
        <v>0.15</v>
      </c>
      <c r="M812" t="s">
        <v>8034</v>
      </c>
      <c r="N812">
        <v>3028.851</v>
      </c>
      <c r="V812" t="s">
        <v>7862</v>
      </c>
      <c r="W812" t="s">
        <v>7839</v>
      </c>
      <c r="X812" t="s">
        <v>7888</v>
      </c>
      <c r="Y812">
        <v>46056.91</v>
      </c>
      <c r="Z812" t="s">
        <v>7854</v>
      </c>
      <c r="AA812">
        <v>86.085</v>
      </c>
      <c r="AB812">
        <v>0.15</v>
      </c>
    </row>
    <row r="813" spans="1:28">
      <c r="A813" t="s">
        <v>4071</v>
      </c>
      <c r="B813" t="s">
        <v>4072</v>
      </c>
      <c r="C813" t="s">
        <v>4073</v>
      </c>
      <c r="D813" t="s">
        <v>7850</v>
      </c>
      <c r="E813" t="s">
        <v>7839</v>
      </c>
      <c r="F813" t="s">
        <v>7935</v>
      </c>
      <c r="G813" t="s">
        <v>7861</v>
      </c>
      <c r="H813" t="s">
        <v>9</v>
      </c>
      <c r="I813">
        <v>49.006</v>
      </c>
      <c r="J813">
        <v>6.012</v>
      </c>
      <c r="K813">
        <v>0.18</v>
      </c>
      <c r="M813" t="s">
        <v>7941</v>
      </c>
      <c r="N813">
        <v>1175.763</v>
      </c>
      <c r="V813" t="s">
        <v>7850</v>
      </c>
      <c r="W813" t="s">
        <v>7839</v>
      </c>
      <c r="X813" t="s">
        <v>7935</v>
      </c>
      <c r="Y813">
        <v>49.006</v>
      </c>
      <c r="Z813" t="s">
        <v>7861</v>
      </c>
      <c r="AA813">
        <v>6.012</v>
      </c>
      <c r="AB813">
        <v>0.18</v>
      </c>
    </row>
    <row r="814" spans="1:28">
      <c r="A814" t="s">
        <v>3718</v>
      </c>
      <c r="B814" t="s">
        <v>3719</v>
      </c>
      <c r="C814" t="s">
        <v>3720</v>
      </c>
      <c r="D814" t="s">
        <v>7864</v>
      </c>
      <c r="E814" t="s">
        <v>7839</v>
      </c>
      <c r="F814" t="s">
        <v>7840</v>
      </c>
      <c r="G814" t="s">
        <v>8020</v>
      </c>
      <c r="H814" t="s">
        <v>9</v>
      </c>
      <c r="I814">
        <v>42.497</v>
      </c>
      <c r="J814">
        <v>43.665</v>
      </c>
      <c r="K814">
        <v>0.25</v>
      </c>
      <c r="M814" t="s">
        <v>8070</v>
      </c>
      <c r="N814">
        <v>33.909</v>
      </c>
      <c r="V814" t="s">
        <v>7864</v>
      </c>
      <c r="W814" t="s">
        <v>7839</v>
      </c>
      <c r="X814" t="s">
        <v>7840</v>
      </c>
      <c r="Y814">
        <v>42.497</v>
      </c>
      <c r="Z814" t="s">
        <v>8020</v>
      </c>
      <c r="AA814">
        <v>43.665</v>
      </c>
      <c r="AB814">
        <v>0.25</v>
      </c>
    </row>
    <row r="815" spans="1:28">
      <c r="A815" t="s">
        <v>5893</v>
      </c>
      <c r="B815" t="s">
        <v>5894</v>
      </c>
      <c r="C815" t="s">
        <v>5895</v>
      </c>
      <c r="D815" t="s">
        <v>7847</v>
      </c>
      <c r="E815" t="s">
        <v>7839</v>
      </c>
      <c r="F815" t="s">
        <v>7853</v>
      </c>
      <c r="G815" t="s">
        <v>8087</v>
      </c>
      <c r="H815" t="s">
        <v>9</v>
      </c>
      <c r="I815">
        <v>361.272</v>
      </c>
      <c r="J815">
        <v>36.914</v>
      </c>
      <c r="K815">
        <v>0.35</v>
      </c>
      <c r="M815" t="s">
        <v>7854</v>
      </c>
      <c r="N815">
        <v>3489.14</v>
      </c>
      <c r="V815" t="s">
        <v>7847</v>
      </c>
      <c r="W815" t="s">
        <v>7839</v>
      </c>
      <c r="X815" t="s">
        <v>7853</v>
      </c>
      <c r="Y815">
        <v>361.272</v>
      </c>
      <c r="Z815" t="s">
        <v>8087</v>
      </c>
      <c r="AA815">
        <v>36.914</v>
      </c>
      <c r="AB815">
        <v>0.35</v>
      </c>
    </row>
    <row r="816" spans="1:28">
      <c r="A816" t="s">
        <v>4533</v>
      </c>
      <c r="B816" t="s">
        <v>4534</v>
      </c>
      <c r="C816" t="s">
        <v>4535</v>
      </c>
      <c r="D816" t="s">
        <v>7850</v>
      </c>
      <c r="E816" t="s">
        <v>7839</v>
      </c>
      <c r="F816" t="s">
        <v>7853</v>
      </c>
      <c r="G816" t="s">
        <v>7854</v>
      </c>
      <c r="H816" t="s">
        <v>9</v>
      </c>
      <c r="I816">
        <v>47.106</v>
      </c>
      <c r="J816">
        <v>99.884</v>
      </c>
      <c r="K816">
        <v>0</v>
      </c>
      <c r="M816" t="s">
        <v>7854</v>
      </c>
      <c r="N816">
        <v>217.001</v>
      </c>
      <c r="V816" t="s">
        <v>7850</v>
      </c>
      <c r="W816" t="s">
        <v>7839</v>
      </c>
      <c r="X816" t="s">
        <v>7853</v>
      </c>
      <c r="Y816">
        <v>47.106</v>
      </c>
      <c r="Z816" t="s">
        <v>7854</v>
      </c>
      <c r="AA816">
        <v>99.884</v>
      </c>
      <c r="AB816">
        <v>0</v>
      </c>
    </row>
    <row r="817" spans="1:28">
      <c r="A817" t="s">
        <v>6329</v>
      </c>
      <c r="B817" t="s">
        <v>741</v>
      </c>
      <c r="C817" t="s">
        <v>6330</v>
      </c>
      <c r="D817" t="s">
        <v>7862</v>
      </c>
      <c r="E817" t="s">
        <v>7839</v>
      </c>
      <c r="F817" t="s">
        <v>7888</v>
      </c>
      <c r="G817" t="s">
        <v>7854</v>
      </c>
      <c r="H817" t="s">
        <v>9</v>
      </c>
      <c r="I817">
        <v>107.087</v>
      </c>
      <c r="J817">
        <v>99.975</v>
      </c>
      <c r="K817">
        <v>0.07</v>
      </c>
      <c r="M817" t="s">
        <v>7854</v>
      </c>
      <c r="N817">
        <v>46056.91</v>
      </c>
      <c r="V817" t="s">
        <v>7862</v>
      </c>
      <c r="W817" t="s">
        <v>7839</v>
      </c>
      <c r="X817" t="s">
        <v>7888</v>
      </c>
      <c r="Y817">
        <v>107.087</v>
      </c>
      <c r="Z817" t="s">
        <v>7854</v>
      </c>
      <c r="AA817">
        <v>99.975</v>
      </c>
      <c r="AB817">
        <v>0.07</v>
      </c>
    </row>
    <row r="818" spans="1:28">
      <c r="A818" t="s">
        <v>6317</v>
      </c>
      <c r="B818" t="s">
        <v>6318</v>
      </c>
      <c r="C818" t="s">
        <v>6319</v>
      </c>
      <c r="D818" t="s">
        <v>7862</v>
      </c>
      <c r="E818" t="s">
        <v>7839</v>
      </c>
      <c r="F818" t="s">
        <v>7853</v>
      </c>
      <c r="G818" t="s">
        <v>8092</v>
      </c>
      <c r="H818" t="s">
        <v>9</v>
      </c>
      <c r="I818">
        <v>254.179</v>
      </c>
      <c r="J818">
        <v>99.35</v>
      </c>
      <c r="K818">
        <v>0.15</v>
      </c>
      <c r="M818" t="s">
        <v>7861</v>
      </c>
      <c r="N818">
        <v>49.006</v>
      </c>
      <c r="V818" t="s">
        <v>7862</v>
      </c>
      <c r="W818" t="s">
        <v>7839</v>
      </c>
      <c r="X818" t="s">
        <v>7853</v>
      </c>
      <c r="Y818">
        <v>254.179</v>
      </c>
      <c r="Z818" t="s">
        <v>8092</v>
      </c>
      <c r="AA818">
        <v>99.35</v>
      </c>
      <c r="AB818">
        <v>0.15</v>
      </c>
    </row>
    <row r="819" spans="1:28">
      <c r="A819" t="s">
        <v>5302</v>
      </c>
      <c r="B819" t="s">
        <v>5303</v>
      </c>
      <c r="C819" t="s">
        <v>5304</v>
      </c>
      <c r="D819" t="s">
        <v>7862</v>
      </c>
      <c r="E819" t="s">
        <v>7839</v>
      </c>
      <c r="F819" t="s">
        <v>7935</v>
      </c>
      <c r="G819" t="s">
        <v>8053</v>
      </c>
      <c r="H819" t="s">
        <v>9</v>
      </c>
      <c r="I819">
        <v>26184.494</v>
      </c>
      <c r="J819">
        <v>13.621</v>
      </c>
      <c r="K819">
        <v>0.02</v>
      </c>
      <c r="M819" t="s">
        <v>8020</v>
      </c>
      <c r="N819">
        <v>42.497</v>
      </c>
      <c r="V819" t="s">
        <v>7862</v>
      </c>
      <c r="W819" t="s">
        <v>7839</v>
      </c>
      <c r="X819" t="s">
        <v>7935</v>
      </c>
      <c r="Y819">
        <v>26184.494</v>
      </c>
      <c r="Z819" t="s">
        <v>8053</v>
      </c>
      <c r="AA819">
        <v>13.621</v>
      </c>
      <c r="AB819">
        <v>0.02</v>
      </c>
    </row>
    <row r="820" spans="1:28">
      <c r="A820" t="s">
        <v>4245</v>
      </c>
      <c r="B820" t="s">
        <v>4246</v>
      </c>
      <c r="C820" t="s">
        <v>4247</v>
      </c>
      <c r="D820" t="s">
        <v>7850</v>
      </c>
      <c r="E820" t="s">
        <v>7839</v>
      </c>
      <c r="F820" t="s">
        <v>7935</v>
      </c>
      <c r="G820" t="s">
        <v>8075</v>
      </c>
      <c r="H820" t="s">
        <v>9</v>
      </c>
      <c r="I820">
        <v>27.541</v>
      </c>
      <c r="J820">
        <v>16.015</v>
      </c>
      <c r="K820">
        <v>0.15</v>
      </c>
      <c r="M820" t="s">
        <v>8087</v>
      </c>
      <c r="N820">
        <v>361.272</v>
      </c>
      <c r="V820" t="s">
        <v>7850</v>
      </c>
      <c r="W820" t="s">
        <v>7839</v>
      </c>
      <c r="X820" t="s">
        <v>7935</v>
      </c>
      <c r="Y820">
        <v>27.541</v>
      </c>
      <c r="Z820" t="s">
        <v>8075</v>
      </c>
      <c r="AA820">
        <v>16.015</v>
      </c>
      <c r="AB820">
        <v>0.15</v>
      </c>
    </row>
    <row r="821" spans="1:28">
      <c r="A821" t="s">
        <v>5934</v>
      </c>
      <c r="B821" t="s">
        <v>5935</v>
      </c>
      <c r="C821" t="s">
        <v>5936</v>
      </c>
      <c r="D821" t="s">
        <v>7847</v>
      </c>
      <c r="E821" t="s">
        <v>7839</v>
      </c>
      <c r="F821" t="s">
        <v>7853</v>
      </c>
      <c r="G821" t="s">
        <v>8116</v>
      </c>
      <c r="H821" t="s">
        <v>9</v>
      </c>
      <c r="I821">
        <v>27361.924</v>
      </c>
      <c r="J821">
        <v>21.04</v>
      </c>
      <c r="K821">
        <v>0.02</v>
      </c>
      <c r="M821" t="s">
        <v>7854</v>
      </c>
      <c r="N821">
        <v>47.106</v>
      </c>
      <c r="V821" t="s">
        <v>7847</v>
      </c>
      <c r="W821" t="s">
        <v>7839</v>
      </c>
      <c r="X821" t="s">
        <v>7853</v>
      </c>
      <c r="Y821">
        <v>27361.924</v>
      </c>
      <c r="Z821" t="s">
        <v>8116</v>
      </c>
      <c r="AA821">
        <v>21.04</v>
      </c>
      <c r="AB821">
        <v>0.02</v>
      </c>
    </row>
    <row r="822" spans="1:28">
      <c r="A822" t="s">
        <v>3976</v>
      </c>
      <c r="B822" t="s">
        <v>3977</v>
      </c>
      <c r="C822" t="s">
        <v>3978</v>
      </c>
      <c r="D822" t="s">
        <v>7850</v>
      </c>
      <c r="E822" t="s">
        <v>7839</v>
      </c>
      <c r="F822" t="s">
        <v>7935</v>
      </c>
      <c r="G822" t="s">
        <v>8053</v>
      </c>
      <c r="H822" t="s">
        <v>9</v>
      </c>
      <c r="I822">
        <v>40213.703</v>
      </c>
      <c r="J822">
        <v>2.609</v>
      </c>
      <c r="K822">
        <v>0.02</v>
      </c>
      <c r="M822" t="s">
        <v>7854</v>
      </c>
      <c r="N822">
        <v>107.087</v>
      </c>
      <c r="V822" t="s">
        <v>7850</v>
      </c>
      <c r="W822" t="s">
        <v>7839</v>
      </c>
      <c r="X822" t="s">
        <v>7935</v>
      </c>
      <c r="Y822">
        <v>40213.703</v>
      </c>
      <c r="Z822" t="s">
        <v>8053</v>
      </c>
      <c r="AA822">
        <v>2.609</v>
      </c>
      <c r="AB822">
        <v>0.02</v>
      </c>
    </row>
    <row r="823" spans="1:28">
      <c r="A823" t="s">
        <v>5501</v>
      </c>
      <c r="B823" t="s">
        <v>5502</v>
      </c>
      <c r="C823" t="s">
        <v>5503</v>
      </c>
      <c r="D823" t="s">
        <v>7862</v>
      </c>
      <c r="E823" t="s">
        <v>7839</v>
      </c>
      <c r="F823" t="s">
        <v>7935</v>
      </c>
      <c r="G823" t="s">
        <v>7854</v>
      </c>
      <c r="H823" t="s">
        <v>9</v>
      </c>
      <c r="I823">
        <v>23674.85</v>
      </c>
      <c r="J823">
        <v>17.63</v>
      </c>
      <c r="K823">
        <v>0.15</v>
      </c>
      <c r="M823" t="s">
        <v>8092</v>
      </c>
      <c r="N823">
        <v>254.179</v>
      </c>
      <c r="V823" t="s">
        <v>7862</v>
      </c>
      <c r="W823" t="s">
        <v>7839</v>
      </c>
      <c r="X823" t="s">
        <v>7935</v>
      </c>
      <c r="Y823">
        <v>23674.85</v>
      </c>
      <c r="Z823" t="s">
        <v>7854</v>
      </c>
      <c r="AA823">
        <v>17.63</v>
      </c>
      <c r="AB823">
        <v>0.15</v>
      </c>
    </row>
    <row r="824" spans="1:28">
      <c r="A824" t="s">
        <v>5869</v>
      </c>
      <c r="B824" t="s">
        <v>5870</v>
      </c>
      <c r="C824" t="s">
        <v>5871</v>
      </c>
      <c r="D824" t="s">
        <v>7862</v>
      </c>
      <c r="E824" t="s">
        <v>7839</v>
      </c>
      <c r="F824" t="s">
        <v>7853</v>
      </c>
      <c r="G824" t="s">
        <v>8102</v>
      </c>
      <c r="H824" t="s">
        <v>9</v>
      </c>
      <c r="I824">
        <v>43.294</v>
      </c>
      <c r="J824">
        <v>91.798</v>
      </c>
      <c r="K824">
        <v>0.25</v>
      </c>
      <c r="M824" t="s">
        <v>8053</v>
      </c>
      <c r="N824">
        <v>26184.494</v>
      </c>
      <c r="V824" t="s">
        <v>7862</v>
      </c>
      <c r="W824" t="s">
        <v>7839</v>
      </c>
      <c r="X824" t="s">
        <v>7853</v>
      </c>
      <c r="Y824">
        <v>43.294</v>
      </c>
      <c r="Z824" t="s">
        <v>8102</v>
      </c>
      <c r="AA824">
        <v>91.798</v>
      </c>
      <c r="AB824">
        <v>0.25</v>
      </c>
    </row>
    <row r="825" spans="1:28">
      <c r="A825" t="s">
        <v>6314</v>
      </c>
      <c r="B825" t="s">
        <v>6315</v>
      </c>
      <c r="C825" t="s">
        <v>6316</v>
      </c>
      <c r="D825" t="s">
        <v>7862</v>
      </c>
      <c r="E825" t="s">
        <v>7839</v>
      </c>
      <c r="F825" t="s">
        <v>7853</v>
      </c>
      <c r="G825" t="s">
        <v>8124</v>
      </c>
      <c r="H825" t="s">
        <v>9</v>
      </c>
      <c r="I825">
        <v>3.549</v>
      </c>
      <c r="J825">
        <v>83.588</v>
      </c>
      <c r="K825">
        <v>0.15</v>
      </c>
      <c r="M825" t="s">
        <v>8075</v>
      </c>
      <c r="N825">
        <v>27.541</v>
      </c>
      <c r="V825" t="s">
        <v>7862</v>
      </c>
      <c r="W825" t="s">
        <v>7839</v>
      </c>
      <c r="X825" t="s">
        <v>7853</v>
      </c>
      <c r="Y825">
        <v>3.549</v>
      </c>
      <c r="Z825" t="s">
        <v>8124</v>
      </c>
      <c r="AA825">
        <v>83.588</v>
      </c>
      <c r="AB825">
        <v>0.15</v>
      </c>
    </row>
    <row r="826" spans="1:28">
      <c r="A826" t="s">
        <v>5669</v>
      </c>
      <c r="B826" t="s">
        <v>5670</v>
      </c>
      <c r="C826" t="s">
        <v>5671</v>
      </c>
      <c r="D826" t="s">
        <v>7850</v>
      </c>
      <c r="E826" t="s">
        <v>7848</v>
      </c>
      <c r="F826" t="s">
        <v>7840</v>
      </c>
      <c r="G826" t="s">
        <v>7987</v>
      </c>
      <c r="H826" t="s">
        <v>9</v>
      </c>
      <c r="I826">
        <v>32.074</v>
      </c>
      <c r="J826">
        <v>44.87</v>
      </c>
      <c r="K826">
        <v>0.35</v>
      </c>
      <c r="M826" t="s">
        <v>8116</v>
      </c>
      <c r="N826">
        <v>27361.924</v>
      </c>
      <c r="V826" t="s">
        <v>7850</v>
      </c>
      <c r="W826" t="s">
        <v>7848</v>
      </c>
      <c r="X826" t="s">
        <v>7840</v>
      </c>
      <c r="Y826">
        <v>32.074</v>
      </c>
      <c r="Z826" t="s">
        <v>7987</v>
      </c>
      <c r="AA826">
        <v>44.87</v>
      </c>
      <c r="AB826">
        <v>0.35</v>
      </c>
    </row>
    <row r="827" spans="1:28">
      <c r="A827" t="s">
        <v>4483</v>
      </c>
      <c r="B827" t="s">
        <v>4484</v>
      </c>
      <c r="C827" t="s">
        <v>4485</v>
      </c>
      <c r="D827" t="s">
        <v>7847</v>
      </c>
      <c r="E827" t="s">
        <v>7839</v>
      </c>
      <c r="F827" t="s">
        <v>7935</v>
      </c>
      <c r="G827" t="s">
        <v>7861</v>
      </c>
      <c r="H827" t="s">
        <v>9</v>
      </c>
      <c r="I827">
        <v>43.264</v>
      </c>
      <c r="J827">
        <v>26.113</v>
      </c>
      <c r="K827">
        <v>0.12</v>
      </c>
      <c r="M827" t="s">
        <v>8053</v>
      </c>
      <c r="N827">
        <v>40213.703</v>
      </c>
      <c r="V827" t="s">
        <v>7847</v>
      </c>
      <c r="W827" t="s">
        <v>7839</v>
      </c>
      <c r="X827" t="s">
        <v>7935</v>
      </c>
      <c r="Y827">
        <v>43.264</v>
      </c>
      <c r="Z827" t="s">
        <v>7861</v>
      </c>
      <c r="AA827">
        <v>26.113</v>
      </c>
      <c r="AB827">
        <v>0.12</v>
      </c>
    </row>
    <row r="828" spans="1:28">
      <c r="A828" t="s">
        <v>5474</v>
      </c>
      <c r="B828" t="s">
        <v>3223</v>
      </c>
      <c r="C828" t="s">
        <v>5475</v>
      </c>
      <c r="D828" t="s">
        <v>7862</v>
      </c>
      <c r="E828" t="s">
        <v>7839</v>
      </c>
      <c r="F828" t="s">
        <v>7935</v>
      </c>
      <c r="G828" t="s">
        <v>8034</v>
      </c>
      <c r="H828" t="s">
        <v>9</v>
      </c>
      <c r="I828">
        <v>33.456</v>
      </c>
      <c r="J828">
        <v>14.617</v>
      </c>
      <c r="K828">
        <v>0.04</v>
      </c>
      <c r="M828" t="s">
        <v>7854</v>
      </c>
      <c r="N828">
        <v>23674.85</v>
      </c>
      <c r="V828" t="s">
        <v>7862</v>
      </c>
      <c r="W828" t="s">
        <v>7839</v>
      </c>
      <c r="X828" t="s">
        <v>7935</v>
      </c>
      <c r="Y828">
        <v>33.456</v>
      </c>
      <c r="Z828" t="s">
        <v>8034</v>
      </c>
      <c r="AA828">
        <v>14.617</v>
      </c>
      <c r="AB828">
        <v>0.04</v>
      </c>
    </row>
    <row r="829" spans="1:28">
      <c r="A829" t="s">
        <v>4472</v>
      </c>
      <c r="B829" t="s">
        <v>2871</v>
      </c>
      <c r="C829" t="s">
        <v>4473</v>
      </c>
      <c r="D829" t="s">
        <v>7850</v>
      </c>
      <c r="E829" t="s">
        <v>7839</v>
      </c>
      <c r="F829" t="s">
        <v>7935</v>
      </c>
      <c r="G829" t="s">
        <v>8002</v>
      </c>
      <c r="H829" t="s">
        <v>9</v>
      </c>
      <c r="I829">
        <v>9.531</v>
      </c>
      <c r="J829">
        <v>8.344</v>
      </c>
      <c r="K829">
        <v>0.08</v>
      </c>
      <c r="M829" t="s">
        <v>8102</v>
      </c>
      <c r="N829">
        <v>43.294</v>
      </c>
      <c r="V829" t="s">
        <v>7850</v>
      </c>
      <c r="W829" t="s">
        <v>7839</v>
      </c>
      <c r="X829" t="s">
        <v>7935</v>
      </c>
      <c r="Y829">
        <v>9.531</v>
      </c>
      <c r="Z829" t="s">
        <v>8002</v>
      </c>
      <c r="AA829">
        <v>8.344</v>
      </c>
      <c r="AB829">
        <v>0.08</v>
      </c>
    </row>
    <row r="830" spans="1:28">
      <c r="A830" t="s">
        <v>6102</v>
      </c>
      <c r="B830" t="s">
        <v>6103</v>
      </c>
      <c r="C830" t="s">
        <v>6104</v>
      </c>
      <c r="D830" t="s">
        <v>7862</v>
      </c>
      <c r="E830" t="s">
        <v>7839</v>
      </c>
      <c r="F830" t="s">
        <v>7853</v>
      </c>
      <c r="G830" t="s">
        <v>7860</v>
      </c>
      <c r="H830" t="s">
        <v>9</v>
      </c>
      <c r="I830">
        <v>8.924</v>
      </c>
      <c r="J830">
        <v>42.822</v>
      </c>
      <c r="K830">
        <v>0.12</v>
      </c>
      <c r="M830" t="s">
        <v>8124</v>
      </c>
      <c r="N830">
        <v>3.549</v>
      </c>
      <c r="V830" t="s">
        <v>7862</v>
      </c>
      <c r="W830" t="s">
        <v>7839</v>
      </c>
      <c r="X830" t="s">
        <v>7853</v>
      </c>
      <c r="Y830">
        <v>8.924</v>
      </c>
      <c r="Z830" t="s">
        <v>7860</v>
      </c>
      <c r="AA830">
        <v>42.822</v>
      </c>
      <c r="AB830">
        <v>0.12</v>
      </c>
    </row>
    <row r="831" spans="1:28">
      <c r="A831" t="s">
        <v>4123</v>
      </c>
      <c r="B831" t="s">
        <v>4124</v>
      </c>
      <c r="C831" t="s">
        <v>4125</v>
      </c>
      <c r="D831" t="s">
        <v>7847</v>
      </c>
      <c r="E831" t="s">
        <v>7839</v>
      </c>
      <c r="F831" t="s">
        <v>7840</v>
      </c>
      <c r="G831" t="s">
        <v>8079</v>
      </c>
      <c r="H831" t="s">
        <v>9</v>
      </c>
      <c r="I831">
        <v>128.316</v>
      </c>
      <c r="J831">
        <v>20.006</v>
      </c>
      <c r="K831">
        <v>0.5</v>
      </c>
      <c r="M831" t="s">
        <v>7987</v>
      </c>
      <c r="N831">
        <v>32.074</v>
      </c>
      <c r="V831" t="s">
        <v>7847</v>
      </c>
      <c r="W831" t="s">
        <v>7839</v>
      </c>
      <c r="X831" t="s">
        <v>7840</v>
      </c>
      <c r="Y831">
        <v>128.316</v>
      </c>
      <c r="Z831" t="s">
        <v>8079</v>
      </c>
      <c r="AA831">
        <v>20.006</v>
      </c>
      <c r="AB831">
        <v>0.5</v>
      </c>
    </row>
    <row r="832" spans="1:28">
      <c r="A832" t="s">
        <v>5546</v>
      </c>
      <c r="B832" t="s">
        <v>5547</v>
      </c>
      <c r="C832" t="s">
        <v>5548</v>
      </c>
      <c r="D832" t="s">
        <v>7847</v>
      </c>
      <c r="E832" t="s">
        <v>7839</v>
      </c>
      <c r="F832" t="s">
        <v>7840</v>
      </c>
      <c r="G832" t="s">
        <v>7970</v>
      </c>
      <c r="H832" t="s">
        <v>9</v>
      </c>
      <c r="I832">
        <v>338.36</v>
      </c>
      <c r="J832">
        <v>22.294</v>
      </c>
      <c r="K832">
        <v>0.36</v>
      </c>
      <c r="M832" t="s">
        <v>7861</v>
      </c>
      <c r="N832">
        <v>43.264</v>
      </c>
      <c r="V832" t="s">
        <v>7847</v>
      </c>
      <c r="W832" t="s">
        <v>7839</v>
      </c>
      <c r="X832" t="s">
        <v>7840</v>
      </c>
      <c r="Y832">
        <v>338.36</v>
      </c>
      <c r="Z832" t="s">
        <v>7970</v>
      </c>
      <c r="AA832">
        <v>22.294</v>
      </c>
      <c r="AB832">
        <v>0.36</v>
      </c>
    </row>
    <row r="833" spans="1:28">
      <c r="A833" t="s">
        <v>6249</v>
      </c>
      <c r="B833" t="s">
        <v>835</v>
      </c>
      <c r="C833" t="s">
        <v>6250</v>
      </c>
      <c r="D833" t="s">
        <v>7862</v>
      </c>
      <c r="E833" t="s">
        <v>7839</v>
      </c>
      <c r="F833" t="s">
        <v>7853</v>
      </c>
      <c r="G833" t="s">
        <v>7854</v>
      </c>
      <c r="H833" t="s">
        <v>9</v>
      </c>
      <c r="I833">
        <v>432.364</v>
      </c>
      <c r="J833">
        <v>99.994</v>
      </c>
      <c r="K833">
        <v>0.07</v>
      </c>
      <c r="M833" t="s">
        <v>8034</v>
      </c>
      <c r="N833">
        <v>33.456</v>
      </c>
      <c r="V833" t="s">
        <v>7862</v>
      </c>
      <c r="W833" t="s">
        <v>7839</v>
      </c>
      <c r="X833" t="s">
        <v>7853</v>
      </c>
      <c r="Y833">
        <v>432.364</v>
      </c>
      <c r="Z833" t="s">
        <v>7854</v>
      </c>
      <c r="AA833">
        <v>99.994</v>
      </c>
      <c r="AB833">
        <v>0.07</v>
      </c>
    </row>
    <row r="834" spans="1:28">
      <c r="A834" t="s">
        <v>4881</v>
      </c>
      <c r="B834" t="s">
        <v>4882</v>
      </c>
      <c r="C834" t="s">
        <v>4883</v>
      </c>
      <c r="D834" t="s">
        <v>7850</v>
      </c>
      <c r="E834" t="s">
        <v>7839</v>
      </c>
      <c r="F834" t="s">
        <v>7840</v>
      </c>
      <c r="G834" t="s">
        <v>7845</v>
      </c>
      <c r="H834" t="s">
        <v>9</v>
      </c>
      <c r="I834">
        <v>1429.426</v>
      </c>
      <c r="J834">
        <v>10.348</v>
      </c>
      <c r="K834">
        <v>0.55</v>
      </c>
      <c r="M834" t="s">
        <v>8002</v>
      </c>
      <c r="N834">
        <v>9.531</v>
      </c>
      <c r="V834" t="s">
        <v>7850</v>
      </c>
      <c r="W834" t="s">
        <v>7839</v>
      </c>
      <c r="X834" t="s">
        <v>7840</v>
      </c>
      <c r="Y834">
        <v>1429.426</v>
      </c>
      <c r="Z834" t="s">
        <v>7845</v>
      </c>
      <c r="AA834">
        <v>10.348</v>
      </c>
      <c r="AB834">
        <v>0.55</v>
      </c>
    </row>
    <row r="835" spans="1:28">
      <c r="A835" t="s">
        <v>4128</v>
      </c>
      <c r="B835" t="s">
        <v>4129</v>
      </c>
      <c r="C835" t="s">
        <v>4130</v>
      </c>
      <c r="D835" t="s">
        <v>7847</v>
      </c>
      <c r="E835" t="s">
        <v>7839</v>
      </c>
      <c r="F835" t="s">
        <v>7840</v>
      </c>
      <c r="G835" t="s">
        <v>8047</v>
      </c>
      <c r="H835" t="s">
        <v>9</v>
      </c>
      <c r="I835">
        <v>2.276</v>
      </c>
      <c r="J835">
        <v>99.063</v>
      </c>
      <c r="K835">
        <v>0.35</v>
      </c>
      <c r="M835" t="s">
        <v>7860</v>
      </c>
      <c r="N835">
        <v>8.924</v>
      </c>
      <c r="V835" t="s">
        <v>7847</v>
      </c>
      <c r="W835" t="s">
        <v>7839</v>
      </c>
      <c r="X835" t="s">
        <v>7840</v>
      </c>
      <c r="Y835">
        <v>2.276</v>
      </c>
      <c r="Z835" t="s">
        <v>8047</v>
      </c>
      <c r="AA835">
        <v>99.063</v>
      </c>
      <c r="AB835">
        <v>0.35</v>
      </c>
    </row>
    <row r="836" spans="1:28">
      <c r="A836" t="s">
        <v>6227</v>
      </c>
      <c r="B836" t="s">
        <v>2831</v>
      </c>
      <c r="C836" t="s">
        <v>6228</v>
      </c>
      <c r="D836" t="s">
        <v>7862</v>
      </c>
      <c r="E836" t="s">
        <v>7839</v>
      </c>
      <c r="F836" t="s">
        <v>7853</v>
      </c>
      <c r="G836" t="s">
        <v>7854</v>
      </c>
      <c r="H836" t="s">
        <v>9</v>
      </c>
      <c r="I836">
        <v>497.318</v>
      </c>
      <c r="J836">
        <v>74.683</v>
      </c>
      <c r="K836">
        <v>0.07</v>
      </c>
      <c r="M836" t="s">
        <v>8079</v>
      </c>
      <c r="N836">
        <v>128.316</v>
      </c>
      <c r="V836" t="s">
        <v>7862</v>
      </c>
      <c r="W836" t="s">
        <v>7839</v>
      </c>
      <c r="X836" t="s">
        <v>7853</v>
      </c>
      <c r="Y836">
        <v>497.318</v>
      </c>
      <c r="Z836" t="s">
        <v>7854</v>
      </c>
      <c r="AA836">
        <v>74.683</v>
      </c>
      <c r="AB836">
        <v>0.07</v>
      </c>
    </row>
    <row r="837" spans="1:28">
      <c r="A837" t="s">
        <v>5405</v>
      </c>
      <c r="B837" t="s">
        <v>5406</v>
      </c>
      <c r="C837" t="s">
        <v>5407</v>
      </c>
      <c r="D837" t="s">
        <v>7862</v>
      </c>
      <c r="E837" t="s">
        <v>7839</v>
      </c>
      <c r="F837" t="s">
        <v>7935</v>
      </c>
      <c r="G837" t="s">
        <v>7861</v>
      </c>
      <c r="H837" t="s">
        <v>9</v>
      </c>
      <c r="I837">
        <v>21.351</v>
      </c>
      <c r="J837">
        <v>42.095</v>
      </c>
      <c r="K837">
        <v>0.15</v>
      </c>
      <c r="M837" t="s">
        <v>7970</v>
      </c>
      <c r="N837">
        <v>338.36</v>
      </c>
      <c r="V837" t="s">
        <v>7862</v>
      </c>
      <c r="W837" t="s">
        <v>7839</v>
      </c>
      <c r="X837" t="s">
        <v>7935</v>
      </c>
      <c r="Y837">
        <v>21.351</v>
      </c>
      <c r="Z837" t="s">
        <v>7861</v>
      </c>
      <c r="AA837">
        <v>42.095</v>
      </c>
      <c r="AB837">
        <v>0.15</v>
      </c>
    </row>
    <row r="838" spans="1:28">
      <c r="A838" t="s">
        <v>5343</v>
      </c>
      <c r="B838" t="s">
        <v>5344</v>
      </c>
      <c r="C838" t="s">
        <v>5345</v>
      </c>
      <c r="D838" t="s">
        <v>7847</v>
      </c>
      <c r="E838" t="s">
        <v>7839</v>
      </c>
      <c r="F838" t="s">
        <v>7853</v>
      </c>
      <c r="G838" t="s">
        <v>8034</v>
      </c>
      <c r="H838" t="s">
        <v>9</v>
      </c>
      <c r="I838">
        <v>5708.784</v>
      </c>
      <c r="J838">
        <v>18.003</v>
      </c>
      <c r="K838">
        <v>0.25</v>
      </c>
      <c r="M838" t="s">
        <v>7854</v>
      </c>
      <c r="N838">
        <v>432.364</v>
      </c>
      <c r="V838" t="s">
        <v>7847</v>
      </c>
      <c r="W838" t="s">
        <v>7839</v>
      </c>
      <c r="X838" t="s">
        <v>7853</v>
      </c>
      <c r="Y838">
        <v>5708.784</v>
      </c>
      <c r="Z838" t="s">
        <v>8034</v>
      </c>
      <c r="AA838">
        <v>18.003</v>
      </c>
      <c r="AB838">
        <v>0.25</v>
      </c>
    </row>
    <row r="839" spans="1:28">
      <c r="A839" t="s">
        <v>4779</v>
      </c>
      <c r="B839" t="s">
        <v>4780</v>
      </c>
      <c r="C839" t="s">
        <v>4781</v>
      </c>
      <c r="D839" t="s">
        <v>7847</v>
      </c>
      <c r="E839" t="s">
        <v>7839</v>
      </c>
      <c r="F839" t="s">
        <v>7840</v>
      </c>
      <c r="G839" t="s">
        <v>8101</v>
      </c>
      <c r="H839" t="s">
        <v>9</v>
      </c>
      <c r="I839">
        <v>29.531</v>
      </c>
      <c r="J839">
        <v>23.229</v>
      </c>
      <c r="K839">
        <v>0.63</v>
      </c>
      <c r="M839" t="s">
        <v>7845</v>
      </c>
      <c r="N839">
        <v>1429.426</v>
      </c>
      <c r="V839" t="s">
        <v>7847</v>
      </c>
      <c r="W839" t="s">
        <v>7839</v>
      </c>
      <c r="X839" t="s">
        <v>7840</v>
      </c>
      <c r="Y839">
        <v>29.531</v>
      </c>
      <c r="Z839" t="s">
        <v>8101</v>
      </c>
      <c r="AA839">
        <v>23.229</v>
      </c>
      <c r="AB839">
        <v>0.63</v>
      </c>
    </row>
    <row r="840" spans="1:28">
      <c r="A840" t="s">
        <v>4594</v>
      </c>
      <c r="B840" t="s">
        <v>4595</v>
      </c>
      <c r="C840" t="s">
        <v>4596</v>
      </c>
      <c r="D840" t="s">
        <v>7850</v>
      </c>
      <c r="E840" t="s">
        <v>7839</v>
      </c>
      <c r="F840" t="s">
        <v>7853</v>
      </c>
      <c r="G840" t="s">
        <v>7941</v>
      </c>
      <c r="H840" t="s">
        <v>9</v>
      </c>
      <c r="I840">
        <v>4478.096</v>
      </c>
      <c r="J840">
        <v>6.594</v>
      </c>
      <c r="K840">
        <v>0.1</v>
      </c>
      <c r="M840" t="s">
        <v>8047</v>
      </c>
      <c r="N840">
        <v>2.276</v>
      </c>
      <c r="V840" t="s">
        <v>7850</v>
      </c>
      <c r="W840" t="s">
        <v>7839</v>
      </c>
      <c r="X840" t="s">
        <v>7853</v>
      </c>
      <c r="Y840">
        <v>4478.096</v>
      </c>
      <c r="Z840" t="s">
        <v>7941</v>
      </c>
      <c r="AA840">
        <v>6.594</v>
      </c>
      <c r="AB840">
        <v>0.1</v>
      </c>
    </row>
    <row r="841" spans="1:28">
      <c r="A841" t="s">
        <v>3680</v>
      </c>
      <c r="B841" t="s">
        <v>1264</v>
      </c>
      <c r="C841" t="s">
        <v>3681</v>
      </c>
      <c r="D841" t="s">
        <v>7847</v>
      </c>
      <c r="E841" t="s">
        <v>7839</v>
      </c>
      <c r="F841" t="s">
        <v>7840</v>
      </c>
      <c r="G841" t="s">
        <v>7923</v>
      </c>
      <c r="H841" t="s">
        <v>9</v>
      </c>
      <c r="I841">
        <v>1916.742</v>
      </c>
      <c r="J841">
        <v>15.501</v>
      </c>
      <c r="K841">
        <v>0.25</v>
      </c>
      <c r="M841" t="s">
        <v>7854</v>
      </c>
      <c r="N841">
        <v>497.318</v>
      </c>
      <c r="V841" t="s">
        <v>7847</v>
      </c>
      <c r="W841" t="s">
        <v>7839</v>
      </c>
      <c r="X841" t="s">
        <v>7840</v>
      </c>
      <c r="Y841">
        <v>1916.742</v>
      </c>
      <c r="Z841" t="s">
        <v>7923</v>
      </c>
      <c r="AA841">
        <v>15.501</v>
      </c>
      <c r="AB841">
        <v>0.25</v>
      </c>
    </row>
    <row r="842" spans="1:28">
      <c r="A842" t="s">
        <v>3243</v>
      </c>
      <c r="B842" t="s">
        <v>1754</v>
      </c>
      <c r="C842" t="s">
        <v>3244</v>
      </c>
      <c r="D842" t="s">
        <v>7862</v>
      </c>
      <c r="E842" t="s">
        <v>7839</v>
      </c>
      <c r="F842" t="s">
        <v>7853</v>
      </c>
      <c r="G842" t="s">
        <v>7854</v>
      </c>
      <c r="H842" t="s">
        <v>9</v>
      </c>
      <c r="I842">
        <v>16522.094</v>
      </c>
      <c r="J842">
        <v>6.058</v>
      </c>
      <c r="K842">
        <v>0.39</v>
      </c>
      <c r="M842" t="s">
        <v>7861</v>
      </c>
      <c r="N842">
        <v>21.351</v>
      </c>
      <c r="V842" t="s">
        <v>7862</v>
      </c>
      <c r="W842" t="s">
        <v>7839</v>
      </c>
      <c r="X842" t="s">
        <v>7853</v>
      </c>
      <c r="Y842">
        <v>16522.094</v>
      </c>
      <c r="Z842" t="s">
        <v>7854</v>
      </c>
      <c r="AA842">
        <v>6.058</v>
      </c>
      <c r="AB842">
        <v>0.39</v>
      </c>
    </row>
    <row r="843" spans="1:28">
      <c r="A843" t="s">
        <v>4329</v>
      </c>
      <c r="B843" t="s">
        <v>4330</v>
      </c>
      <c r="C843" t="s">
        <v>4331</v>
      </c>
      <c r="D843" t="s">
        <v>7850</v>
      </c>
      <c r="E843" t="s">
        <v>7839</v>
      </c>
      <c r="F843" t="s">
        <v>7935</v>
      </c>
      <c r="G843" t="s">
        <v>8092</v>
      </c>
      <c r="H843" t="s">
        <v>9</v>
      </c>
      <c r="I843">
        <v>38.906</v>
      </c>
      <c r="J843">
        <v>2.259</v>
      </c>
      <c r="K843">
        <v>0.15</v>
      </c>
      <c r="M843" t="s">
        <v>8034</v>
      </c>
      <c r="N843">
        <v>5708.784</v>
      </c>
      <c r="V843" t="s">
        <v>7850</v>
      </c>
      <c r="W843" t="s">
        <v>7839</v>
      </c>
      <c r="X843" t="s">
        <v>7935</v>
      </c>
      <c r="Y843">
        <v>38.906</v>
      </c>
      <c r="Z843" t="s">
        <v>8092</v>
      </c>
      <c r="AA843">
        <v>2.259</v>
      </c>
      <c r="AB843">
        <v>0.15</v>
      </c>
    </row>
    <row r="844" spans="1:28">
      <c r="A844" t="s">
        <v>6069</v>
      </c>
      <c r="B844" t="s">
        <v>6070</v>
      </c>
      <c r="C844" t="s">
        <v>6071</v>
      </c>
      <c r="D844" t="s">
        <v>7844</v>
      </c>
      <c r="E844" t="s">
        <v>7839</v>
      </c>
      <c r="F844" t="s">
        <v>7935</v>
      </c>
      <c r="G844" t="s">
        <v>7858</v>
      </c>
      <c r="H844" t="s">
        <v>9</v>
      </c>
      <c r="I844">
        <v>301.77</v>
      </c>
      <c r="J844">
        <v>9.362</v>
      </c>
      <c r="K844">
        <v>0.07</v>
      </c>
      <c r="M844" t="s">
        <v>8101</v>
      </c>
      <c r="N844">
        <v>29.531</v>
      </c>
      <c r="V844" t="s">
        <v>7844</v>
      </c>
      <c r="W844" t="s">
        <v>7839</v>
      </c>
      <c r="X844" t="s">
        <v>7935</v>
      </c>
      <c r="Y844">
        <v>301.77</v>
      </c>
      <c r="Z844" t="s">
        <v>7858</v>
      </c>
      <c r="AA844">
        <v>9.362</v>
      </c>
      <c r="AB844">
        <v>0.07</v>
      </c>
    </row>
    <row r="845" spans="1:28">
      <c r="A845" t="s">
        <v>5490</v>
      </c>
      <c r="B845" t="s">
        <v>5491</v>
      </c>
      <c r="C845" t="s">
        <v>5492</v>
      </c>
      <c r="D845" t="s">
        <v>7862</v>
      </c>
      <c r="E845" t="s">
        <v>7839</v>
      </c>
      <c r="F845" t="s">
        <v>7935</v>
      </c>
      <c r="G845" t="s">
        <v>8033</v>
      </c>
      <c r="H845" t="s">
        <v>9</v>
      </c>
      <c r="I845">
        <v>11932.841</v>
      </c>
      <c r="J845">
        <v>14.34</v>
      </c>
      <c r="K845">
        <v>0.03</v>
      </c>
      <c r="M845" t="s">
        <v>7941</v>
      </c>
      <c r="N845">
        <v>4478.096</v>
      </c>
      <c r="V845" t="s">
        <v>7862</v>
      </c>
      <c r="W845" t="s">
        <v>7839</v>
      </c>
      <c r="X845" t="s">
        <v>7935</v>
      </c>
      <c r="Y845">
        <v>11932.841</v>
      </c>
      <c r="Z845" t="s">
        <v>8033</v>
      </c>
      <c r="AA845">
        <v>14.34</v>
      </c>
      <c r="AB845">
        <v>0.03</v>
      </c>
    </row>
    <row r="846" spans="1:28">
      <c r="A846" t="s">
        <v>4738</v>
      </c>
      <c r="B846" t="s">
        <v>4739</v>
      </c>
      <c r="C846" t="s">
        <v>4740</v>
      </c>
      <c r="D846" t="s">
        <v>7850</v>
      </c>
      <c r="E846" t="s">
        <v>7839</v>
      </c>
      <c r="F846" t="s">
        <v>7935</v>
      </c>
      <c r="G846" t="s">
        <v>7854</v>
      </c>
      <c r="H846" t="s">
        <v>9</v>
      </c>
      <c r="I846">
        <v>1066.725</v>
      </c>
      <c r="J846">
        <v>4.578</v>
      </c>
      <c r="K846">
        <v>0.12</v>
      </c>
      <c r="M846" t="s">
        <v>7923</v>
      </c>
      <c r="N846">
        <v>1916.742</v>
      </c>
      <c r="V846" t="s">
        <v>7850</v>
      </c>
      <c r="W846" t="s">
        <v>7839</v>
      </c>
      <c r="X846" t="s">
        <v>7935</v>
      </c>
      <c r="Y846">
        <v>1066.725</v>
      </c>
      <c r="Z846" t="s">
        <v>7854</v>
      </c>
      <c r="AA846">
        <v>4.578</v>
      </c>
      <c r="AB846">
        <v>0.12</v>
      </c>
    </row>
    <row r="847" spans="1:28">
      <c r="A847" t="s">
        <v>4634</v>
      </c>
      <c r="B847" t="s">
        <v>3345</v>
      </c>
      <c r="C847" t="s">
        <v>4635</v>
      </c>
      <c r="D847" t="s">
        <v>7850</v>
      </c>
      <c r="E847" t="s">
        <v>7839</v>
      </c>
      <c r="F847" t="s">
        <v>7888</v>
      </c>
      <c r="G847" t="s">
        <v>7854</v>
      </c>
      <c r="H847" t="s">
        <v>9</v>
      </c>
      <c r="I847">
        <v>3614.66</v>
      </c>
      <c r="J847">
        <v>5.705</v>
      </c>
      <c r="K847">
        <v>0.1</v>
      </c>
      <c r="M847" t="s">
        <v>7854</v>
      </c>
      <c r="N847">
        <v>16522.094</v>
      </c>
      <c r="V847" t="s">
        <v>7850</v>
      </c>
      <c r="W847" t="s">
        <v>7839</v>
      </c>
      <c r="X847" t="s">
        <v>7888</v>
      </c>
      <c r="Y847">
        <v>3614.66</v>
      </c>
      <c r="Z847" t="s">
        <v>7854</v>
      </c>
      <c r="AA847">
        <v>5.705</v>
      </c>
      <c r="AB847">
        <v>0.1</v>
      </c>
    </row>
    <row r="848" spans="1:28">
      <c r="A848" t="s">
        <v>5434</v>
      </c>
      <c r="B848" t="s">
        <v>5435</v>
      </c>
      <c r="C848" t="s">
        <v>5436</v>
      </c>
      <c r="D848" t="s">
        <v>7862</v>
      </c>
      <c r="E848" t="s">
        <v>7839</v>
      </c>
      <c r="F848" t="s">
        <v>7935</v>
      </c>
      <c r="G848" t="s">
        <v>7982</v>
      </c>
      <c r="H848" t="s">
        <v>9</v>
      </c>
      <c r="I848">
        <v>273.072</v>
      </c>
      <c r="J848">
        <v>53.591</v>
      </c>
      <c r="K848">
        <v>0.25</v>
      </c>
      <c r="M848" t="s">
        <v>8092</v>
      </c>
      <c r="N848">
        <v>38.906</v>
      </c>
      <c r="V848" t="s">
        <v>7862</v>
      </c>
      <c r="W848" t="s">
        <v>7839</v>
      </c>
      <c r="X848" t="s">
        <v>7935</v>
      </c>
      <c r="Y848">
        <v>273.072</v>
      </c>
      <c r="Z848" t="s">
        <v>7982</v>
      </c>
      <c r="AA848">
        <v>53.591</v>
      </c>
      <c r="AB848">
        <v>0.25</v>
      </c>
    </row>
    <row r="849" spans="1:28">
      <c r="A849" t="s">
        <v>5748</v>
      </c>
      <c r="B849" t="s">
        <v>5749</v>
      </c>
      <c r="C849" t="s">
        <v>5750</v>
      </c>
      <c r="D849" t="s">
        <v>7862</v>
      </c>
      <c r="E849" t="s">
        <v>7839</v>
      </c>
      <c r="F849" t="s">
        <v>7840</v>
      </c>
      <c r="G849" t="s">
        <v>8102</v>
      </c>
      <c r="H849" t="s">
        <v>9</v>
      </c>
      <c r="I849">
        <v>3.479</v>
      </c>
      <c r="J849">
        <v>80.299</v>
      </c>
      <c r="K849">
        <v>0.25</v>
      </c>
      <c r="M849" t="s">
        <v>7858</v>
      </c>
      <c r="N849">
        <v>301.77</v>
      </c>
      <c r="V849" t="s">
        <v>7862</v>
      </c>
      <c r="W849" t="s">
        <v>7839</v>
      </c>
      <c r="X849" t="s">
        <v>7840</v>
      </c>
      <c r="Y849">
        <v>3.479</v>
      </c>
      <c r="Z849" t="s">
        <v>8102</v>
      </c>
      <c r="AA849">
        <v>80.299</v>
      </c>
      <c r="AB849">
        <v>0.25</v>
      </c>
    </row>
    <row r="850" spans="1:28">
      <c r="A850" t="s">
        <v>3881</v>
      </c>
      <c r="B850" t="s">
        <v>3882</v>
      </c>
      <c r="C850" t="s">
        <v>3883</v>
      </c>
      <c r="D850" t="s">
        <v>7844</v>
      </c>
      <c r="E850" t="s">
        <v>7839</v>
      </c>
      <c r="F850" t="s">
        <v>7935</v>
      </c>
      <c r="G850" t="s">
        <v>8075</v>
      </c>
      <c r="H850" t="s">
        <v>9</v>
      </c>
      <c r="I850">
        <v>12.469</v>
      </c>
      <c r="J850">
        <v>23.129</v>
      </c>
      <c r="K850">
        <v>0.2</v>
      </c>
      <c r="M850" t="s">
        <v>8033</v>
      </c>
      <c r="N850">
        <v>11932.841</v>
      </c>
      <c r="V850" t="s">
        <v>7844</v>
      </c>
      <c r="W850" t="s">
        <v>7839</v>
      </c>
      <c r="X850" t="s">
        <v>7935</v>
      </c>
      <c r="Y850">
        <v>12.469</v>
      </c>
      <c r="Z850" t="s">
        <v>8075</v>
      </c>
      <c r="AA850">
        <v>23.129</v>
      </c>
      <c r="AB850">
        <v>0.2</v>
      </c>
    </row>
    <row r="851" spans="1:28">
      <c r="A851" t="s">
        <v>6166</v>
      </c>
      <c r="B851" t="s">
        <v>6167</v>
      </c>
      <c r="C851" t="s">
        <v>6168</v>
      </c>
      <c r="D851" t="s">
        <v>7862</v>
      </c>
      <c r="E851" t="s">
        <v>7839</v>
      </c>
      <c r="F851" t="s">
        <v>7853</v>
      </c>
      <c r="G851" t="s">
        <v>7914</v>
      </c>
      <c r="H851" t="s">
        <v>9</v>
      </c>
      <c r="I851">
        <v>417.918</v>
      </c>
      <c r="J851">
        <v>34.479</v>
      </c>
      <c r="K851">
        <v>0.05</v>
      </c>
      <c r="M851" t="s">
        <v>7854</v>
      </c>
      <c r="N851">
        <v>1066.725</v>
      </c>
      <c r="V851" t="s">
        <v>7862</v>
      </c>
      <c r="W851" t="s">
        <v>7839</v>
      </c>
      <c r="X851" t="s">
        <v>7853</v>
      </c>
      <c r="Y851">
        <v>417.918</v>
      </c>
      <c r="Z851" t="s">
        <v>7914</v>
      </c>
      <c r="AA851">
        <v>34.479</v>
      </c>
      <c r="AB851">
        <v>0.05</v>
      </c>
    </row>
    <row r="852" spans="1:28">
      <c r="A852" t="s">
        <v>4551</v>
      </c>
      <c r="B852" t="s">
        <v>2445</v>
      </c>
      <c r="C852" t="s">
        <v>4552</v>
      </c>
      <c r="D852" t="s">
        <v>7850</v>
      </c>
      <c r="E852" t="s">
        <v>7839</v>
      </c>
      <c r="F852" t="s">
        <v>7840</v>
      </c>
      <c r="G852" t="s">
        <v>7854</v>
      </c>
      <c r="H852" t="s">
        <v>9</v>
      </c>
      <c r="I852">
        <v>3655.687</v>
      </c>
      <c r="J852">
        <v>6.22</v>
      </c>
      <c r="K852">
        <v>0.1</v>
      </c>
      <c r="M852" t="s">
        <v>7854</v>
      </c>
      <c r="N852">
        <v>3614.66</v>
      </c>
      <c r="V852" t="s">
        <v>7850</v>
      </c>
      <c r="W852" t="s">
        <v>7839</v>
      </c>
      <c r="X852" t="s">
        <v>7840</v>
      </c>
      <c r="Y852">
        <v>3655.687</v>
      </c>
      <c r="Z852" t="s">
        <v>7854</v>
      </c>
      <c r="AA852">
        <v>6.22</v>
      </c>
      <c r="AB852">
        <v>0.1</v>
      </c>
    </row>
    <row r="853" spans="1:28">
      <c r="A853" t="s">
        <v>4506</v>
      </c>
      <c r="B853" t="s">
        <v>4507</v>
      </c>
      <c r="C853" t="s">
        <v>4508</v>
      </c>
      <c r="D853" t="s">
        <v>7847</v>
      </c>
      <c r="E853" t="s">
        <v>7839</v>
      </c>
      <c r="F853" t="s">
        <v>7840</v>
      </c>
      <c r="G853" t="s">
        <v>7851</v>
      </c>
      <c r="H853" t="s">
        <v>9</v>
      </c>
      <c r="I853">
        <v>2.531</v>
      </c>
      <c r="J853">
        <v>41.193</v>
      </c>
      <c r="K853">
        <v>0.35</v>
      </c>
      <c r="M853" t="s">
        <v>7982</v>
      </c>
      <c r="N853">
        <v>273.072</v>
      </c>
      <c r="V853" t="s">
        <v>7847</v>
      </c>
      <c r="W853" t="s">
        <v>7839</v>
      </c>
      <c r="X853" t="s">
        <v>7840</v>
      </c>
      <c r="Y853">
        <v>2.531</v>
      </c>
      <c r="Z853" t="s">
        <v>7851</v>
      </c>
      <c r="AA853">
        <v>41.193</v>
      </c>
      <c r="AB853">
        <v>0.35</v>
      </c>
    </row>
    <row r="854" spans="1:28">
      <c r="A854" t="s">
        <v>5521</v>
      </c>
      <c r="B854" t="s">
        <v>5522</v>
      </c>
      <c r="C854" t="s">
        <v>5523</v>
      </c>
      <c r="D854" t="s">
        <v>7862</v>
      </c>
      <c r="E854" t="s">
        <v>7839</v>
      </c>
      <c r="F854" t="s">
        <v>7935</v>
      </c>
      <c r="G854" t="s">
        <v>7854</v>
      </c>
      <c r="H854" t="s">
        <v>9</v>
      </c>
      <c r="I854">
        <v>35.895</v>
      </c>
      <c r="J854">
        <v>99.843</v>
      </c>
      <c r="K854">
        <v>0</v>
      </c>
      <c r="M854" t="s">
        <v>8102</v>
      </c>
      <c r="N854">
        <v>3.479</v>
      </c>
      <c r="V854" t="s">
        <v>7862</v>
      </c>
      <c r="W854" t="s">
        <v>7839</v>
      </c>
      <c r="X854" t="s">
        <v>7935</v>
      </c>
      <c r="Y854">
        <v>35.895</v>
      </c>
      <c r="Z854" t="s">
        <v>7854</v>
      </c>
      <c r="AA854">
        <v>99.843</v>
      </c>
      <c r="AB854">
        <v>0</v>
      </c>
    </row>
    <row r="855" spans="1:28">
      <c r="A855" t="s">
        <v>5272</v>
      </c>
      <c r="B855" t="s">
        <v>5273</v>
      </c>
      <c r="C855" t="s">
        <v>5274</v>
      </c>
      <c r="D855" t="s">
        <v>7847</v>
      </c>
      <c r="E855" t="s">
        <v>7839</v>
      </c>
      <c r="F855" t="s">
        <v>7935</v>
      </c>
      <c r="G855" t="s">
        <v>7960</v>
      </c>
      <c r="H855" t="s">
        <v>9</v>
      </c>
      <c r="I855">
        <v>142.339</v>
      </c>
      <c r="J855">
        <v>99.603</v>
      </c>
      <c r="K855">
        <v>0.25</v>
      </c>
      <c r="M855" t="s">
        <v>8075</v>
      </c>
      <c r="N855">
        <v>12.469</v>
      </c>
      <c r="V855" t="s">
        <v>7847</v>
      </c>
      <c r="W855" t="s">
        <v>7839</v>
      </c>
      <c r="X855" t="s">
        <v>7935</v>
      </c>
      <c r="Y855">
        <v>142.339</v>
      </c>
      <c r="Z855" t="s">
        <v>7960</v>
      </c>
      <c r="AA855">
        <v>99.603</v>
      </c>
      <c r="AB855">
        <v>0.25</v>
      </c>
    </row>
    <row r="856" spans="1:28">
      <c r="A856" t="s">
        <v>4377</v>
      </c>
      <c r="B856" t="s">
        <v>4378</v>
      </c>
      <c r="C856" t="s">
        <v>4379</v>
      </c>
      <c r="D856" t="s">
        <v>7847</v>
      </c>
      <c r="E856" t="s">
        <v>7839</v>
      </c>
      <c r="F856" t="s">
        <v>7840</v>
      </c>
      <c r="G856" t="s">
        <v>7941</v>
      </c>
      <c r="H856" t="s">
        <v>9</v>
      </c>
      <c r="I856">
        <v>31.066</v>
      </c>
      <c r="J856">
        <v>6.649</v>
      </c>
      <c r="K856">
        <v>0.13</v>
      </c>
      <c r="M856" t="s">
        <v>7914</v>
      </c>
      <c r="N856">
        <v>417.918</v>
      </c>
      <c r="V856" t="s">
        <v>7847</v>
      </c>
      <c r="W856" t="s">
        <v>7839</v>
      </c>
      <c r="X856" t="s">
        <v>7840</v>
      </c>
      <c r="Y856">
        <v>31.066</v>
      </c>
      <c r="Z856" t="s">
        <v>7941</v>
      </c>
      <c r="AA856">
        <v>6.649</v>
      </c>
      <c r="AB856">
        <v>0.13</v>
      </c>
    </row>
    <row r="857" spans="1:28">
      <c r="A857" t="s">
        <v>5657</v>
      </c>
      <c r="B857" t="s">
        <v>5658</v>
      </c>
      <c r="C857" t="s">
        <v>5659</v>
      </c>
      <c r="D857" t="s">
        <v>7862</v>
      </c>
      <c r="E857" t="s">
        <v>7839</v>
      </c>
      <c r="F857" t="s">
        <v>7935</v>
      </c>
      <c r="G857" t="s">
        <v>8092</v>
      </c>
      <c r="H857" t="s">
        <v>9</v>
      </c>
      <c r="I857">
        <v>397.123</v>
      </c>
      <c r="J857">
        <v>99.886</v>
      </c>
      <c r="K857">
        <v>0.15</v>
      </c>
      <c r="M857" t="s">
        <v>7854</v>
      </c>
      <c r="N857">
        <v>3655.687</v>
      </c>
      <c r="V857" t="s">
        <v>7862</v>
      </c>
      <c r="W857" t="s">
        <v>7839</v>
      </c>
      <c r="X857" t="s">
        <v>7935</v>
      </c>
      <c r="Y857">
        <v>397.123</v>
      </c>
      <c r="Z857" t="s">
        <v>8092</v>
      </c>
      <c r="AA857">
        <v>99.886</v>
      </c>
      <c r="AB857">
        <v>0.15</v>
      </c>
    </row>
    <row r="858" spans="1:28">
      <c r="A858" t="s">
        <v>5943</v>
      </c>
      <c r="B858" t="s">
        <v>5944</v>
      </c>
      <c r="C858" t="s">
        <v>5945</v>
      </c>
      <c r="D858" t="s">
        <v>7847</v>
      </c>
      <c r="E858" t="s">
        <v>7839</v>
      </c>
      <c r="F858" t="s">
        <v>7853</v>
      </c>
      <c r="G858" t="s">
        <v>7952</v>
      </c>
      <c r="H858" t="s">
        <v>9</v>
      </c>
      <c r="I858">
        <v>106.665</v>
      </c>
      <c r="J858">
        <v>31.972</v>
      </c>
      <c r="K858">
        <v>0.45</v>
      </c>
      <c r="M858" t="s">
        <v>7851</v>
      </c>
      <c r="N858">
        <v>2.531</v>
      </c>
      <c r="V858" t="s">
        <v>7847</v>
      </c>
      <c r="W858" t="s">
        <v>7839</v>
      </c>
      <c r="X858" t="s">
        <v>7853</v>
      </c>
      <c r="Y858">
        <v>106.665</v>
      </c>
      <c r="Z858" t="s">
        <v>7952</v>
      </c>
      <c r="AA858">
        <v>31.972</v>
      </c>
      <c r="AB858">
        <v>0.45</v>
      </c>
    </row>
    <row r="859" spans="1:28">
      <c r="A859" t="s">
        <v>4415</v>
      </c>
      <c r="B859" t="s">
        <v>4416</v>
      </c>
      <c r="C859" t="s">
        <v>4417</v>
      </c>
      <c r="D859" t="s">
        <v>7850</v>
      </c>
      <c r="E859" t="s">
        <v>7839</v>
      </c>
      <c r="F859" t="s">
        <v>7853</v>
      </c>
      <c r="G859" t="s">
        <v>7941</v>
      </c>
      <c r="H859" t="s">
        <v>9</v>
      </c>
      <c r="I859">
        <v>1318.581</v>
      </c>
      <c r="J859">
        <v>10.347</v>
      </c>
      <c r="K859">
        <v>0.1</v>
      </c>
      <c r="M859" t="s">
        <v>7854</v>
      </c>
      <c r="N859">
        <v>35.895</v>
      </c>
      <c r="V859" t="s">
        <v>7850</v>
      </c>
      <c r="W859" t="s">
        <v>7839</v>
      </c>
      <c r="X859" t="s">
        <v>7853</v>
      </c>
      <c r="Y859">
        <v>1318.581</v>
      </c>
      <c r="Z859" t="s">
        <v>7941</v>
      </c>
      <c r="AA859">
        <v>10.347</v>
      </c>
      <c r="AB859">
        <v>0.1</v>
      </c>
    </row>
    <row r="860" spans="1:28">
      <c r="A860" t="s">
        <v>5608</v>
      </c>
      <c r="B860" t="s">
        <v>5609</v>
      </c>
      <c r="C860" t="s">
        <v>5610</v>
      </c>
      <c r="D860" t="s">
        <v>7847</v>
      </c>
      <c r="E860" t="s">
        <v>7839</v>
      </c>
      <c r="F860" t="s">
        <v>7935</v>
      </c>
      <c r="G860" t="s">
        <v>8116</v>
      </c>
      <c r="H860" t="s">
        <v>9</v>
      </c>
      <c r="I860">
        <v>42883.172</v>
      </c>
      <c r="J860">
        <v>9.317</v>
      </c>
      <c r="K860">
        <v>0.02</v>
      </c>
      <c r="M860" t="s">
        <v>7960</v>
      </c>
      <c r="N860">
        <v>142.339</v>
      </c>
      <c r="V860" t="s">
        <v>7847</v>
      </c>
      <c r="W860" t="s">
        <v>7839</v>
      </c>
      <c r="X860" t="s">
        <v>7935</v>
      </c>
      <c r="Y860">
        <v>42883.172</v>
      </c>
      <c r="Z860" t="s">
        <v>8116</v>
      </c>
      <c r="AA860">
        <v>9.317</v>
      </c>
      <c r="AB860">
        <v>0.02</v>
      </c>
    </row>
    <row r="861" spans="1:28">
      <c r="A861" t="s">
        <v>5848</v>
      </c>
      <c r="B861" t="s">
        <v>5849</v>
      </c>
      <c r="C861" t="s">
        <v>5850</v>
      </c>
      <c r="D861" t="s">
        <v>7847</v>
      </c>
      <c r="E861" t="s">
        <v>7839</v>
      </c>
      <c r="F861" t="s">
        <v>7853</v>
      </c>
      <c r="G861" t="s">
        <v>7854</v>
      </c>
      <c r="H861" t="s">
        <v>9</v>
      </c>
      <c r="I861">
        <v>3879.335</v>
      </c>
      <c r="J861">
        <v>7.457</v>
      </c>
      <c r="K861">
        <v>0.2</v>
      </c>
      <c r="M861" t="s">
        <v>7941</v>
      </c>
      <c r="N861">
        <v>31.066</v>
      </c>
      <c r="V861" t="s">
        <v>7847</v>
      </c>
      <c r="W861" t="s">
        <v>7839</v>
      </c>
      <c r="X861" t="s">
        <v>7853</v>
      </c>
      <c r="Y861">
        <v>3879.335</v>
      </c>
      <c r="Z861" t="s">
        <v>7854</v>
      </c>
      <c r="AA861">
        <v>7.457</v>
      </c>
      <c r="AB861">
        <v>0.2</v>
      </c>
    </row>
    <row r="862" spans="1:28">
      <c r="A862" t="s">
        <v>4360</v>
      </c>
      <c r="B862" t="s">
        <v>4361</v>
      </c>
      <c r="C862" t="s">
        <v>4362</v>
      </c>
      <c r="D862" t="s">
        <v>7850</v>
      </c>
      <c r="E862" t="s">
        <v>7839</v>
      </c>
      <c r="F862" t="s">
        <v>7853</v>
      </c>
      <c r="G862" t="s">
        <v>7914</v>
      </c>
      <c r="H862" t="s">
        <v>9</v>
      </c>
      <c r="I862">
        <v>162.206</v>
      </c>
      <c r="J862">
        <v>3.839</v>
      </c>
      <c r="K862">
        <v>0.19</v>
      </c>
      <c r="M862" t="s">
        <v>8092</v>
      </c>
      <c r="N862">
        <v>397.123</v>
      </c>
      <c r="V862" t="s">
        <v>7850</v>
      </c>
      <c r="W862" t="s">
        <v>7839</v>
      </c>
      <c r="X862" t="s">
        <v>7853</v>
      </c>
      <c r="Y862">
        <v>162.206</v>
      </c>
      <c r="Z862" t="s">
        <v>7914</v>
      </c>
      <c r="AA862">
        <v>3.839</v>
      </c>
      <c r="AB862">
        <v>0.19</v>
      </c>
    </row>
    <row r="863" spans="1:28">
      <c r="A863" t="s">
        <v>6302</v>
      </c>
      <c r="B863" t="s">
        <v>6303</v>
      </c>
      <c r="C863" t="s">
        <v>6304</v>
      </c>
      <c r="D863" t="s">
        <v>7862</v>
      </c>
      <c r="E863" t="s">
        <v>7839</v>
      </c>
      <c r="F863" t="s">
        <v>7853</v>
      </c>
      <c r="G863" t="s">
        <v>8092</v>
      </c>
      <c r="H863" t="s">
        <v>9</v>
      </c>
      <c r="I863">
        <v>9.23</v>
      </c>
      <c r="J863">
        <v>99.864</v>
      </c>
      <c r="K863">
        <v>0.15</v>
      </c>
      <c r="M863" t="s">
        <v>7952</v>
      </c>
      <c r="N863">
        <v>106.665</v>
      </c>
      <c r="V863" t="s">
        <v>7862</v>
      </c>
      <c r="W863" t="s">
        <v>7839</v>
      </c>
      <c r="X863" t="s">
        <v>7853</v>
      </c>
      <c r="Y863">
        <v>9.23</v>
      </c>
      <c r="Z863" t="s">
        <v>8092</v>
      </c>
      <c r="AA863">
        <v>99.864</v>
      </c>
      <c r="AB863">
        <v>0.15</v>
      </c>
    </row>
    <row r="864" spans="1:28">
      <c r="A864" t="s">
        <v>4864</v>
      </c>
      <c r="B864" t="s">
        <v>4865</v>
      </c>
      <c r="C864" t="s">
        <v>4866</v>
      </c>
      <c r="D864" t="s">
        <v>7850</v>
      </c>
      <c r="E864" t="s">
        <v>7839</v>
      </c>
      <c r="F864" t="s">
        <v>7888</v>
      </c>
      <c r="G864" t="s">
        <v>7941</v>
      </c>
      <c r="H864" t="s">
        <v>9</v>
      </c>
      <c r="I864">
        <v>1564.807</v>
      </c>
      <c r="J864">
        <v>8.997</v>
      </c>
      <c r="K864">
        <v>0.1</v>
      </c>
      <c r="M864" t="s">
        <v>7941</v>
      </c>
      <c r="N864">
        <v>1318.581</v>
      </c>
      <c r="V864" t="s">
        <v>7850</v>
      </c>
      <c r="W864" t="s">
        <v>7839</v>
      </c>
      <c r="X864" t="s">
        <v>7888</v>
      </c>
      <c r="Y864">
        <v>1564.807</v>
      </c>
      <c r="Z864" t="s">
        <v>7941</v>
      </c>
      <c r="AA864">
        <v>8.997</v>
      </c>
      <c r="AB864">
        <v>0.1</v>
      </c>
    </row>
    <row r="865" spans="1:28">
      <c r="A865" t="s">
        <v>6134</v>
      </c>
      <c r="B865" t="s">
        <v>3223</v>
      </c>
      <c r="C865" t="s">
        <v>6135</v>
      </c>
      <c r="D865" t="s">
        <v>7862</v>
      </c>
      <c r="E865" t="s">
        <v>7839</v>
      </c>
      <c r="F865" t="s">
        <v>7853</v>
      </c>
      <c r="G865" t="s">
        <v>8034</v>
      </c>
      <c r="H865" t="s">
        <v>9</v>
      </c>
      <c r="I865">
        <v>25.814</v>
      </c>
      <c r="J865">
        <v>24.114</v>
      </c>
      <c r="K865">
        <v>0.04</v>
      </c>
      <c r="M865" t="s">
        <v>8116</v>
      </c>
      <c r="N865">
        <v>42883.172</v>
      </c>
      <c r="V865" t="s">
        <v>7862</v>
      </c>
      <c r="W865" t="s">
        <v>7839</v>
      </c>
      <c r="X865" t="s">
        <v>7853</v>
      </c>
      <c r="Y865">
        <v>25.814</v>
      </c>
      <c r="Z865" t="s">
        <v>8034</v>
      </c>
      <c r="AA865">
        <v>24.114</v>
      </c>
      <c r="AB865">
        <v>0.04</v>
      </c>
    </row>
    <row r="866" spans="1:28">
      <c r="A866" t="s">
        <v>5614</v>
      </c>
      <c r="B866" t="s">
        <v>5615</v>
      </c>
      <c r="C866" t="s">
        <v>5616</v>
      </c>
      <c r="D866" t="s">
        <v>7862</v>
      </c>
      <c r="E866" t="s">
        <v>7839</v>
      </c>
      <c r="F866" t="s">
        <v>7935</v>
      </c>
      <c r="G866" t="s">
        <v>7914</v>
      </c>
      <c r="H866" t="s">
        <v>9</v>
      </c>
      <c r="I866">
        <v>167.662</v>
      </c>
      <c r="J866">
        <v>15.561</v>
      </c>
      <c r="K866">
        <v>0.05</v>
      </c>
      <c r="M866" t="s">
        <v>7854</v>
      </c>
      <c r="N866">
        <v>3879.335</v>
      </c>
      <c r="V866" t="s">
        <v>7862</v>
      </c>
      <c r="W866" t="s">
        <v>7839</v>
      </c>
      <c r="X866" t="s">
        <v>7935</v>
      </c>
      <c r="Y866">
        <v>167.662</v>
      </c>
      <c r="Z866" t="s">
        <v>7914</v>
      </c>
      <c r="AA866">
        <v>15.561</v>
      </c>
      <c r="AB866">
        <v>0.05</v>
      </c>
    </row>
    <row r="867" spans="1:28">
      <c r="A867" t="s">
        <v>4784</v>
      </c>
      <c r="B867" t="s">
        <v>4785</v>
      </c>
      <c r="C867" t="s">
        <v>4786</v>
      </c>
      <c r="D867" t="s">
        <v>7847</v>
      </c>
      <c r="E867" t="s">
        <v>7839</v>
      </c>
      <c r="F867" t="s">
        <v>7935</v>
      </c>
      <c r="G867" t="s">
        <v>7890</v>
      </c>
      <c r="H867" t="s">
        <v>9</v>
      </c>
      <c r="I867">
        <v>680.41</v>
      </c>
      <c r="J867">
        <v>10.448</v>
      </c>
      <c r="K867">
        <v>0.15</v>
      </c>
      <c r="M867" t="s">
        <v>7914</v>
      </c>
      <c r="N867">
        <v>162.206</v>
      </c>
      <c r="V867" t="s">
        <v>7847</v>
      </c>
      <c r="W867" t="s">
        <v>7839</v>
      </c>
      <c r="X867" t="s">
        <v>7935</v>
      </c>
      <c r="Y867">
        <v>680.41</v>
      </c>
      <c r="Z867" t="s">
        <v>7890</v>
      </c>
      <c r="AA867">
        <v>10.448</v>
      </c>
      <c r="AB867">
        <v>0.15</v>
      </c>
    </row>
    <row r="868" spans="1:28">
      <c r="A868" t="s">
        <v>3209</v>
      </c>
      <c r="B868" t="s">
        <v>3210</v>
      </c>
      <c r="C868" t="s">
        <v>3211</v>
      </c>
      <c r="D868" t="s">
        <v>7862</v>
      </c>
      <c r="E868" t="s">
        <v>7839</v>
      </c>
      <c r="F868" t="s">
        <v>7840</v>
      </c>
      <c r="G868" t="s">
        <v>8002</v>
      </c>
      <c r="H868" t="s">
        <v>9</v>
      </c>
      <c r="I868">
        <v>33.999</v>
      </c>
      <c r="J868">
        <v>11.673</v>
      </c>
      <c r="K868">
        <v>0.3</v>
      </c>
      <c r="M868" t="s">
        <v>8092</v>
      </c>
      <c r="N868">
        <v>9.23</v>
      </c>
      <c r="V868" t="s">
        <v>7862</v>
      </c>
      <c r="W868" t="s">
        <v>7839</v>
      </c>
      <c r="X868" t="s">
        <v>7840</v>
      </c>
      <c r="Y868">
        <v>33.999</v>
      </c>
      <c r="Z868" t="s">
        <v>8002</v>
      </c>
      <c r="AA868">
        <v>11.673</v>
      </c>
      <c r="AB868">
        <v>0.3</v>
      </c>
    </row>
    <row r="869" spans="1:28">
      <c r="A869" t="s">
        <v>6119</v>
      </c>
      <c r="B869" t="s">
        <v>6120</v>
      </c>
      <c r="C869" t="s">
        <v>6121</v>
      </c>
      <c r="D869" t="s">
        <v>7862</v>
      </c>
      <c r="E869" t="s">
        <v>7839</v>
      </c>
      <c r="F869" t="s">
        <v>7853</v>
      </c>
      <c r="G869" t="s">
        <v>8053</v>
      </c>
      <c r="H869" t="s">
        <v>9</v>
      </c>
      <c r="I869">
        <v>36889.367</v>
      </c>
      <c r="J869">
        <v>19.077</v>
      </c>
      <c r="K869">
        <v>0.02</v>
      </c>
      <c r="M869" t="s">
        <v>7941</v>
      </c>
      <c r="N869">
        <v>1564.807</v>
      </c>
      <c r="V869" t="s">
        <v>7862</v>
      </c>
      <c r="W869" t="s">
        <v>7839</v>
      </c>
      <c r="X869" t="s">
        <v>7853</v>
      </c>
      <c r="Y869">
        <v>36889.367</v>
      </c>
      <c r="Z869" t="s">
        <v>8053</v>
      </c>
      <c r="AA869">
        <v>19.077</v>
      </c>
      <c r="AB869">
        <v>0.02</v>
      </c>
    </row>
    <row r="870" spans="1:28">
      <c r="A870" t="s">
        <v>5602</v>
      </c>
      <c r="B870" t="s">
        <v>5603</v>
      </c>
      <c r="C870" t="s">
        <v>5604</v>
      </c>
      <c r="D870" t="s">
        <v>7862</v>
      </c>
      <c r="E870" t="s">
        <v>7839</v>
      </c>
      <c r="F870" t="s">
        <v>7935</v>
      </c>
      <c r="G870" t="s">
        <v>7852</v>
      </c>
      <c r="H870" t="s">
        <v>9</v>
      </c>
      <c r="I870">
        <v>5987.984</v>
      </c>
      <c r="J870">
        <v>14.101</v>
      </c>
      <c r="K870">
        <v>0.03</v>
      </c>
      <c r="M870" t="s">
        <v>8034</v>
      </c>
      <c r="N870">
        <v>25.814</v>
      </c>
      <c r="V870" t="s">
        <v>7862</v>
      </c>
      <c r="W870" t="s">
        <v>7839</v>
      </c>
      <c r="X870" t="s">
        <v>7935</v>
      </c>
      <c r="Y870">
        <v>5987.984</v>
      </c>
      <c r="Z870" t="s">
        <v>7852</v>
      </c>
      <c r="AA870">
        <v>14.101</v>
      </c>
      <c r="AB870">
        <v>0.03</v>
      </c>
    </row>
    <row r="871" spans="1:28">
      <c r="A871" t="s">
        <v>6161</v>
      </c>
      <c r="B871" t="s">
        <v>6162</v>
      </c>
      <c r="C871" t="s">
        <v>6163</v>
      </c>
      <c r="D871" t="s">
        <v>7862</v>
      </c>
      <c r="E871" t="s">
        <v>7839</v>
      </c>
      <c r="F871" t="s">
        <v>7853</v>
      </c>
      <c r="G871" t="s">
        <v>7852</v>
      </c>
      <c r="H871" t="s">
        <v>9</v>
      </c>
      <c r="I871">
        <v>9682.012</v>
      </c>
      <c r="J871">
        <v>19.013</v>
      </c>
      <c r="K871">
        <v>0.03</v>
      </c>
      <c r="M871" t="s">
        <v>7914</v>
      </c>
      <c r="N871">
        <v>167.662</v>
      </c>
      <c r="V871" t="s">
        <v>7862</v>
      </c>
      <c r="W871" t="s">
        <v>7839</v>
      </c>
      <c r="X871" t="s">
        <v>7853</v>
      </c>
      <c r="Y871">
        <v>9682.012</v>
      </c>
      <c r="Z871" t="s">
        <v>7852</v>
      </c>
      <c r="AA871">
        <v>19.013</v>
      </c>
      <c r="AB871">
        <v>0.03</v>
      </c>
    </row>
    <row r="872" spans="1:28">
      <c r="A872" t="s">
        <v>4335</v>
      </c>
      <c r="B872" t="s">
        <v>1502</v>
      </c>
      <c r="C872" t="s">
        <v>4336</v>
      </c>
      <c r="D872" t="s">
        <v>7850</v>
      </c>
      <c r="E872" t="s">
        <v>7839</v>
      </c>
      <c r="F872" t="s">
        <v>7853</v>
      </c>
      <c r="G872" t="s">
        <v>7938</v>
      </c>
      <c r="H872" t="s">
        <v>9</v>
      </c>
      <c r="I872">
        <v>648.162</v>
      </c>
      <c r="J872">
        <v>4.482</v>
      </c>
      <c r="K872">
        <v>0.15</v>
      </c>
      <c r="M872" t="s">
        <v>7890</v>
      </c>
      <c r="N872">
        <v>680.41</v>
      </c>
      <c r="V872" t="s">
        <v>7850</v>
      </c>
      <c r="W872" t="s">
        <v>7839</v>
      </c>
      <c r="X872" t="s">
        <v>7853</v>
      </c>
      <c r="Y872">
        <v>648.162</v>
      </c>
      <c r="Z872" t="s">
        <v>7938</v>
      </c>
      <c r="AA872">
        <v>4.482</v>
      </c>
      <c r="AB872">
        <v>0.15</v>
      </c>
    </row>
    <row r="873" spans="1:28">
      <c r="A873" t="s">
        <v>4340</v>
      </c>
      <c r="B873" t="s">
        <v>2831</v>
      </c>
      <c r="C873" t="s">
        <v>4341</v>
      </c>
      <c r="D873" t="s">
        <v>7850</v>
      </c>
      <c r="E873" t="s">
        <v>7839</v>
      </c>
      <c r="F873" t="s">
        <v>7853</v>
      </c>
      <c r="G873" t="s">
        <v>7854</v>
      </c>
      <c r="H873" t="s">
        <v>9</v>
      </c>
      <c r="I873">
        <v>1539.015</v>
      </c>
      <c r="J873">
        <v>8.384</v>
      </c>
      <c r="K873">
        <v>0.1</v>
      </c>
      <c r="M873" t="s">
        <v>8002</v>
      </c>
      <c r="N873">
        <v>33.999</v>
      </c>
      <c r="V873" t="s">
        <v>7850</v>
      </c>
      <c r="W873" t="s">
        <v>7839</v>
      </c>
      <c r="X873" t="s">
        <v>7853</v>
      </c>
      <c r="Y873">
        <v>1539.015</v>
      </c>
      <c r="Z873" t="s">
        <v>7854</v>
      </c>
      <c r="AA873">
        <v>8.384</v>
      </c>
      <c r="AB873">
        <v>0.1</v>
      </c>
    </row>
    <row r="874" spans="1:28">
      <c r="A874" t="s">
        <v>163</v>
      </c>
      <c r="B874" t="s">
        <v>164</v>
      </c>
      <c r="C874" t="s">
        <v>165</v>
      </c>
      <c r="D874" t="s">
        <v>7850</v>
      </c>
      <c r="E874" t="s">
        <v>7839</v>
      </c>
      <c r="F874" t="s">
        <v>7840</v>
      </c>
      <c r="G874" t="s">
        <v>7943</v>
      </c>
      <c r="H874" t="s">
        <v>9</v>
      </c>
      <c r="I874">
        <v>274.907</v>
      </c>
      <c r="J874">
        <v>5.768</v>
      </c>
      <c r="K874">
        <v>0.5</v>
      </c>
      <c r="M874" t="s">
        <v>8053</v>
      </c>
      <c r="N874">
        <v>36889.367</v>
      </c>
      <c r="V874" t="s">
        <v>7850</v>
      </c>
      <c r="W874" t="s">
        <v>7839</v>
      </c>
      <c r="X874" t="s">
        <v>7840</v>
      </c>
      <c r="Y874">
        <v>274.907</v>
      </c>
      <c r="Z874" t="s">
        <v>7943</v>
      </c>
      <c r="AA874">
        <v>5.768</v>
      </c>
      <c r="AB874">
        <v>0.5</v>
      </c>
    </row>
    <row r="875" spans="1:28">
      <c r="A875" t="s">
        <v>6193</v>
      </c>
      <c r="B875" t="s">
        <v>6194</v>
      </c>
      <c r="C875" t="s">
        <v>6195</v>
      </c>
      <c r="D875" t="s">
        <v>7862</v>
      </c>
      <c r="E875" t="s">
        <v>7839</v>
      </c>
      <c r="F875" t="s">
        <v>7853</v>
      </c>
      <c r="G875" t="s">
        <v>8033</v>
      </c>
      <c r="H875" t="s">
        <v>9</v>
      </c>
      <c r="I875">
        <v>12322.782</v>
      </c>
      <c r="J875">
        <v>19.313</v>
      </c>
      <c r="K875">
        <v>0.03</v>
      </c>
      <c r="M875" t="s">
        <v>7852</v>
      </c>
      <c r="N875">
        <v>5987.984</v>
      </c>
      <c r="V875" t="s">
        <v>7862</v>
      </c>
      <c r="W875" t="s">
        <v>7839</v>
      </c>
      <c r="X875" t="s">
        <v>7853</v>
      </c>
      <c r="Y875">
        <v>12322.782</v>
      </c>
      <c r="Z875" t="s">
        <v>8033</v>
      </c>
      <c r="AA875">
        <v>19.313</v>
      </c>
      <c r="AB875">
        <v>0.03</v>
      </c>
    </row>
    <row r="876" spans="1:28">
      <c r="A876" t="s">
        <v>4622</v>
      </c>
      <c r="B876" t="s">
        <v>4623</v>
      </c>
      <c r="C876" t="s">
        <v>4624</v>
      </c>
      <c r="D876" t="s">
        <v>7850</v>
      </c>
      <c r="E876" t="s">
        <v>7839</v>
      </c>
      <c r="F876" t="s">
        <v>7935</v>
      </c>
      <c r="G876" t="s">
        <v>8033</v>
      </c>
      <c r="H876" t="s">
        <v>9</v>
      </c>
      <c r="I876">
        <v>692.159</v>
      </c>
      <c r="J876">
        <v>1.703</v>
      </c>
      <c r="K876">
        <v>0.03</v>
      </c>
      <c r="M876" t="s">
        <v>7852</v>
      </c>
      <c r="N876">
        <v>9682.012</v>
      </c>
      <c r="V876" t="s">
        <v>7850</v>
      </c>
      <c r="W876" t="s">
        <v>7839</v>
      </c>
      <c r="X876" t="s">
        <v>7935</v>
      </c>
      <c r="Y876">
        <v>692.159</v>
      </c>
      <c r="Z876" t="s">
        <v>8033</v>
      </c>
      <c r="AA876">
        <v>1.703</v>
      </c>
      <c r="AB876">
        <v>0.03</v>
      </c>
    </row>
    <row r="877" spans="1:28">
      <c r="A877" t="s">
        <v>5655</v>
      </c>
      <c r="B877" t="s">
        <v>2445</v>
      </c>
      <c r="C877" t="s">
        <v>5656</v>
      </c>
      <c r="D877" t="s">
        <v>7862</v>
      </c>
      <c r="E877" t="s">
        <v>7839</v>
      </c>
      <c r="F877" t="s">
        <v>7840</v>
      </c>
      <c r="G877" t="s">
        <v>7854</v>
      </c>
      <c r="H877" t="s">
        <v>9</v>
      </c>
      <c r="I877">
        <v>1447.22</v>
      </c>
      <c r="J877">
        <v>28.89</v>
      </c>
      <c r="K877">
        <v>0.07</v>
      </c>
      <c r="M877" t="s">
        <v>7938</v>
      </c>
      <c r="N877">
        <v>648.162</v>
      </c>
      <c r="V877" t="s">
        <v>7862</v>
      </c>
      <c r="W877" t="s">
        <v>7839</v>
      </c>
      <c r="X877" t="s">
        <v>7840</v>
      </c>
      <c r="Y877">
        <v>1447.22</v>
      </c>
      <c r="Z877" t="s">
        <v>7854</v>
      </c>
      <c r="AA877">
        <v>28.89</v>
      </c>
      <c r="AB877">
        <v>0.07</v>
      </c>
    </row>
    <row r="878" spans="1:28">
      <c r="A878" t="s">
        <v>1495</v>
      </c>
      <c r="B878" t="s">
        <v>1496</v>
      </c>
      <c r="C878" t="s">
        <v>1497</v>
      </c>
      <c r="D878" t="s">
        <v>7862</v>
      </c>
      <c r="E878" t="s">
        <v>7840</v>
      </c>
      <c r="F878" t="s">
        <v>7853</v>
      </c>
      <c r="G878" t="s">
        <v>7925</v>
      </c>
      <c r="H878" t="s">
        <v>9</v>
      </c>
      <c r="I878">
        <v>11.061</v>
      </c>
      <c r="K878">
        <v>0.75</v>
      </c>
      <c r="M878" t="s">
        <v>7854</v>
      </c>
      <c r="N878">
        <v>1539.015</v>
      </c>
      <c r="V878" t="s">
        <v>7862</v>
      </c>
      <c r="W878" t="s">
        <v>7840</v>
      </c>
      <c r="X878" t="s">
        <v>7853</v>
      </c>
      <c r="Y878">
        <v>11.061</v>
      </c>
      <c r="Z878" t="s">
        <v>7925</v>
      </c>
      <c r="AB878">
        <v>0.75</v>
      </c>
    </row>
    <row r="879" spans="1:28">
      <c r="A879" t="s">
        <v>4363</v>
      </c>
      <c r="B879" t="s">
        <v>1323</v>
      </c>
      <c r="C879" t="s">
        <v>4364</v>
      </c>
      <c r="D879" t="s">
        <v>7850</v>
      </c>
      <c r="E879" t="s">
        <v>7839</v>
      </c>
      <c r="F879" t="s">
        <v>7888</v>
      </c>
      <c r="G879" t="s">
        <v>7854</v>
      </c>
      <c r="H879" t="s">
        <v>9</v>
      </c>
      <c r="I879">
        <v>2785.826</v>
      </c>
      <c r="J879">
        <v>6.133</v>
      </c>
      <c r="K879">
        <v>0.1</v>
      </c>
      <c r="M879" t="s">
        <v>7943</v>
      </c>
      <c r="N879">
        <v>274.907</v>
      </c>
      <c r="V879" t="s">
        <v>7850</v>
      </c>
      <c r="W879" t="s">
        <v>7839</v>
      </c>
      <c r="X879" t="s">
        <v>7888</v>
      </c>
      <c r="Y879">
        <v>2785.826</v>
      </c>
      <c r="Z879" t="s">
        <v>7854</v>
      </c>
      <c r="AA879">
        <v>6.133</v>
      </c>
      <c r="AB879">
        <v>0.1</v>
      </c>
    </row>
    <row r="880" spans="1:28">
      <c r="A880" t="s">
        <v>5813</v>
      </c>
      <c r="B880" t="s">
        <v>1241</v>
      </c>
      <c r="C880" t="s">
        <v>3551</v>
      </c>
      <c r="D880" t="s">
        <v>7862</v>
      </c>
      <c r="E880" t="s">
        <v>7839</v>
      </c>
      <c r="F880" t="s">
        <v>7840</v>
      </c>
      <c r="G880" t="s">
        <v>7854</v>
      </c>
      <c r="H880" t="s">
        <v>9</v>
      </c>
      <c r="I880">
        <v>1086.418</v>
      </c>
      <c r="J880">
        <v>50.294</v>
      </c>
      <c r="K880">
        <v>0.07</v>
      </c>
      <c r="M880" t="s">
        <v>8033</v>
      </c>
      <c r="N880">
        <v>12322.782</v>
      </c>
      <c r="V880" t="s">
        <v>7862</v>
      </c>
      <c r="W880" t="s">
        <v>7839</v>
      </c>
      <c r="X880" t="s">
        <v>7840</v>
      </c>
      <c r="Y880">
        <v>1086.418</v>
      </c>
      <c r="Z880" t="s">
        <v>7854</v>
      </c>
      <c r="AA880">
        <v>50.294</v>
      </c>
      <c r="AB880">
        <v>0.07</v>
      </c>
    </row>
    <row r="881" spans="1:28">
      <c r="A881" t="s">
        <v>5118</v>
      </c>
      <c r="B881" t="s">
        <v>1226</v>
      </c>
      <c r="C881" t="s">
        <v>5119</v>
      </c>
      <c r="D881" t="s">
        <v>7850</v>
      </c>
      <c r="E881" t="s">
        <v>7839</v>
      </c>
      <c r="F881" t="s">
        <v>7888</v>
      </c>
      <c r="G881" t="s">
        <v>7854</v>
      </c>
      <c r="H881" t="s">
        <v>9</v>
      </c>
      <c r="I881">
        <v>2141.809</v>
      </c>
      <c r="J881">
        <v>7.556</v>
      </c>
      <c r="K881">
        <v>0.1</v>
      </c>
      <c r="M881" t="s">
        <v>8033</v>
      </c>
      <c r="N881">
        <v>692.159</v>
      </c>
      <c r="V881" t="s">
        <v>7850</v>
      </c>
      <c r="W881" t="s">
        <v>7839</v>
      </c>
      <c r="X881" t="s">
        <v>7888</v>
      </c>
      <c r="Y881">
        <v>2141.809</v>
      </c>
      <c r="Z881" t="s">
        <v>7854</v>
      </c>
      <c r="AA881">
        <v>7.556</v>
      </c>
      <c r="AB881">
        <v>0.1</v>
      </c>
    </row>
    <row r="882" spans="1:28">
      <c r="A882" t="s">
        <v>6136</v>
      </c>
      <c r="B882" t="s">
        <v>6137</v>
      </c>
      <c r="C882" t="s">
        <v>6138</v>
      </c>
      <c r="D882" t="s">
        <v>7862</v>
      </c>
      <c r="E882" t="s">
        <v>7839</v>
      </c>
      <c r="F882" t="s">
        <v>7853</v>
      </c>
      <c r="G882" t="s">
        <v>8092</v>
      </c>
      <c r="H882" t="s">
        <v>9</v>
      </c>
      <c r="I882">
        <v>31.508</v>
      </c>
      <c r="J882">
        <v>99.881</v>
      </c>
      <c r="K882">
        <v>0.15</v>
      </c>
      <c r="M882" t="s">
        <v>7854</v>
      </c>
      <c r="N882">
        <v>1447.22</v>
      </c>
      <c r="V882" t="s">
        <v>7862</v>
      </c>
      <c r="W882" t="s">
        <v>7839</v>
      </c>
      <c r="X882" t="s">
        <v>7853</v>
      </c>
      <c r="Y882">
        <v>31.508</v>
      </c>
      <c r="Z882" t="s">
        <v>8092</v>
      </c>
      <c r="AA882">
        <v>99.881</v>
      </c>
      <c r="AB882">
        <v>0.15</v>
      </c>
    </row>
    <row r="883" spans="1:28">
      <c r="A883" t="s">
        <v>3949</v>
      </c>
      <c r="B883" t="s">
        <v>3950</v>
      </c>
      <c r="C883" t="s">
        <v>3951</v>
      </c>
      <c r="D883" t="s">
        <v>7850</v>
      </c>
      <c r="E883" t="s">
        <v>7839</v>
      </c>
      <c r="F883" t="s">
        <v>7853</v>
      </c>
      <c r="G883" t="s">
        <v>7941</v>
      </c>
      <c r="H883" t="s">
        <v>9</v>
      </c>
      <c r="I883">
        <v>3243.719</v>
      </c>
      <c r="J883">
        <v>7.742</v>
      </c>
      <c r="K883">
        <v>0.1</v>
      </c>
      <c r="M883" t="s">
        <v>7925</v>
      </c>
      <c r="N883">
        <v>11.061</v>
      </c>
      <c r="V883" t="s">
        <v>7850</v>
      </c>
      <c r="W883" t="s">
        <v>7839</v>
      </c>
      <c r="X883" t="s">
        <v>7853</v>
      </c>
      <c r="Y883">
        <v>3243.719</v>
      </c>
      <c r="Z883" t="s">
        <v>7941</v>
      </c>
      <c r="AA883">
        <v>7.742</v>
      </c>
      <c r="AB883">
        <v>0.1</v>
      </c>
    </row>
    <row r="884" spans="1:28">
      <c r="A884" t="s">
        <v>6260</v>
      </c>
      <c r="B884" t="s">
        <v>1226</v>
      </c>
      <c r="C884" t="s">
        <v>6261</v>
      </c>
      <c r="D884" t="s">
        <v>7862</v>
      </c>
      <c r="E884" t="s">
        <v>7839</v>
      </c>
      <c r="F884" t="s">
        <v>7840</v>
      </c>
      <c r="G884" t="s">
        <v>7854</v>
      </c>
      <c r="H884" t="s">
        <v>9</v>
      </c>
      <c r="I884">
        <v>470.914</v>
      </c>
      <c r="J884">
        <v>74.431</v>
      </c>
      <c r="K884">
        <v>0.07</v>
      </c>
      <c r="M884" t="s">
        <v>7854</v>
      </c>
      <c r="N884">
        <v>2785.826</v>
      </c>
      <c r="V884" t="s">
        <v>7862</v>
      </c>
      <c r="W884" t="s">
        <v>7839</v>
      </c>
      <c r="X884" t="s">
        <v>7840</v>
      </c>
      <c r="Y884">
        <v>470.914</v>
      </c>
      <c r="Z884" t="s">
        <v>7854</v>
      </c>
      <c r="AA884">
        <v>74.431</v>
      </c>
      <c r="AB884">
        <v>0.07</v>
      </c>
    </row>
    <row r="885" spans="1:28">
      <c r="A885" t="s">
        <v>6044</v>
      </c>
      <c r="B885" t="s">
        <v>1323</v>
      </c>
      <c r="C885" t="s">
        <v>6045</v>
      </c>
      <c r="D885" t="s">
        <v>7862</v>
      </c>
      <c r="E885" t="s">
        <v>7839</v>
      </c>
      <c r="F885" t="s">
        <v>7888</v>
      </c>
      <c r="G885" t="s">
        <v>7854</v>
      </c>
      <c r="H885" t="s">
        <v>9</v>
      </c>
      <c r="I885">
        <v>715.927</v>
      </c>
      <c r="J885">
        <v>52.966</v>
      </c>
      <c r="K885">
        <v>0.07</v>
      </c>
      <c r="M885" t="s">
        <v>7854</v>
      </c>
      <c r="N885">
        <v>1086.418</v>
      </c>
      <c r="V885" t="s">
        <v>7862</v>
      </c>
      <c r="W885" t="s">
        <v>7839</v>
      </c>
      <c r="X885" t="s">
        <v>7888</v>
      </c>
      <c r="Y885">
        <v>715.927</v>
      </c>
      <c r="Z885" t="s">
        <v>7854</v>
      </c>
      <c r="AA885">
        <v>52.966</v>
      </c>
      <c r="AB885">
        <v>0.07</v>
      </c>
    </row>
    <row r="886" spans="1:28">
      <c r="A886" t="s">
        <v>3167</v>
      </c>
      <c r="B886" t="s">
        <v>3168</v>
      </c>
      <c r="C886" t="s">
        <v>3169</v>
      </c>
      <c r="D886" t="s">
        <v>7864</v>
      </c>
      <c r="E886" t="s">
        <v>7839</v>
      </c>
      <c r="F886" t="s">
        <v>7840</v>
      </c>
      <c r="G886" t="s">
        <v>7858</v>
      </c>
      <c r="H886" t="s">
        <v>9</v>
      </c>
      <c r="I886">
        <v>1327.247</v>
      </c>
      <c r="J886">
        <v>25.957</v>
      </c>
      <c r="K886">
        <v>0.36</v>
      </c>
      <c r="M886" t="s">
        <v>7854</v>
      </c>
      <c r="N886">
        <v>2141.809</v>
      </c>
      <c r="V886" t="s">
        <v>7864</v>
      </c>
      <c r="W886" t="s">
        <v>7839</v>
      </c>
      <c r="X886" t="s">
        <v>7840</v>
      </c>
      <c r="Y886">
        <v>1327.247</v>
      </c>
      <c r="Z886" t="s">
        <v>7858</v>
      </c>
      <c r="AA886">
        <v>25.957</v>
      </c>
      <c r="AB886">
        <v>0.36</v>
      </c>
    </row>
    <row r="887" spans="1:28">
      <c r="A887" t="s">
        <v>6087</v>
      </c>
      <c r="B887" t="s">
        <v>6088</v>
      </c>
      <c r="C887" t="s">
        <v>6089</v>
      </c>
      <c r="D887" t="s">
        <v>7862</v>
      </c>
      <c r="E887" t="s">
        <v>7839</v>
      </c>
      <c r="F887" t="s">
        <v>7853</v>
      </c>
      <c r="G887" t="s">
        <v>7854</v>
      </c>
      <c r="H887" t="s">
        <v>9</v>
      </c>
      <c r="I887">
        <v>17739.369</v>
      </c>
      <c r="J887">
        <v>25.809</v>
      </c>
      <c r="K887">
        <v>0.15</v>
      </c>
      <c r="M887" t="s">
        <v>8092</v>
      </c>
      <c r="N887">
        <v>31.508</v>
      </c>
      <c r="V887" t="s">
        <v>7862</v>
      </c>
      <c r="W887" t="s">
        <v>7839</v>
      </c>
      <c r="X887" t="s">
        <v>7853</v>
      </c>
      <c r="Y887">
        <v>17739.369</v>
      </c>
      <c r="Z887" t="s">
        <v>7854</v>
      </c>
      <c r="AA887">
        <v>25.809</v>
      </c>
      <c r="AB887">
        <v>0.15</v>
      </c>
    </row>
    <row r="888" spans="1:28">
      <c r="A888" t="s">
        <v>4588</v>
      </c>
      <c r="B888" t="s">
        <v>4589</v>
      </c>
      <c r="C888" t="s">
        <v>4590</v>
      </c>
      <c r="D888" t="s">
        <v>7850</v>
      </c>
      <c r="E888" t="s">
        <v>7839</v>
      </c>
      <c r="F888" t="s">
        <v>7840</v>
      </c>
      <c r="G888" t="s">
        <v>7941</v>
      </c>
      <c r="H888" t="s">
        <v>9</v>
      </c>
      <c r="I888">
        <v>2357.594</v>
      </c>
      <c r="J888">
        <v>7.878</v>
      </c>
      <c r="K888">
        <v>0.1</v>
      </c>
      <c r="M888" t="s">
        <v>7941</v>
      </c>
      <c r="N888">
        <v>3243.719</v>
      </c>
      <c r="V888" t="s">
        <v>7850</v>
      </c>
      <c r="W888" t="s">
        <v>7839</v>
      </c>
      <c r="X888" t="s">
        <v>7840</v>
      </c>
      <c r="Y888">
        <v>2357.594</v>
      </c>
      <c r="Z888" t="s">
        <v>7941</v>
      </c>
      <c r="AA888">
        <v>7.878</v>
      </c>
      <c r="AB888">
        <v>0.1</v>
      </c>
    </row>
    <row r="889" spans="1:28">
      <c r="A889" t="s">
        <v>2988</v>
      </c>
      <c r="B889" t="s">
        <v>2989</v>
      </c>
      <c r="C889" t="s">
        <v>2990</v>
      </c>
      <c r="D889" t="s">
        <v>7862</v>
      </c>
      <c r="E889" t="s">
        <v>7839</v>
      </c>
      <c r="F889" t="s">
        <v>7840</v>
      </c>
      <c r="G889" t="s">
        <v>8122</v>
      </c>
      <c r="H889" t="s">
        <v>9</v>
      </c>
      <c r="I889">
        <v>5720.142</v>
      </c>
      <c r="J889">
        <v>6.419</v>
      </c>
      <c r="K889">
        <v>0.14</v>
      </c>
      <c r="M889" t="s">
        <v>7854</v>
      </c>
      <c r="N889">
        <v>470.914</v>
      </c>
      <c r="V889" t="s">
        <v>7862</v>
      </c>
      <c r="W889" t="s">
        <v>7839</v>
      </c>
      <c r="X889" t="s">
        <v>7840</v>
      </c>
      <c r="Y889">
        <v>5720.142</v>
      </c>
      <c r="Z889" t="s">
        <v>8122</v>
      </c>
      <c r="AA889">
        <v>6.419</v>
      </c>
      <c r="AB889">
        <v>0.14</v>
      </c>
    </row>
    <row r="890" spans="1:28">
      <c r="A890" t="s">
        <v>4848</v>
      </c>
      <c r="B890" t="s">
        <v>4849</v>
      </c>
      <c r="C890" t="s">
        <v>4850</v>
      </c>
      <c r="D890" t="s">
        <v>7862</v>
      </c>
      <c r="E890" t="s">
        <v>7839</v>
      </c>
      <c r="F890" t="s">
        <v>7888</v>
      </c>
      <c r="G890" t="s">
        <v>8066</v>
      </c>
      <c r="H890" t="s">
        <v>9</v>
      </c>
      <c r="I890">
        <v>65.1</v>
      </c>
      <c r="J890">
        <v>99.261</v>
      </c>
      <c r="K890">
        <v>0.65</v>
      </c>
      <c r="M890" t="s">
        <v>7854</v>
      </c>
      <c r="N890">
        <v>715.927</v>
      </c>
      <c r="V890" t="s">
        <v>7862</v>
      </c>
      <c r="W890" t="s">
        <v>7839</v>
      </c>
      <c r="X890" t="s">
        <v>7888</v>
      </c>
      <c r="Y890">
        <v>65.1</v>
      </c>
      <c r="Z890" t="s">
        <v>8066</v>
      </c>
      <c r="AA890">
        <v>99.261</v>
      </c>
      <c r="AB890">
        <v>0.65</v>
      </c>
    </row>
    <row r="891" spans="1:28">
      <c r="A891" t="s">
        <v>5793</v>
      </c>
      <c r="B891" t="s">
        <v>5794</v>
      </c>
      <c r="C891" t="s">
        <v>5795</v>
      </c>
      <c r="D891" t="s">
        <v>7862</v>
      </c>
      <c r="E891" t="s">
        <v>7839</v>
      </c>
      <c r="F891" t="s">
        <v>7935</v>
      </c>
      <c r="G891" t="s">
        <v>8092</v>
      </c>
      <c r="H891" t="s">
        <v>9</v>
      </c>
      <c r="I891">
        <v>9.96</v>
      </c>
      <c r="J891">
        <v>99.733</v>
      </c>
      <c r="K891">
        <v>0.15</v>
      </c>
      <c r="M891" t="s">
        <v>7858</v>
      </c>
      <c r="N891">
        <v>1327.247</v>
      </c>
      <c r="V891" t="s">
        <v>7862</v>
      </c>
      <c r="W891" t="s">
        <v>7839</v>
      </c>
      <c r="X891" t="s">
        <v>7935</v>
      </c>
      <c r="Y891">
        <v>9.96</v>
      </c>
      <c r="Z891" t="s">
        <v>8092</v>
      </c>
      <c r="AA891">
        <v>99.733</v>
      </c>
      <c r="AB891">
        <v>0.15</v>
      </c>
    </row>
    <row r="892" spans="1:28">
      <c r="A892" t="s">
        <v>5835</v>
      </c>
      <c r="B892" t="s">
        <v>5836</v>
      </c>
      <c r="C892" t="s">
        <v>5837</v>
      </c>
      <c r="D892" t="s">
        <v>7862</v>
      </c>
      <c r="E892" t="s">
        <v>7839</v>
      </c>
      <c r="F892" t="s">
        <v>7935</v>
      </c>
      <c r="G892" t="s">
        <v>7914</v>
      </c>
      <c r="H892" t="s">
        <v>9</v>
      </c>
      <c r="I892">
        <v>218.335</v>
      </c>
      <c r="J892">
        <v>23.348</v>
      </c>
      <c r="K892">
        <v>0.05</v>
      </c>
      <c r="M892" t="s">
        <v>7854</v>
      </c>
      <c r="N892">
        <v>17739.369</v>
      </c>
      <c r="V892" t="s">
        <v>7862</v>
      </c>
      <c r="W892" t="s">
        <v>7839</v>
      </c>
      <c r="X892" t="s">
        <v>7935</v>
      </c>
      <c r="Y892">
        <v>218.335</v>
      </c>
      <c r="Z892" t="s">
        <v>7914</v>
      </c>
      <c r="AA892">
        <v>23.348</v>
      </c>
      <c r="AB892">
        <v>0.05</v>
      </c>
    </row>
    <row r="893" spans="1:28">
      <c r="A893" t="s">
        <v>2730</v>
      </c>
      <c r="B893" t="s">
        <v>2731</v>
      </c>
      <c r="C893" t="s">
        <v>2732</v>
      </c>
      <c r="D893" t="s">
        <v>7844</v>
      </c>
      <c r="E893" t="s">
        <v>7839</v>
      </c>
      <c r="F893" t="s">
        <v>7935</v>
      </c>
      <c r="G893" t="s">
        <v>8006</v>
      </c>
      <c r="H893" t="s">
        <v>9</v>
      </c>
      <c r="I893">
        <v>6.026</v>
      </c>
      <c r="J893">
        <v>28.851</v>
      </c>
      <c r="K893">
        <v>0.18</v>
      </c>
      <c r="M893" t="s">
        <v>7941</v>
      </c>
      <c r="N893">
        <v>2357.594</v>
      </c>
      <c r="V893" t="s">
        <v>7844</v>
      </c>
      <c r="W893" t="s">
        <v>7839</v>
      </c>
      <c r="X893" t="s">
        <v>7935</v>
      </c>
      <c r="Y893">
        <v>6.026</v>
      </c>
      <c r="Z893" t="s">
        <v>8006</v>
      </c>
      <c r="AA893">
        <v>28.851</v>
      </c>
      <c r="AB893">
        <v>0.18</v>
      </c>
    </row>
    <row r="894" spans="1:28">
      <c r="A894" t="s">
        <v>5860</v>
      </c>
      <c r="B894" t="s">
        <v>5861</v>
      </c>
      <c r="C894" t="s">
        <v>5862</v>
      </c>
      <c r="D894" t="s">
        <v>7862</v>
      </c>
      <c r="E894" t="s">
        <v>7839</v>
      </c>
      <c r="F894" t="s">
        <v>7840</v>
      </c>
      <c r="G894" t="s">
        <v>7860</v>
      </c>
      <c r="H894" t="s">
        <v>9</v>
      </c>
      <c r="I894">
        <v>6.608</v>
      </c>
      <c r="J894">
        <v>99.588</v>
      </c>
      <c r="K894">
        <v>0.29</v>
      </c>
      <c r="M894" t="s">
        <v>8122</v>
      </c>
      <c r="N894">
        <v>5720.142</v>
      </c>
      <c r="V894" t="s">
        <v>7862</v>
      </c>
      <c r="W894" t="s">
        <v>7839</v>
      </c>
      <c r="X894" t="s">
        <v>7840</v>
      </c>
      <c r="Y894">
        <v>6.608</v>
      </c>
      <c r="Z894" t="s">
        <v>7860</v>
      </c>
      <c r="AA894">
        <v>99.588</v>
      </c>
      <c r="AB894">
        <v>0.29</v>
      </c>
    </row>
    <row r="895" spans="1:28">
      <c r="A895" t="s">
        <v>6572</v>
      </c>
      <c r="B895" t="s">
        <v>6573</v>
      </c>
      <c r="C895" t="s">
        <v>6574</v>
      </c>
      <c r="D895" t="s">
        <v>7862</v>
      </c>
      <c r="E895" t="s">
        <v>7839</v>
      </c>
      <c r="F895" t="s">
        <v>7840</v>
      </c>
      <c r="G895" t="s">
        <v>7892</v>
      </c>
      <c r="H895" t="s">
        <v>9</v>
      </c>
      <c r="I895">
        <v>90.858</v>
      </c>
      <c r="J895">
        <v>123.501</v>
      </c>
      <c r="K895">
        <v>0.5</v>
      </c>
      <c r="M895" t="s">
        <v>8066</v>
      </c>
      <c r="N895">
        <v>65.1</v>
      </c>
      <c r="V895" t="s">
        <v>7862</v>
      </c>
      <c r="W895" t="s">
        <v>7839</v>
      </c>
      <c r="X895" t="s">
        <v>7840</v>
      </c>
      <c r="Y895">
        <v>90.858</v>
      </c>
      <c r="Z895" t="s">
        <v>7892</v>
      </c>
      <c r="AA895">
        <v>123.501</v>
      </c>
      <c r="AB895">
        <v>0.5</v>
      </c>
    </row>
    <row r="896" spans="1:28">
      <c r="A896" t="s">
        <v>4143</v>
      </c>
      <c r="B896" t="s">
        <v>4144</v>
      </c>
      <c r="C896" t="s">
        <v>4145</v>
      </c>
      <c r="D896" t="s">
        <v>7864</v>
      </c>
      <c r="E896" t="s">
        <v>7839</v>
      </c>
      <c r="F896" t="s">
        <v>7840</v>
      </c>
      <c r="G896" t="s">
        <v>7944</v>
      </c>
      <c r="H896" t="s">
        <v>9</v>
      </c>
      <c r="I896">
        <v>95.593</v>
      </c>
      <c r="J896">
        <v>23.301</v>
      </c>
      <c r="K896">
        <v>0.39</v>
      </c>
      <c r="M896" t="s">
        <v>8092</v>
      </c>
      <c r="N896">
        <v>9.96</v>
      </c>
      <c r="V896" t="s">
        <v>7864</v>
      </c>
      <c r="W896" t="s">
        <v>7839</v>
      </c>
      <c r="X896" t="s">
        <v>7840</v>
      </c>
      <c r="Y896">
        <v>95.593</v>
      </c>
      <c r="Z896" t="s">
        <v>7944</v>
      </c>
      <c r="AA896">
        <v>23.301</v>
      </c>
      <c r="AB896">
        <v>0.39</v>
      </c>
    </row>
    <row r="897" spans="1:28">
      <c r="A897" t="s">
        <v>4721</v>
      </c>
      <c r="B897" t="s">
        <v>4722</v>
      </c>
      <c r="C897" t="s">
        <v>4723</v>
      </c>
      <c r="D897" t="s">
        <v>7850</v>
      </c>
      <c r="E897" t="s">
        <v>7839</v>
      </c>
      <c r="F897" t="s">
        <v>7935</v>
      </c>
      <c r="G897" t="s">
        <v>8075</v>
      </c>
      <c r="H897" t="s">
        <v>9</v>
      </c>
      <c r="I897">
        <v>32.571</v>
      </c>
      <c r="J897">
        <v>18.439</v>
      </c>
      <c r="K897">
        <v>0.15</v>
      </c>
      <c r="M897" t="s">
        <v>7914</v>
      </c>
      <c r="N897">
        <v>218.335</v>
      </c>
      <c r="V897" t="s">
        <v>7850</v>
      </c>
      <c r="W897" t="s">
        <v>7839</v>
      </c>
      <c r="X897" t="s">
        <v>7935</v>
      </c>
      <c r="Y897">
        <v>32.571</v>
      </c>
      <c r="Z897" t="s">
        <v>8075</v>
      </c>
      <c r="AA897">
        <v>18.439</v>
      </c>
      <c r="AB897">
        <v>0.15</v>
      </c>
    </row>
    <row r="898" spans="1:28">
      <c r="A898" t="s">
        <v>5967</v>
      </c>
      <c r="B898" t="s">
        <v>5968</v>
      </c>
      <c r="C898" t="s">
        <v>5969</v>
      </c>
      <c r="D898" t="s">
        <v>7847</v>
      </c>
      <c r="E898" t="s">
        <v>7839</v>
      </c>
      <c r="F898" t="s">
        <v>7840</v>
      </c>
      <c r="G898" t="s">
        <v>7851</v>
      </c>
      <c r="H898" t="s">
        <v>9</v>
      </c>
      <c r="I898">
        <v>455.915</v>
      </c>
      <c r="J898">
        <v>16.004</v>
      </c>
      <c r="K898">
        <v>0.5</v>
      </c>
      <c r="M898" t="s">
        <v>8006</v>
      </c>
      <c r="N898">
        <v>6.026</v>
      </c>
      <c r="V898" t="s">
        <v>7847</v>
      </c>
      <c r="W898" t="s">
        <v>7839</v>
      </c>
      <c r="X898" t="s">
        <v>7840</v>
      </c>
      <c r="Y898">
        <v>455.915</v>
      </c>
      <c r="Z898" t="s">
        <v>7851</v>
      </c>
      <c r="AA898">
        <v>16.004</v>
      </c>
      <c r="AB898">
        <v>0.5</v>
      </c>
    </row>
    <row r="899" spans="1:28">
      <c r="A899" t="s">
        <v>4610</v>
      </c>
      <c r="B899" t="s">
        <v>4611</v>
      </c>
      <c r="C899" t="s">
        <v>4612</v>
      </c>
      <c r="D899" t="s">
        <v>7847</v>
      </c>
      <c r="E899" t="s">
        <v>7839</v>
      </c>
      <c r="F899" t="s">
        <v>7840</v>
      </c>
      <c r="G899" t="s">
        <v>7860</v>
      </c>
      <c r="H899" t="s">
        <v>9</v>
      </c>
      <c r="I899">
        <v>287.996</v>
      </c>
      <c r="J899">
        <v>12.672</v>
      </c>
      <c r="K899">
        <v>0.39</v>
      </c>
      <c r="M899" t="s">
        <v>7860</v>
      </c>
      <c r="N899">
        <v>6.608</v>
      </c>
      <c r="V899" t="s">
        <v>7847</v>
      </c>
      <c r="W899" t="s">
        <v>7839</v>
      </c>
      <c r="X899" t="s">
        <v>7840</v>
      </c>
      <c r="Y899">
        <v>287.996</v>
      </c>
      <c r="Z899" t="s">
        <v>7860</v>
      </c>
      <c r="AA899">
        <v>12.672</v>
      </c>
      <c r="AB899">
        <v>0.39</v>
      </c>
    </row>
    <row r="900" spans="1:28">
      <c r="A900" t="s">
        <v>4326</v>
      </c>
      <c r="B900" t="s">
        <v>4327</v>
      </c>
      <c r="C900" t="s">
        <v>4328</v>
      </c>
      <c r="D900" t="s">
        <v>7862</v>
      </c>
      <c r="E900" t="s">
        <v>7839</v>
      </c>
      <c r="F900" t="s">
        <v>7853</v>
      </c>
      <c r="G900" t="s">
        <v>7943</v>
      </c>
      <c r="H900" t="s">
        <v>9</v>
      </c>
      <c r="I900">
        <v>1286.295</v>
      </c>
      <c r="J900">
        <v>12.457</v>
      </c>
      <c r="K900">
        <v>0.5</v>
      </c>
      <c r="M900" t="s">
        <v>7892</v>
      </c>
      <c r="N900">
        <v>90.858</v>
      </c>
      <c r="V900" t="s">
        <v>7862</v>
      </c>
      <c r="W900" t="s">
        <v>7839</v>
      </c>
      <c r="X900" t="s">
        <v>7853</v>
      </c>
      <c r="Y900">
        <v>1286.295</v>
      </c>
      <c r="Z900" t="s">
        <v>7943</v>
      </c>
      <c r="AA900">
        <v>12.457</v>
      </c>
      <c r="AB900">
        <v>0.5</v>
      </c>
    </row>
    <row r="901" spans="1:28">
      <c r="A901" t="s">
        <v>5775</v>
      </c>
      <c r="B901" t="s">
        <v>5776</v>
      </c>
      <c r="C901" t="s">
        <v>5777</v>
      </c>
      <c r="D901" t="s">
        <v>7850</v>
      </c>
      <c r="E901" t="s">
        <v>7839</v>
      </c>
      <c r="F901" t="s">
        <v>7840</v>
      </c>
      <c r="G901" t="s">
        <v>7845</v>
      </c>
      <c r="H901" t="s">
        <v>9</v>
      </c>
      <c r="I901">
        <v>636.422</v>
      </c>
      <c r="J901">
        <v>10.824</v>
      </c>
      <c r="K901">
        <v>0.65</v>
      </c>
      <c r="M901" t="s">
        <v>7944</v>
      </c>
      <c r="N901">
        <v>95.593</v>
      </c>
      <c r="V901" t="s">
        <v>7850</v>
      </c>
      <c r="W901" t="s">
        <v>7839</v>
      </c>
      <c r="X901" t="s">
        <v>7840</v>
      </c>
      <c r="Y901">
        <v>636.422</v>
      </c>
      <c r="Z901" t="s">
        <v>7845</v>
      </c>
      <c r="AA901">
        <v>10.824</v>
      </c>
      <c r="AB901">
        <v>0.65</v>
      </c>
    </row>
    <row r="902" spans="1:28">
      <c r="A902" t="s">
        <v>4134</v>
      </c>
      <c r="B902" t="s">
        <v>4135</v>
      </c>
      <c r="C902" t="s">
        <v>4136</v>
      </c>
      <c r="D902" t="s">
        <v>7855</v>
      </c>
      <c r="E902" t="s">
        <v>7839</v>
      </c>
      <c r="F902" t="s">
        <v>7853</v>
      </c>
      <c r="G902" t="s">
        <v>7854</v>
      </c>
      <c r="H902" t="s">
        <v>9</v>
      </c>
      <c r="I902">
        <v>11.594</v>
      </c>
      <c r="J902">
        <v>100</v>
      </c>
      <c r="K902">
        <v>0</v>
      </c>
      <c r="M902" t="s">
        <v>8075</v>
      </c>
      <c r="N902">
        <v>32.571</v>
      </c>
      <c r="V902" t="s">
        <v>7855</v>
      </c>
      <c r="W902" t="s">
        <v>7839</v>
      </c>
      <c r="X902" t="s">
        <v>7853</v>
      </c>
      <c r="Y902">
        <v>11.594</v>
      </c>
      <c r="Z902" t="s">
        <v>7854</v>
      </c>
      <c r="AA902">
        <v>100</v>
      </c>
      <c r="AB902">
        <v>0</v>
      </c>
    </row>
    <row r="903" spans="1:28">
      <c r="A903" t="s">
        <v>5884</v>
      </c>
      <c r="B903" t="s">
        <v>5885</v>
      </c>
      <c r="C903" t="s">
        <v>5886</v>
      </c>
      <c r="D903" t="s">
        <v>7850</v>
      </c>
      <c r="E903" t="s">
        <v>7839</v>
      </c>
      <c r="F903" t="s">
        <v>7840</v>
      </c>
      <c r="G903" t="s">
        <v>7849</v>
      </c>
      <c r="H903" t="s">
        <v>9</v>
      </c>
      <c r="I903">
        <v>99.005</v>
      </c>
      <c r="J903">
        <v>13.779</v>
      </c>
      <c r="K903">
        <v>0.39</v>
      </c>
      <c r="M903" t="s">
        <v>7851</v>
      </c>
      <c r="N903">
        <v>455.915</v>
      </c>
      <c r="V903" t="s">
        <v>7850</v>
      </c>
      <c r="W903" t="s">
        <v>7839</v>
      </c>
      <c r="X903" t="s">
        <v>7840</v>
      </c>
      <c r="Y903">
        <v>99.005</v>
      </c>
      <c r="Z903" t="s">
        <v>7849</v>
      </c>
      <c r="AA903">
        <v>13.779</v>
      </c>
      <c r="AB903">
        <v>0.39</v>
      </c>
    </row>
    <row r="904" spans="1:28">
      <c r="A904" t="s">
        <v>5772</v>
      </c>
      <c r="B904" t="s">
        <v>5773</v>
      </c>
      <c r="C904" t="s">
        <v>5774</v>
      </c>
      <c r="D904" t="s">
        <v>7862</v>
      </c>
      <c r="E904" t="s">
        <v>7839</v>
      </c>
      <c r="F904" t="s">
        <v>7840</v>
      </c>
      <c r="G904" t="s">
        <v>7854</v>
      </c>
      <c r="H904" t="s">
        <v>9</v>
      </c>
      <c r="I904">
        <v>572.344</v>
      </c>
      <c r="J904">
        <v>45.251</v>
      </c>
      <c r="K904">
        <v>0.2</v>
      </c>
      <c r="M904" t="s">
        <v>7860</v>
      </c>
      <c r="N904">
        <v>287.996</v>
      </c>
      <c r="V904" t="s">
        <v>7862</v>
      </c>
      <c r="W904" t="s">
        <v>7839</v>
      </c>
      <c r="X904" t="s">
        <v>7840</v>
      </c>
      <c r="Y904">
        <v>572.344</v>
      </c>
      <c r="Z904" t="s">
        <v>7854</v>
      </c>
      <c r="AA904">
        <v>45.251</v>
      </c>
      <c r="AB904">
        <v>0.2</v>
      </c>
    </row>
    <row r="905" spans="1:28">
      <c r="A905" t="s">
        <v>5205</v>
      </c>
      <c r="B905" t="s">
        <v>5206</v>
      </c>
      <c r="C905" t="s">
        <v>5207</v>
      </c>
      <c r="D905" t="s">
        <v>7850</v>
      </c>
      <c r="E905" t="s">
        <v>7839</v>
      </c>
      <c r="F905" t="s">
        <v>7853</v>
      </c>
      <c r="G905" t="s">
        <v>8075</v>
      </c>
      <c r="H905" t="s">
        <v>9</v>
      </c>
      <c r="I905">
        <v>30.013</v>
      </c>
      <c r="J905">
        <v>14.983</v>
      </c>
      <c r="K905">
        <v>0.15</v>
      </c>
      <c r="M905" t="s">
        <v>7943</v>
      </c>
      <c r="N905">
        <v>1286.295</v>
      </c>
      <c r="V905" t="s">
        <v>7850</v>
      </c>
      <c r="W905" t="s">
        <v>7839</v>
      </c>
      <c r="X905" t="s">
        <v>7853</v>
      </c>
      <c r="Y905">
        <v>30.013</v>
      </c>
      <c r="Z905" t="s">
        <v>8075</v>
      </c>
      <c r="AA905">
        <v>14.983</v>
      </c>
      <c r="AB905">
        <v>0.15</v>
      </c>
    </row>
    <row r="906" spans="1:28">
      <c r="A906" t="s">
        <v>3299</v>
      </c>
      <c r="B906" t="s">
        <v>3300</v>
      </c>
      <c r="C906" t="s">
        <v>3301</v>
      </c>
      <c r="D906" t="s">
        <v>7864</v>
      </c>
      <c r="E906" t="s">
        <v>7839</v>
      </c>
      <c r="F906" t="s">
        <v>7840</v>
      </c>
      <c r="G906" t="s">
        <v>8070</v>
      </c>
      <c r="H906" t="s">
        <v>9</v>
      </c>
      <c r="I906">
        <v>146.289</v>
      </c>
      <c r="J906">
        <v>23.001</v>
      </c>
      <c r="K906">
        <v>0.25</v>
      </c>
      <c r="M906" t="s">
        <v>7845</v>
      </c>
      <c r="N906">
        <v>636.422</v>
      </c>
      <c r="V906" t="s">
        <v>7864</v>
      </c>
      <c r="W906" t="s">
        <v>7839</v>
      </c>
      <c r="X906" t="s">
        <v>7840</v>
      </c>
      <c r="Y906">
        <v>146.289</v>
      </c>
      <c r="Z906" t="s">
        <v>8070</v>
      </c>
      <c r="AA906">
        <v>23.001</v>
      </c>
      <c r="AB906">
        <v>0.25</v>
      </c>
    </row>
    <row r="907" spans="1:28">
      <c r="A907" t="s">
        <v>144</v>
      </c>
      <c r="B907" t="s">
        <v>145</v>
      </c>
      <c r="C907" t="s">
        <v>146</v>
      </c>
      <c r="D907" t="s">
        <v>7850</v>
      </c>
      <c r="E907" t="s">
        <v>7839</v>
      </c>
      <c r="F907" t="s">
        <v>7840</v>
      </c>
      <c r="G907" t="s">
        <v>7852</v>
      </c>
      <c r="H907" t="s">
        <v>9</v>
      </c>
      <c r="I907">
        <v>401.523</v>
      </c>
      <c r="J907">
        <v>2.583</v>
      </c>
      <c r="K907">
        <v>0.5</v>
      </c>
      <c r="M907" t="s">
        <v>7854</v>
      </c>
      <c r="N907">
        <v>11.594</v>
      </c>
      <c r="V907" t="s">
        <v>7850</v>
      </c>
      <c r="W907" t="s">
        <v>7839</v>
      </c>
      <c r="X907" t="s">
        <v>7840</v>
      </c>
      <c r="Y907">
        <v>401.523</v>
      </c>
      <c r="Z907" t="s">
        <v>7852</v>
      </c>
      <c r="AA907">
        <v>2.583</v>
      </c>
      <c r="AB907">
        <v>0.5</v>
      </c>
    </row>
    <row r="908" spans="1:28">
      <c r="A908" t="s">
        <v>5228</v>
      </c>
      <c r="B908" t="s">
        <v>5229</v>
      </c>
      <c r="C908" t="s">
        <v>5230</v>
      </c>
      <c r="D908" t="s">
        <v>7862</v>
      </c>
      <c r="E908" t="s">
        <v>7839</v>
      </c>
      <c r="F908" t="s">
        <v>7840</v>
      </c>
      <c r="G908" t="s">
        <v>8034</v>
      </c>
      <c r="H908" t="s">
        <v>9</v>
      </c>
      <c r="I908">
        <v>64.297</v>
      </c>
      <c r="J908">
        <v>13.291</v>
      </c>
      <c r="K908">
        <v>0.39</v>
      </c>
      <c r="M908" t="s">
        <v>7849</v>
      </c>
      <c r="N908">
        <v>99.005</v>
      </c>
      <c r="V908" t="s">
        <v>7862</v>
      </c>
      <c r="W908" t="s">
        <v>7839</v>
      </c>
      <c r="X908" t="s">
        <v>7840</v>
      </c>
      <c r="Y908">
        <v>64.297</v>
      </c>
      <c r="Z908" t="s">
        <v>8034</v>
      </c>
      <c r="AA908">
        <v>13.291</v>
      </c>
      <c r="AB908">
        <v>0.39</v>
      </c>
    </row>
    <row r="909" spans="1:28">
      <c r="A909" t="s">
        <v>2676</v>
      </c>
      <c r="B909" t="s">
        <v>2677</v>
      </c>
      <c r="C909" t="s">
        <v>2678</v>
      </c>
      <c r="D909" t="s">
        <v>7846</v>
      </c>
      <c r="E909" t="s">
        <v>7839</v>
      </c>
      <c r="F909" t="s">
        <v>7840</v>
      </c>
      <c r="G909" t="s">
        <v>8113</v>
      </c>
      <c r="H909" t="s">
        <v>9</v>
      </c>
      <c r="I909">
        <v>173.184</v>
      </c>
      <c r="J909">
        <v>23.323</v>
      </c>
      <c r="K909">
        <v>0.49</v>
      </c>
      <c r="M909" t="s">
        <v>7854</v>
      </c>
      <c r="N909">
        <v>572.344</v>
      </c>
      <c r="V909" t="s">
        <v>7846</v>
      </c>
      <c r="W909" t="s">
        <v>7839</v>
      </c>
      <c r="X909" t="s">
        <v>7840</v>
      </c>
      <c r="Y909">
        <v>173.184</v>
      </c>
      <c r="Z909" t="s">
        <v>8113</v>
      </c>
      <c r="AA909">
        <v>23.323</v>
      </c>
      <c r="AB909">
        <v>0.49</v>
      </c>
    </row>
    <row r="910" spans="1:28">
      <c r="A910" t="s">
        <v>5976</v>
      </c>
      <c r="B910" t="s">
        <v>5977</v>
      </c>
      <c r="C910" t="s">
        <v>5978</v>
      </c>
      <c r="D910" t="s">
        <v>7847</v>
      </c>
      <c r="E910" t="s">
        <v>7839</v>
      </c>
      <c r="F910" t="s">
        <v>7853</v>
      </c>
      <c r="G910" t="s">
        <v>8017</v>
      </c>
      <c r="H910" t="s">
        <v>9</v>
      </c>
      <c r="I910">
        <v>76.976</v>
      </c>
      <c r="J910">
        <v>55.266</v>
      </c>
      <c r="K910">
        <v>0.2</v>
      </c>
      <c r="M910" t="s">
        <v>8075</v>
      </c>
      <c r="N910">
        <v>30.013</v>
      </c>
      <c r="V910" t="s">
        <v>7847</v>
      </c>
      <c r="W910" t="s">
        <v>7839</v>
      </c>
      <c r="X910" t="s">
        <v>7853</v>
      </c>
      <c r="Y910">
        <v>76.976</v>
      </c>
      <c r="Z910" t="s">
        <v>8017</v>
      </c>
      <c r="AA910">
        <v>55.266</v>
      </c>
      <c r="AB910">
        <v>0.2</v>
      </c>
    </row>
    <row r="911" spans="1:28">
      <c r="A911" t="s">
        <v>4029</v>
      </c>
      <c r="B911" t="s">
        <v>4030</v>
      </c>
      <c r="C911" t="s">
        <v>4031</v>
      </c>
      <c r="D911" t="s">
        <v>7862</v>
      </c>
      <c r="E911" t="s">
        <v>7839</v>
      </c>
      <c r="F911" t="s">
        <v>7840</v>
      </c>
      <c r="G911" t="s">
        <v>7852</v>
      </c>
      <c r="H911" t="s">
        <v>9</v>
      </c>
      <c r="I911">
        <v>233.509</v>
      </c>
      <c r="J911">
        <v>7.865</v>
      </c>
      <c r="K911">
        <v>0.23</v>
      </c>
      <c r="M911" t="s">
        <v>8070</v>
      </c>
      <c r="N911">
        <v>146.289</v>
      </c>
      <c r="V911" t="s">
        <v>7862</v>
      </c>
      <c r="W911" t="s">
        <v>7839</v>
      </c>
      <c r="X911" t="s">
        <v>7840</v>
      </c>
      <c r="Y911">
        <v>233.509</v>
      </c>
      <c r="Z911" t="s">
        <v>7852</v>
      </c>
      <c r="AA911">
        <v>7.865</v>
      </c>
      <c r="AB911">
        <v>0.23</v>
      </c>
    </row>
    <row r="912" spans="1:28">
      <c r="A912" t="s">
        <v>5911</v>
      </c>
      <c r="B912" t="s">
        <v>5912</v>
      </c>
      <c r="C912" t="s">
        <v>5913</v>
      </c>
      <c r="D912" t="s">
        <v>7847</v>
      </c>
      <c r="E912" t="s">
        <v>7839</v>
      </c>
      <c r="F912" t="s">
        <v>7853</v>
      </c>
      <c r="G912" t="s">
        <v>7952</v>
      </c>
      <c r="H912" t="s">
        <v>9</v>
      </c>
      <c r="I912">
        <v>498.211</v>
      </c>
      <c r="J912">
        <v>25.377</v>
      </c>
      <c r="K912">
        <v>0.41</v>
      </c>
      <c r="M912" t="s">
        <v>7852</v>
      </c>
      <c r="N912">
        <v>401.523</v>
      </c>
      <c r="V912" t="s">
        <v>7847</v>
      </c>
      <c r="W912" t="s">
        <v>7839</v>
      </c>
      <c r="X912" t="s">
        <v>7853</v>
      </c>
      <c r="Y912">
        <v>498.211</v>
      </c>
      <c r="Z912" t="s">
        <v>7952</v>
      </c>
      <c r="AA912">
        <v>25.377</v>
      </c>
      <c r="AB912">
        <v>0.41</v>
      </c>
    </row>
    <row r="913" spans="1:28">
      <c r="A913" t="s">
        <v>7004</v>
      </c>
      <c r="B913" t="s">
        <v>7005</v>
      </c>
      <c r="C913" t="s">
        <v>7006</v>
      </c>
      <c r="D913" t="s">
        <v>7862</v>
      </c>
      <c r="E913" t="s">
        <v>7839</v>
      </c>
      <c r="F913" t="s">
        <v>7853</v>
      </c>
      <c r="G913" t="s">
        <v>7892</v>
      </c>
      <c r="H913" t="s">
        <v>9</v>
      </c>
      <c r="I913">
        <v>82.7</v>
      </c>
      <c r="J913">
        <v>390</v>
      </c>
      <c r="K913">
        <v>0.25</v>
      </c>
      <c r="M913" t="s">
        <v>8034</v>
      </c>
      <c r="N913">
        <v>64.297</v>
      </c>
      <c r="V913" t="s">
        <v>7862</v>
      </c>
      <c r="W913" t="s">
        <v>7839</v>
      </c>
      <c r="X913" t="s">
        <v>7853</v>
      </c>
      <c r="Y913">
        <v>82.7</v>
      </c>
      <c r="Z913" t="s">
        <v>7892</v>
      </c>
      <c r="AA913">
        <v>390</v>
      </c>
      <c r="AB913">
        <v>0.25</v>
      </c>
    </row>
    <row r="914" spans="1:28">
      <c r="A914" t="s">
        <v>5617</v>
      </c>
      <c r="B914" t="s">
        <v>5618</v>
      </c>
      <c r="C914" t="s">
        <v>5619</v>
      </c>
      <c r="D914" t="s">
        <v>7850</v>
      </c>
      <c r="E914" t="s">
        <v>7839</v>
      </c>
      <c r="F914" t="s">
        <v>7853</v>
      </c>
      <c r="G914" t="s">
        <v>8075</v>
      </c>
      <c r="H914" t="s">
        <v>9</v>
      </c>
      <c r="I914">
        <v>27.453</v>
      </c>
      <c r="J914">
        <v>19.618</v>
      </c>
      <c r="K914">
        <v>0.15</v>
      </c>
      <c r="M914" t="s">
        <v>8113</v>
      </c>
      <c r="N914">
        <v>173.184</v>
      </c>
      <c r="V914" t="s">
        <v>7850</v>
      </c>
      <c r="W914" t="s">
        <v>7839</v>
      </c>
      <c r="X914" t="s">
        <v>7853</v>
      </c>
      <c r="Y914">
        <v>27.453</v>
      </c>
      <c r="Z914" t="s">
        <v>8075</v>
      </c>
      <c r="AA914">
        <v>19.618</v>
      </c>
      <c r="AB914">
        <v>0.15</v>
      </c>
    </row>
    <row r="915" spans="1:28">
      <c r="A915" t="s">
        <v>7228</v>
      </c>
      <c r="B915" t="s">
        <v>7229</v>
      </c>
      <c r="C915" t="s">
        <v>7230</v>
      </c>
      <c r="D915" t="s">
        <v>7862</v>
      </c>
      <c r="E915" t="s">
        <v>7848</v>
      </c>
      <c r="F915" t="s">
        <v>7853</v>
      </c>
      <c r="G915" t="s">
        <v>7889</v>
      </c>
      <c r="H915" t="s">
        <v>9</v>
      </c>
      <c r="I915">
        <v>45.873</v>
      </c>
      <c r="J915">
        <v>31.034</v>
      </c>
      <c r="K915">
        <v>0.75</v>
      </c>
      <c r="M915" t="s">
        <v>8017</v>
      </c>
      <c r="N915">
        <v>76.976</v>
      </c>
      <c r="V915" t="s">
        <v>7862</v>
      </c>
      <c r="W915" t="s">
        <v>7848</v>
      </c>
      <c r="X915" t="s">
        <v>7853</v>
      </c>
      <c r="Y915">
        <v>45.873</v>
      </c>
      <c r="Z915" t="s">
        <v>7889</v>
      </c>
      <c r="AA915">
        <v>31.034</v>
      </c>
      <c r="AB915">
        <v>0.75</v>
      </c>
    </row>
    <row r="916" spans="1:28">
      <c r="A916" t="s">
        <v>5955</v>
      </c>
      <c r="B916" t="s">
        <v>5956</v>
      </c>
      <c r="C916" t="s">
        <v>5957</v>
      </c>
      <c r="D916" t="s">
        <v>7844</v>
      </c>
      <c r="E916" t="s">
        <v>7839</v>
      </c>
      <c r="F916" t="s">
        <v>7840</v>
      </c>
      <c r="G916" t="s">
        <v>7943</v>
      </c>
      <c r="H916" t="s">
        <v>9</v>
      </c>
      <c r="I916">
        <v>32.302</v>
      </c>
      <c r="J916">
        <v>32.243</v>
      </c>
      <c r="K916">
        <v>0.25</v>
      </c>
      <c r="M916" t="s">
        <v>7852</v>
      </c>
      <c r="N916">
        <v>233.509</v>
      </c>
      <c r="V916" t="s">
        <v>7844</v>
      </c>
      <c r="W916" t="s">
        <v>7839</v>
      </c>
      <c r="X916" t="s">
        <v>7840</v>
      </c>
      <c r="Y916">
        <v>32.302</v>
      </c>
      <c r="Z916" t="s">
        <v>7943</v>
      </c>
      <c r="AA916">
        <v>32.243</v>
      </c>
      <c r="AB916">
        <v>0.25</v>
      </c>
    </row>
    <row r="917" spans="1:28">
      <c r="A917" t="s">
        <v>6435</v>
      </c>
      <c r="B917" t="s">
        <v>6436</v>
      </c>
      <c r="C917" t="s">
        <v>6437</v>
      </c>
      <c r="D917" t="s">
        <v>7859</v>
      </c>
      <c r="E917" t="s">
        <v>7840</v>
      </c>
      <c r="F917" t="s">
        <v>7840</v>
      </c>
      <c r="G917" t="s">
        <v>7956</v>
      </c>
      <c r="H917" t="s">
        <v>9</v>
      </c>
      <c r="I917">
        <v>161.054</v>
      </c>
      <c r="K917">
        <v>0</v>
      </c>
      <c r="M917" t="s">
        <v>7952</v>
      </c>
      <c r="N917">
        <v>498.211</v>
      </c>
      <c r="V917" t="s">
        <v>7859</v>
      </c>
      <c r="W917" t="s">
        <v>7840</v>
      </c>
      <c r="X917" t="s">
        <v>7840</v>
      </c>
      <c r="Y917">
        <v>161.054</v>
      </c>
      <c r="Z917" t="s">
        <v>7956</v>
      </c>
      <c r="AB917">
        <v>0</v>
      </c>
    </row>
    <row r="918" spans="1:28">
      <c r="A918" t="s">
        <v>5929</v>
      </c>
      <c r="B918" t="s">
        <v>5930</v>
      </c>
      <c r="C918" t="s">
        <v>5931</v>
      </c>
      <c r="D918" t="s">
        <v>7850</v>
      </c>
      <c r="E918" t="s">
        <v>7840</v>
      </c>
      <c r="F918" t="s">
        <v>7840</v>
      </c>
      <c r="G918" t="s">
        <v>7925</v>
      </c>
      <c r="H918" t="s">
        <v>9</v>
      </c>
      <c r="I918">
        <v>47.175</v>
      </c>
      <c r="K918">
        <v>0.75</v>
      </c>
      <c r="M918" t="s">
        <v>7892</v>
      </c>
      <c r="N918">
        <v>82.7</v>
      </c>
      <c r="V918" t="s">
        <v>7850</v>
      </c>
      <c r="W918" t="s">
        <v>7840</v>
      </c>
      <c r="X918" t="s">
        <v>7840</v>
      </c>
      <c r="Y918">
        <v>47.175</v>
      </c>
      <c r="Z918" t="s">
        <v>7925</v>
      </c>
      <c r="AB918">
        <v>0.75</v>
      </c>
    </row>
    <row r="919" spans="1:28">
      <c r="A919" t="s">
        <v>6657</v>
      </c>
      <c r="B919" t="s">
        <v>6658</v>
      </c>
      <c r="C919" t="s">
        <v>6659</v>
      </c>
      <c r="D919" t="s">
        <v>7862</v>
      </c>
      <c r="E919" t="s">
        <v>7839</v>
      </c>
      <c r="F919" t="s">
        <v>7935</v>
      </c>
      <c r="G919" t="s">
        <v>8022</v>
      </c>
      <c r="H919" t="s">
        <v>9</v>
      </c>
      <c r="I919">
        <v>4.413</v>
      </c>
      <c r="J919">
        <v>98.612</v>
      </c>
      <c r="K919">
        <v>0.25</v>
      </c>
      <c r="M919" t="s">
        <v>8075</v>
      </c>
      <c r="N919">
        <v>27.453</v>
      </c>
      <c r="V919" t="s">
        <v>7862</v>
      </c>
      <c r="W919" t="s">
        <v>7839</v>
      </c>
      <c r="X919" t="s">
        <v>7935</v>
      </c>
      <c r="Y919">
        <v>4.413</v>
      </c>
      <c r="Z919" t="s">
        <v>8022</v>
      </c>
      <c r="AA919">
        <v>98.612</v>
      </c>
      <c r="AB919">
        <v>0.25</v>
      </c>
    </row>
    <row r="920" spans="1:28">
      <c r="A920" t="s">
        <v>5807</v>
      </c>
      <c r="B920" t="s">
        <v>5808</v>
      </c>
      <c r="C920" t="s">
        <v>5809</v>
      </c>
      <c r="D920" t="s">
        <v>7862</v>
      </c>
      <c r="E920" t="s">
        <v>7839</v>
      </c>
      <c r="F920" t="s">
        <v>7840</v>
      </c>
      <c r="G920" t="s">
        <v>8102</v>
      </c>
      <c r="H920" t="s">
        <v>9</v>
      </c>
      <c r="I920">
        <v>2.614</v>
      </c>
      <c r="J920">
        <v>71.615</v>
      </c>
      <c r="K920">
        <v>0.25</v>
      </c>
      <c r="M920" t="s">
        <v>7889</v>
      </c>
      <c r="N920">
        <v>45.873</v>
      </c>
      <c r="V920" t="s">
        <v>7862</v>
      </c>
      <c r="W920" t="s">
        <v>7839</v>
      </c>
      <c r="X920" t="s">
        <v>7840</v>
      </c>
      <c r="Y920">
        <v>2.614</v>
      </c>
      <c r="Z920" t="s">
        <v>8102</v>
      </c>
      <c r="AA920">
        <v>71.615</v>
      </c>
      <c r="AB920">
        <v>0.25</v>
      </c>
    </row>
    <row r="921" spans="1:28">
      <c r="A921" t="s">
        <v>155</v>
      </c>
      <c r="B921" t="s">
        <v>156</v>
      </c>
      <c r="C921" t="s">
        <v>157</v>
      </c>
      <c r="D921" t="s">
        <v>7862</v>
      </c>
      <c r="E921" t="s">
        <v>7839</v>
      </c>
      <c r="F921" t="s">
        <v>7935</v>
      </c>
      <c r="G921" t="s">
        <v>7854</v>
      </c>
      <c r="H921" t="s">
        <v>9</v>
      </c>
      <c r="I921">
        <v>657.878</v>
      </c>
      <c r="J921">
        <v>17.229</v>
      </c>
      <c r="K921">
        <v>0.35</v>
      </c>
      <c r="M921" t="s">
        <v>7943</v>
      </c>
      <c r="N921">
        <v>32.302</v>
      </c>
      <c r="V921" t="s">
        <v>7862</v>
      </c>
      <c r="W921" t="s">
        <v>7839</v>
      </c>
      <c r="X921" t="s">
        <v>7935</v>
      </c>
      <c r="Y921">
        <v>657.878</v>
      </c>
      <c r="Z921" t="s">
        <v>7854</v>
      </c>
      <c r="AA921">
        <v>17.229</v>
      </c>
      <c r="AB921">
        <v>0.35</v>
      </c>
    </row>
    <row r="922" spans="1:28">
      <c r="A922" t="s">
        <v>129</v>
      </c>
      <c r="B922" t="s">
        <v>130</v>
      </c>
      <c r="C922" t="s">
        <v>131</v>
      </c>
      <c r="D922" t="s">
        <v>7862</v>
      </c>
      <c r="E922" t="s">
        <v>7839</v>
      </c>
      <c r="F922" t="s">
        <v>7935</v>
      </c>
      <c r="G922" t="s">
        <v>7852</v>
      </c>
      <c r="H922" t="s">
        <v>9</v>
      </c>
      <c r="I922">
        <v>340.858</v>
      </c>
      <c r="J922">
        <v>11.734</v>
      </c>
      <c r="K922">
        <v>0.35</v>
      </c>
      <c r="M922" t="s">
        <v>7956</v>
      </c>
      <c r="N922">
        <v>161.054</v>
      </c>
      <c r="V922" t="s">
        <v>7862</v>
      </c>
      <c r="W922" t="s">
        <v>7839</v>
      </c>
      <c r="X922" t="s">
        <v>7935</v>
      </c>
      <c r="Y922">
        <v>340.858</v>
      </c>
      <c r="Z922" t="s">
        <v>7852</v>
      </c>
      <c r="AA922">
        <v>11.734</v>
      </c>
      <c r="AB922">
        <v>0.35</v>
      </c>
    </row>
    <row r="923" spans="1:28">
      <c r="A923" t="s">
        <v>6585</v>
      </c>
      <c r="B923" t="s">
        <v>5903</v>
      </c>
      <c r="C923" t="s">
        <v>6586</v>
      </c>
      <c r="D923" t="s">
        <v>7862</v>
      </c>
      <c r="E923" t="s">
        <v>7839</v>
      </c>
      <c r="F923" t="s">
        <v>7840</v>
      </c>
      <c r="G923" t="s">
        <v>7905</v>
      </c>
      <c r="H923" t="s">
        <v>9</v>
      </c>
      <c r="I923">
        <v>41.867</v>
      </c>
      <c r="J923">
        <v>18.672</v>
      </c>
      <c r="K923">
        <v>0.39</v>
      </c>
      <c r="M923" t="s">
        <v>7925</v>
      </c>
      <c r="N923">
        <v>47.175</v>
      </c>
      <c r="V923" t="s">
        <v>7862</v>
      </c>
      <c r="W923" t="s">
        <v>7839</v>
      </c>
      <c r="X923" t="s">
        <v>7840</v>
      </c>
      <c r="Y923">
        <v>41.867</v>
      </c>
      <c r="Z923" t="s">
        <v>7905</v>
      </c>
      <c r="AA923">
        <v>18.672</v>
      </c>
      <c r="AB923">
        <v>0.39</v>
      </c>
    </row>
    <row r="924" spans="1:28">
      <c r="A924" t="s">
        <v>234</v>
      </c>
      <c r="B924" t="s">
        <v>235</v>
      </c>
      <c r="C924" t="s">
        <v>236</v>
      </c>
      <c r="D924" t="s">
        <v>7862</v>
      </c>
      <c r="E924" t="s">
        <v>7839</v>
      </c>
      <c r="F924" t="s">
        <v>7840</v>
      </c>
      <c r="G924" t="s">
        <v>7852</v>
      </c>
      <c r="H924" t="s">
        <v>9</v>
      </c>
      <c r="I924">
        <v>1282.305</v>
      </c>
      <c r="J924">
        <v>2.87</v>
      </c>
      <c r="K924">
        <v>0.35</v>
      </c>
      <c r="M924" t="s">
        <v>8022</v>
      </c>
      <c r="N924">
        <v>4.413</v>
      </c>
      <c r="V924" t="s">
        <v>7862</v>
      </c>
      <c r="W924" t="s">
        <v>7839</v>
      </c>
      <c r="X924" t="s">
        <v>7840</v>
      </c>
      <c r="Y924">
        <v>1282.305</v>
      </c>
      <c r="Z924" t="s">
        <v>7852</v>
      </c>
      <c r="AA924">
        <v>2.87</v>
      </c>
      <c r="AB924">
        <v>0.35</v>
      </c>
    </row>
    <row r="925" spans="1:28">
      <c r="A925" t="s">
        <v>6501</v>
      </c>
      <c r="B925" t="s">
        <v>6502</v>
      </c>
      <c r="C925" t="s">
        <v>6503</v>
      </c>
      <c r="D925" t="s">
        <v>7847</v>
      </c>
      <c r="E925" t="s">
        <v>7839</v>
      </c>
      <c r="F925" t="s">
        <v>7853</v>
      </c>
      <c r="G925" t="s">
        <v>8017</v>
      </c>
      <c r="H925" t="s">
        <v>9</v>
      </c>
      <c r="I925">
        <v>52.041</v>
      </c>
      <c r="J925">
        <v>20.514</v>
      </c>
      <c r="K925">
        <v>0.25</v>
      </c>
      <c r="M925" t="s">
        <v>8102</v>
      </c>
      <c r="N925">
        <v>2.614</v>
      </c>
      <c r="V925" t="s">
        <v>7847</v>
      </c>
      <c r="W925" t="s">
        <v>7839</v>
      </c>
      <c r="X925" t="s">
        <v>7853</v>
      </c>
      <c r="Y925">
        <v>52.041</v>
      </c>
      <c r="Z925" t="s">
        <v>8017</v>
      </c>
      <c r="AA925">
        <v>20.514</v>
      </c>
      <c r="AB925">
        <v>0.25</v>
      </c>
    </row>
    <row r="926" spans="1:28">
      <c r="A926" t="s">
        <v>5030</v>
      </c>
      <c r="B926" t="s">
        <v>5031</v>
      </c>
      <c r="C926" t="s">
        <v>5032</v>
      </c>
      <c r="D926" t="s">
        <v>7850</v>
      </c>
      <c r="E926" t="s">
        <v>7839</v>
      </c>
      <c r="F926" t="s">
        <v>7853</v>
      </c>
      <c r="G926" t="s">
        <v>8068</v>
      </c>
      <c r="H926" t="s">
        <v>9</v>
      </c>
      <c r="I926">
        <v>460.019</v>
      </c>
      <c r="J926">
        <v>21.282</v>
      </c>
      <c r="K926">
        <v>0.3</v>
      </c>
      <c r="M926" t="s">
        <v>7854</v>
      </c>
      <c r="N926">
        <v>657.878</v>
      </c>
      <c r="V926" t="s">
        <v>7850</v>
      </c>
      <c r="W926" t="s">
        <v>7839</v>
      </c>
      <c r="X926" t="s">
        <v>7853</v>
      </c>
      <c r="Y926">
        <v>460.019</v>
      </c>
      <c r="Z926" t="s">
        <v>8068</v>
      </c>
      <c r="AA926">
        <v>21.282</v>
      </c>
      <c r="AB926">
        <v>0.3</v>
      </c>
    </row>
    <row r="927" spans="1:28">
      <c r="A927" t="s">
        <v>6257</v>
      </c>
      <c r="B927" t="s">
        <v>6258</v>
      </c>
      <c r="C927" t="s">
        <v>6259</v>
      </c>
      <c r="D927" t="s">
        <v>7862</v>
      </c>
      <c r="E927" t="s">
        <v>7840</v>
      </c>
      <c r="F927" t="s">
        <v>7888</v>
      </c>
      <c r="G927" t="s">
        <v>7925</v>
      </c>
      <c r="H927" t="s">
        <v>9</v>
      </c>
      <c r="I927">
        <v>65.81</v>
      </c>
      <c r="K927">
        <v>0.75</v>
      </c>
      <c r="M927" t="s">
        <v>7852</v>
      </c>
      <c r="N927">
        <v>340.858</v>
      </c>
      <c r="V927" t="s">
        <v>7862</v>
      </c>
      <c r="W927" t="s">
        <v>7840</v>
      </c>
      <c r="X927" t="s">
        <v>7888</v>
      </c>
      <c r="Y927">
        <v>65.81</v>
      </c>
      <c r="Z927" t="s">
        <v>7925</v>
      </c>
      <c r="AB927">
        <v>0.75</v>
      </c>
    </row>
    <row r="928" spans="1:28">
      <c r="A928" t="s">
        <v>6962</v>
      </c>
      <c r="B928" t="s">
        <v>6963</v>
      </c>
      <c r="C928" t="s">
        <v>6964</v>
      </c>
      <c r="D928" t="s">
        <v>7862</v>
      </c>
      <c r="E928" t="s">
        <v>7839</v>
      </c>
      <c r="F928" t="s">
        <v>7840</v>
      </c>
      <c r="G928" t="s">
        <v>7892</v>
      </c>
      <c r="H928" t="s">
        <v>9</v>
      </c>
      <c r="I928">
        <v>667.207</v>
      </c>
      <c r="J928">
        <v>622.829</v>
      </c>
      <c r="K928">
        <v>0.25</v>
      </c>
      <c r="M928" t="s">
        <v>7905</v>
      </c>
      <c r="N928">
        <v>41.867</v>
      </c>
      <c r="V928" t="s">
        <v>7862</v>
      </c>
      <c r="W928" t="s">
        <v>7839</v>
      </c>
      <c r="X928" t="s">
        <v>7840</v>
      </c>
      <c r="Y928">
        <v>667.207</v>
      </c>
      <c r="Z928" t="s">
        <v>7892</v>
      </c>
      <c r="AA928">
        <v>622.829</v>
      </c>
      <c r="AB928">
        <v>0.25</v>
      </c>
    </row>
    <row r="929" spans="1:28">
      <c r="A929" t="s">
        <v>6910</v>
      </c>
      <c r="B929" t="s">
        <v>6911</v>
      </c>
      <c r="C929" t="s">
        <v>6912</v>
      </c>
      <c r="D929" t="s">
        <v>7862</v>
      </c>
      <c r="E929" t="s">
        <v>7839</v>
      </c>
      <c r="F929" t="s">
        <v>7853</v>
      </c>
      <c r="G929" t="s">
        <v>7874</v>
      </c>
      <c r="H929" t="s">
        <v>9</v>
      </c>
      <c r="I929">
        <v>153.826</v>
      </c>
      <c r="J929">
        <v>94.977</v>
      </c>
      <c r="K929">
        <v>0.59</v>
      </c>
      <c r="M929" t="s">
        <v>7852</v>
      </c>
      <c r="N929">
        <v>1282.305</v>
      </c>
      <c r="V929" t="s">
        <v>7862</v>
      </c>
      <c r="W929" t="s">
        <v>7839</v>
      </c>
      <c r="X929" t="s">
        <v>7853</v>
      </c>
      <c r="Y929">
        <v>153.826</v>
      </c>
      <c r="Z929" t="s">
        <v>7874</v>
      </c>
      <c r="AA929">
        <v>94.977</v>
      </c>
      <c r="AB929">
        <v>0.59</v>
      </c>
    </row>
    <row r="930" spans="1:28">
      <c r="A930" t="s">
        <v>3362</v>
      </c>
      <c r="B930" t="s">
        <v>3363</v>
      </c>
      <c r="C930" t="s">
        <v>3364</v>
      </c>
      <c r="D930" t="s">
        <v>7847</v>
      </c>
      <c r="E930" t="s">
        <v>7839</v>
      </c>
      <c r="F930" t="s">
        <v>7840</v>
      </c>
      <c r="G930" t="s">
        <v>8030</v>
      </c>
      <c r="H930" t="s">
        <v>9</v>
      </c>
      <c r="I930">
        <v>424.889</v>
      </c>
      <c r="J930">
        <v>17.187</v>
      </c>
      <c r="K930">
        <v>0.52</v>
      </c>
      <c r="M930" t="s">
        <v>8017</v>
      </c>
      <c r="N930">
        <v>52.041</v>
      </c>
      <c r="V930" t="s">
        <v>7847</v>
      </c>
      <c r="W930" t="s">
        <v>7839</v>
      </c>
      <c r="X930" t="s">
        <v>7840</v>
      </c>
      <c r="Y930">
        <v>424.889</v>
      </c>
      <c r="Z930" t="s">
        <v>8030</v>
      </c>
      <c r="AA930">
        <v>17.187</v>
      </c>
      <c r="AB930">
        <v>0.52</v>
      </c>
    </row>
    <row r="931" spans="1:28">
      <c r="A931" t="s">
        <v>6779</v>
      </c>
      <c r="B931" t="s">
        <v>6780</v>
      </c>
      <c r="C931" t="s">
        <v>6781</v>
      </c>
      <c r="D931" t="s">
        <v>7862</v>
      </c>
      <c r="E931" t="s">
        <v>7839</v>
      </c>
      <c r="F931" t="s">
        <v>7840</v>
      </c>
      <c r="G931" t="s">
        <v>7860</v>
      </c>
      <c r="H931" t="s">
        <v>9</v>
      </c>
      <c r="I931">
        <v>1.421</v>
      </c>
      <c r="J931">
        <v>45.65</v>
      </c>
      <c r="K931">
        <v>0.45</v>
      </c>
      <c r="M931" t="s">
        <v>8068</v>
      </c>
      <c r="N931">
        <v>460.019</v>
      </c>
      <c r="V931" t="s">
        <v>7862</v>
      </c>
      <c r="W931" t="s">
        <v>7839</v>
      </c>
      <c r="X931" t="s">
        <v>7840</v>
      </c>
      <c r="Y931">
        <v>1.421</v>
      </c>
      <c r="Z931" t="s">
        <v>7860</v>
      </c>
      <c r="AA931">
        <v>45.65</v>
      </c>
      <c r="AB931">
        <v>0.45</v>
      </c>
    </row>
    <row r="932" spans="1:28">
      <c r="A932" t="s">
        <v>6722</v>
      </c>
      <c r="B932" t="s">
        <v>6723</v>
      </c>
      <c r="C932" t="s">
        <v>6724</v>
      </c>
      <c r="D932" t="s">
        <v>7846</v>
      </c>
      <c r="E932" t="s">
        <v>7839</v>
      </c>
      <c r="F932" t="s">
        <v>7840</v>
      </c>
      <c r="G932" t="s">
        <v>7851</v>
      </c>
      <c r="H932" t="s">
        <v>9</v>
      </c>
      <c r="I932">
        <v>182.744</v>
      </c>
      <c r="J932">
        <v>27.985</v>
      </c>
      <c r="K932">
        <v>0.99</v>
      </c>
      <c r="M932" t="s">
        <v>7925</v>
      </c>
      <c r="N932">
        <v>65.81</v>
      </c>
      <c r="V932" t="s">
        <v>7846</v>
      </c>
      <c r="W932" t="s">
        <v>7839</v>
      </c>
      <c r="X932" t="s">
        <v>7840</v>
      </c>
      <c r="Y932">
        <v>182.744</v>
      </c>
      <c r="Z932" t="s">
        <v>7851</v>
      </c>
      <c r="AA932">
        <v>27.985</v>
      </c>
      <c r="AB932">
        <v>0.99</v>
      </c>
    </row>
    <row r="933" spans="1:28">
      <c r="A933" t="s">
        <v>6889</v>
      </c>
      <c r="B933" t="s">
        <v>6890</v>
      </c>
      <c r="C933" t="s">
        <v>6891</v>
      </c>
      <c r="D933" t="s">
        <v>7862</v>
      </c>
      <c r="E933" t="s">
        <v>7848</v>
      </c>
      <c r="F933" t="s">
        <v>7888</v>
      </c>
      <c r="G933" t="s">
        <v>7925</v>
      </c>
      <c r="H933" t="s">
        <v>9</v>
      </c>
      <c r="I933">
        <v>257.797</v>
      </c>
      <c r="K933">
        <v>0.75</v>
      </c>
      <c r="M933" t="s">
        <v>7892</v>
      </c>
      <c r="N933">
        <v>667.207</v>
      </c>
      <c r="V933" t="s">
        <v>7862</v>
      </c>
      <c r="W933" t="s">
        <v>7848</v>
      </c>
      <c r="X933" t="s">
        <v>7888</v>
      </c>
      <c r="Y933">
        <v>257.797</v>
      </c>
      <c r="Z933" t="s">
        <v>7925</v>
      </c>
      <c r="AB933">
        <v>0.75</v>
      </c>
    </row>
    <row r="934" spans="1:28">
      <c r="A934" t="s">
        <v>7057</v>
      </c>
      <c r="B934" t="s">
        <v>7058</v>
      </c>
      <c r="C934" t="s">
        <v>7059</v>
      </c>
      <c r="D934" t="s">
        <v>7862</v>
      </c>
      <c r="E934" t="s">
        <v>7840</v>
      </c>
      <c r="F934" t="s">
        <v>7888</v>
      </c>
      <c r="G934" t="s">
        <v>7925</v>
      </c>
      <c r="H934" t="s">
        <v>9</v>
      </c>
      <c r="I934">
        <v>18.718</v>
      </c>
      <c r="K934">
        <v>0.75</v>
      </c>
      <c r="M934" t="s">
        <v>7874</v>
      </c>
      <c r="N934">
        <v>153.826</v>
      </c>
      <c r="V934" t="s">
        <v>7862</v>
      </c>
      <c r="W934" t="s">
        <v>7840</v>
      </c>
      <c r="X934" t="s">
        <v>7888</v>
      </c>
      <c r="Y934">
        <v>18.718</v>
      </c>
      <c r="Z934" t="s">
        <v>7925</v>
      </c>
      <c r="AB934">
        <v>0.75</v>
      </c>
    </row>
    <row r="935" spans="1:28">
      <c r="A935" t="s">
        <v>6956</v>
      </c>
      <c r="B935" t="s">
        <v>6957</v>
      </c>
      <c r="C935" t="s">
        <v>6958</v>
      </c>
      <c r="D935" t="s">
        <v>7862</v>
      </c>
      <c r="E935" t="s">
        <v>7848</v>
      </c>
      <c r="F935" t="s">
        <v>7888</v>
      </c>
      <c r="G935" t="s">
        <v>7889</v>
      </c>
      <c r="H935" t="s">
        <v>9</v>
      </c>
      <c r="I935">
        <v>159.698</v>
      </c>
      <c r="K935">
        <v>0.75</v>
      </c>
      <c r="M935" t="s">
        <v>8030</v>
      </c>
      <c r="N935">
        <v>424.889</v>
      </c>
      <c r="V935" t="s">
        <v>7862</v>
      </c>
      <c r="W935" t="s">
        <v>7848</v>
      </c>
      <c r="X935" t="s">
        <v>7888</v>
      </c>
      <c r="Y935">
        <v>159.698</v>
      </c>
      <c r="Z935" t="s">
        <v>7889</v>
      </c>
      <c r="AB935">
        <v>0.75</v>
      </c>
    </row>
    <row r="936" spans="1:28">
      <c r="A936" t="s">
        <v>7266</v>
      </c>
      <c r="B936" t="s">
        <v>7267</v>
      </c>
      <c r="C936" t="s">
        <v>7268</v>
      </c>
      <c r="D936" t="s">
        <v>7855</v>
      </c>
      <c r="E936" t="s">
        <v>7839</v>
      </c>
      <c r="F936" t="s">
        <v>7840</v>
      </c>
      <c r="G936" t="s">
        <v>7910</v>
      </c>
      <c r="H936" t="s">
        <v>9</v>
      </c>
      <c r="I936">
        <v>481.278</v>
      </c>
      <c r="J936">
        <v>77.826</v>
      </c>
      <c r="K936">
        <v>0.99</v>
      </c>
      <c r="M936" t="s">
        <v>7860</v>
      </c>
      <c r="N936">
        <v>1.421</v>
      </c>
      <c r="V936" t="s">
        <v>7855</v>
      </c>
      <c r="W936" t="s">
        <v>7839</v>
      </c>
      <c r="X936" t="s">
        <v>7840</v>
      </c>
      <c r="Y936">
        <v>481.278</v>
      </c>
      <c r="Z936" t="s">
        <v>7910</v>
      </c>
      <c r="AA936">
        <v>77.826</v>
      </c>
      <c r="AB936">
        <v>0.99</v>
      </c>
    </row>
    <row r="937" spans="1:28">
      <c r="A937" t="s">
        <v>7575</v>
      </c>
      <c r="B937" t="s">
        <v>7576</v>
      </c>
      <c r="C937" t="s">
        <v>7577</v>
      </c>
      <c r="D937" t="s">
        <v>7862</v>
      </c>
      <c r="E937" t="s">
        <v>7839</v>
      </c>
      <c r="F937" t="s">
        <v>7888</v>
      </c>
      <c r="G937" t="s">
        <v>7892</v>
      </c>
      <c r="H937" t="s">
        <v>9</v>
      </c>
      <c r="I937">
        <v>145.032</v>
      </c>
      <c r="J937">
        <v>100</v>
      </c>
      <c r="K937">
        <v>0.5</v>
      </c>
      <c r="M937" t="s">
        <v>7851</v>
      </c>
      <c r="N937">
        <v>182.744</v>
      </c>
      <c r="V937" t="s">
        <v>7862</v>
      </c>
      <c r="W937" t="s">
        <v>7839</v>
      </c>
      <c r="X937" t="s">
        <v>7888</v>
      </c>
      <c r="Y937">
        <v>145.032</v>
      </c>
      <c r="Z937" t="s">
        <v>7892</v>
      </c>
      <c r="AA937">
        <v>100</v>
      </c>
      <c r="AB937">
        <v>0.5</v>
      </c>
    </row>
    <row r="938" spans="1:28">
      <c r="A938" t="s">
        <v>7747</v>
      </c>
      <c r="B938" t="s">
        <v>7748</v>
      </c>
      <c r="C938" t="s">
        <v>7749</v>
      </c>
      <c r="D938" t="s">
        <v>7847</v>
      </c>
      <c r="E938" t="s">
        <v>7839</v>
      </c>
      <c r="F938" t="s">
        <v>7840</v>
      </c>
      <c r="G938" t="s">
        <v>7911</v>
      </c>
      <c r="H938" t="s">
        <v>9</v>
      </c>
      <c r="I938">
        <v>388.272</v>
      </c>
      <c r="J938">
        <v>31.99</v>
      </c>
      <c r="K938">
        <v>0.4</v>
      </c>
      <c r="M938" t="s">
        <v>7925</v>
      </c>
      <c r="N938">
        <v>257.797</v>
      </c>
      <c r="V938" t="s">
        <v>7847</v>
      </c>
      <c r="W938" t="s">
        <v>7839</v>
      </c>
      <c r="X938" t="s">
        <v>7840</v>
      </c>
      <c r="Y938">
        <v>388.272</v>
      </c>
      <c r="Z938" t="s">
        <v>7911</v>
      </c>
      <c r="AA938">
        <v>31.99</v>
      </c>
      <c r="AB938">
        <v>0.4</v>
      </c>
    </row>
    <row r="939" spans="1:28">
      <c r="A939" t="s">
        <v>7750</v>
      </c>
      <c r="B939" t="s">
        <v>7751</v>
      </c>
      <c r="C939" t="s">
        <v>7752</v>
      </c>
      <c r="D939" t="s">
        <v>7844</v>
      </c>
      <c r="E939" t="s">
        <v>7839</v>
      </c>
      <c r="F939" t="s">
        <v>7840</v>
      </c>
      <c r="G939" t="s">
        <v>7908</v>
      </c>
      <c r="H939" t="s">
        <v>9</v>
      </c>
      <c r="I939">
        <v>1778.37</v>
      </c>
      <c r="J939">
        <v>8.654</v>
      </c>
      <c r="K939">
        <v>0.35</v>
      </c>
      <c r="M939" t="s">
        <v>7925</v>
      </c>
      <c r="N939">
        <v>18.718</v>
      </c>
      <c r="V939" t="s">
        <v>7844</v>
      </c>
      <c r="W939" t="s">
        <v>7839</v>
      </c>
      <c r="X939" t="s">
        <v>7840</v>
      </c>
      <c r="Y939">
        <v>1778.37</v>
      </c>
      <c r="Z939" t="s">
        <v>7908</v>
      </c>
      <c r="AA939">
        <v>8.654</v>
      </c>
      <c r="AB939">
        <v>0.35</v>
      </c>
    </row>
    <row r="940" spans="1:28">
      <c r="A940" t="s">
        <v>7753</v>
      </c>
      <c r="B940" t="s">
        <v>7754</v>
      </c>
      <c r="C940" t="s">
        <v>7755</v>
      </c>
      <c r="D940" t="s">
        <v>7844</v>
      </c>
      <c r="E940" t="s">
        <v>7839</v>
      </c>
      <c r="F940" t="s">
        <v>7840</v>
      </c>
      <c r="G940" t="s">
        <v>7911</v>
      </c>
      <c r="H940" t="s">
        <v>9</v>
      </c>
      <c r="I940">
        <v>1850.276</v>
      </c>
      <c r="J940">
        <v>7.864</v>
      </c>
      <c r="K940">
        <v>0.5</v>
      </c>
      <c r="M940" t="s">
        <v>7889</v>
      </c>
      <c r="N940">
        <v>159.698</v>
      </c>
      <c r="V940" t="s">
        <v>7844</v>
      </c>
      <c r="W940" t="s">
        <v>7839</v>
      </c>
      <c r="X940" t="s">
        <v>7840</v>
      </c>
      <c r="Y940">
        <v>1850.276</v>
      </c>
      <c r="Z940" t="s">
        <v>7911</v>
      </c>
      <c r="AA940">
        <v>7.864</v>
      </c>
      <c r="AB940">
        <v>0.5</v>
      </c>
    </row>
    <row r="941" spans="1:28">
      <c r="A941" t="s">
        <v>7756</v>
      </c>
      <c r="B941" t="s">
        <v>7757</v>
      </c>
      <c r="C941" t="s">
        <v>7758</v>
      </c>
      <c r="D941" t="s">
        <v>7847</v>
      </c>
      <c r="E941" t="s">
        <v>7839</v>
      </c>
      <c r="F941" t="s">
        <v>7840</v>
      </c>
      <c r="G941" t="s">
        <v>7911</v>
      </c>
      <c r="H941" t="s">
        <v>9</v>
      </c>
      <c r="I941">
        <v>380.201</v>
      </c>
      <c r="J941">
        <v>13.564</v>
      </c>
      <c r="K941">
        <v>0.4</v>
      </c>
      <c r="M941" t="s">
        <v>7910</v>
      </c>
      <c r="N941">
        <v>481.278</v>
      </c>
      <c r="V941" t="s">
        <v>7847</v>
      </c>
      <c r="W941" t="s">
        <v>7839</v>
      </c>
      <c r="X941" t="s">
        <v>7840</v>
      </c>
      <c r="Y941">
        <v>380.201</v>
      </c>
      <c r="Z941" t="s">
        <v>7911</v>
      </c>
      <c r="AA941">
        <v>13.564</v>
      </c>
      <c r="AB941">
        <v>0.4</v>
      </c>
    </row>
    <row r="942" spans="1:28">
      <c r="A942" t="s">
        <v>7759</v>
      </c>
      <c r="B942" t="s">
        <v>7760</v>
      </c>
      <c r="C942" t="s">
        <v>7761</v>
      </c>
      <c r="D942" t="s">
        <v>7844</v>
      </c>
      <c r="E942" t="s">
        <v>7839</v>
      </c>
      <c r="F942" t="s">
        <v>7840</v>
      </c>
      <c r="G942" t="s">
        <v>7911</v>
      </c>
      <c r="H942" t="s">
        <v>9</v>
      </c>
      <c r="I942">
        <v>466.422</v>
      </c>
      <c r="J942">
        <v>15.153</v>
      </c>
      <c r="K942">
        <v>0.35</v>
      </c>
      <c r="M942" t="s">
        <v>7892</v>
      </c>
      <c r="N942">
        <v>145.032</v>
      </c>
      <c r="V942" t="s">
        <v>7844</v>
      </c>
      <c r="W942" t="s">
        <v>7839</v>
      </c>
      <c r="X942" t="s">
        <v>7840</v>
      </c>
      <c r="Y942">
        <v>466.422</v>
      </c>
      <c r="Z942" t="s">
        <v>7911</v>
      </c>
      <c r="AA942">
        <v>15.153</v>
      </c>
      <c r="AB942">
        <v>0.35</v>
      </c>
    </row>
    <row r="943" spans="1:28">
      <c r="A943" t="s">
        <v>7776</v>
      </c>
      <c r="B943" t="s">
        <v>7777</v>
      </c>
      <c r="C943" t="s">
        <v>7778</v>
      </c>
      <c r="D943" t="s">
        <v>7862</v>
      </c>
      <c r="E943" t="s">
        <v>7839</v>
      </c>
      <c r="F943" t="s">
        <v>7853</v>
      </c>
      <c r="G943" t="s">
        <v>7860</v>
      </c>
      <c r="H943" t="s">
        <v>9</v>
      </c>
      <c r="I943">
        <v>0.5</v>
      </c>
      <c r="J943">
        <v>99.946</v>
      </c>
      <c r="K943">
        <v>0.07</v>
      </c>
      <c r="M943" t="s">
        <v>7911</v>
      </c>
      <c r="N943">
        <v>388.272</v>
      </c>
      <c r="V943" t="s">
        <v>7862</v>
      </c>
      <c r="W943" t="s">
        <v>7839</v>
      </c>
      <c r="X943" t="s">
        <v>7853</v>
      </c>
      <c r="Y943">
        <v>0.5</v>
      </c>
      <c r="Z943" t="s">
        <v>7860</v>
      </c>
      <c r="AA943">
        <v>99.946</v>
      </c>
      <c r="AB943">
        <v>0.07</v>
      </c>
    </row>
    <row r="944" spans="1:28">
      <c r="A944" t="s">
        <v>7779</v>
      </c>
      <c r="B944" t="s">
        <v>7777</v>
      </c>
      <c r="C944" t="s">
        <v>7780</v>
      </c>
      <c r="D944" t="s">
        <v>7862</v>
      </c>
      <c r="E944" t="s">
        <v>7839</v>
      </c>
      <c r="F944" t="s">
        <v>7853</v>
      </c>
      <c r="G944" t="s">
        <v>7860</v>
      </c>
      <c r="H944" t="s">
        <v>9</v>
      </c>
      <c r="I944">
        <v>0.499</v>
      </c>
      <c r="J944">
        <v>100</v>
      </c>
      <c r="K944">
        <v>0.07</v>
      </c>
      <c r="M944" t="s">
        <v>7908</v>
      </c>
      <c r="N944">
        <v>1778.37</v>
      </c>
      <c r="V944" t="s">
        <v>7862</v>
      </c>
      <c r="W944" t="s">
        <v>7839</v>
      </c>
      <c r="X944" t="s">
        <v>7853</v>
      </c>
      <c r="Y944">
        <v>0.499</v>
      </c>
      <c r="Z944" t="s">
        <v>7860</v>
      </c>
      <c r="AA944">
        <v>100</v>
      </c>
      <c r="AB944">
        <v>0.07</v>
      </c>
    </row>
    <row r="945" spans="1:28">
      <c r="A945" t="s">
        <v>7781</v>
      </c>
      <c r="B945" t="s">
        <v>7777</v>
      </c>
      <c r="C945" t="s">
        <v>7782</v>
      </c>
      <c r="D945" t="s">
        <v>7862</v>
      </c>
      <c r="E945" t="s">
        <v>7839</v>
      </c>
      <c r="F945" t="s">
        <v>7888</v>
      </c>
      <c r="G945" t="s">
        <v>7860</v>
      </c>
      <c r="H945" t="s">
        <v>9</v>
      </c>
      <c r="I945">
        <v>0.5</v>
      </c>
      <c r="J945">
        <v>100</v>
      </c>
      <c r="K945">
        <v>0.07</v>
      </c>
      <c r="M945" t="s">
        <v>7911</v>
      </c>
      <c r="N945">
        <v>1850.276</v>
      </c>
      <c r="V945" t="s">
        <v>7862</v>
      </c>
      <c r="W945" t="s">
        <v>7839</v>
      </c>
      <c r="X945" t="s">
        <v>7888</v>
      </c>
      <c r="Y945">
        <v>0.5</v>
      </c>
      <c r="Z945" t="s">
        <v>7860</v>
      </c>
      <c r="AA945">
        <v>100</v>
      </c>
      <c r="AB945">
        <v>0.07</v>
      </c>
    </row>
    <row r="946" spans="1:28">
      <c r="A946" t="s">
        <v>7783</v>
      </c>
      <c r="B946" t="s">
        <v>7777</v>
      </c>
      <c r="C946" t="s">
        <v>7784</v>
      </c>
      <c r="D946" t="s">
        <v>7862</v>
      </c>
      <c r="E946" t="s">
        <v>7839</v>
      </c>
      <c r="F946" t="s">
        <v>7853</v>
      </c>
      <c r="G946" t="s">
        <v>7860</v>
      </c>
      <c r="H946" t="s">
        <v>9</v>
      </c>
      <c r="I946">
        <v>0.499</v>
      </c>
      <c r="J946">
        <v>100</v>
      </c>
      <c r="K946">
        <v>0.07</v>
      </c>
      <c r="M946" t="s">
        <v>7911</v>
      </c>
      <c r="N946">
        <v>380.201</v>
      </c>
      <c r="V946" t="s">
        <v>7862</v>
      </c>
      <c r="W946" t="s">
        <v>7839</v>
      </c>
      <c r="X946" t="s">
        <v>7853</v>
      </c>
      <c r="Y946">
        <v>0.499</v>
      </c>
      <c r="Z946" t="s">
        <v>7860</v>
      </c>
      <c r="AA946">
        <v>100</v>
      </c>
      <c r="AB946">
        <v>0.07</v>
      </c>
    </row>
    <row r="947" spans="1:28">
      <c r="A947" t="s">
        <v>7785</v>
      </c>
      <c r="B947" t="s">
        <v>7777</v>
      </c>
      <c r="C947" t="s">
        <v>7786</v>
      </c>
      <c r="D947" t="s">
        <v>7862</v>
      </c>
      <c r="E947" t="s">
        <v>7839</v>
      </c>
      <c r="F947" t="s">
        <v>7888</v>
      </c>
      <c r="G947" t="s">
        <v>7860</v>
      </c>
      <c r="H947" t="s">
        <v>9</v>
      </c>
      <c r="I947">
        <v>0.501</v>
      </c>
      <c r="J947">
        <v>100</v>
      </c>
      <c r="K947">
        <v>0.07</v>
      </c>
      <c r="M947" t="s">
        <v>7911</v>
      </c>
      <c r="N947">
        <v>466.422</v>
      </c>
      <c r="V947" t="s">
        <v>7862</v>
      </c>
      <c r="W947" t="s">
        <v>7839</v>
      </c>
      <c r="X947" t="s">
        <v>7888</v>
      </c>
      <c r="Y947">
        <v>0.501</v>
      </c>
      <c r="Z947" t="s">
        <v>7860</v>
      </c>
      <c r="AA947">
        <v>100</v>
      </c>
      <c r="AB947">
        <v>0.07</v>
      </c>
    </row>
    <row r="948" spans="1:28">
      <c r="A948" t="s">
        <v>7787</v>
      </c>
      <c r="B948" t="s">
        <v>7777</v>
      </c>
      <c r="C948" t="s">
        <v>7788</v>
      </c>
      <c r="D948" t="s">
        <v>7862</v>
      </c>
      <c r="E948" t="s">
        <v>7839</v>
      </c>
      <c r="F948" t="s">
        <v>7888</v>
      </c>
      <c r="G948" t="s">
        <v>7860</v>
      </c>
      <c r="H948" t="s">
        <v>9</v>
      </c>
      <c r="I948">
        <v>0.5</v>
      </c>
      <c r="J948">
        <v>100</v>
      </c>
      <c r="K948">
        <v>0.07</v>
      </c>
      <c r="M948" t="s">
        <v>7860</v>
      </c>
      <c r="N948">
        <v>0.5</v>
      </c>
      <c r="V948" t="s">
        <v>7862</v>
      </c>
      <c r="W948" t="s">
        <v>7839</v>
      </c>
      <c r="X948" t="s">
        <v>7888</v>
      </c>
      <c r="Y948">
        <v>0.5</v>
      </c>
      <c r="Z948" t="s">
        <v>7860</v>
      </c>
      <c r="AA948">
        <v>100</v>
      </c>
      <c r="AB948">
        <v>0.07</v>
      </c>
    </row>
    <row r="949" spans="1:28">
      <c r="J949">
        <f>AVERAGE(J2:J948)</f>
        <v>33.7269837837838</v>
      </c>
      <c r="K949">
        <f>AVERAGE(K2:K948)</f>
        <v>0.318724392819429</v>
      </c>
      <c r="M949" t="s">
        <v>7860</v>
      </c>
      <c r="N949">
        <v>0.499</v>
      </c>
    </row>
    <row r="950" spans="1:28">
      <c r="M950" t="s">
        <v>7860</v>
      </c>
      <c r="N950">
        <v>0.5</v>
      </c>
    </row>
    <row r="951" spans="1:28">
      <c r="M951" t="s">
        <v>7860</v>
      </c>
      <c r="N951">
        <v>0.499</v>
      </c>
    </row>
    <row r="952" spans="1:28">
      <c r="M952" t="s">
        <v>7860</v>
      </c>
      <c r="N952">
        <v>0.501</v>
      </c>
    </row>
    <row r="953" spans="1:28">
      <c r="M953" t="s">
        <v>7860</v>
      </c>
      <c r="N953">
        <v>0.5</v>
      </c>
    </row>
  </sheetData>
  <sortState ref="S13:T123">
    <sortCondition ref="T14:T123" descending="1"/>
  </sortState>
  <pageMargins left="0.7" right="0.7" top="0.75" bottom="0.75" header="0.3" footer="0.3"/>
  <pageSetup paperSize="9" orientation="portrait"/>
  <headerFooter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67"/>
  <sheetViews>
    <sheetView zoomScale="81" zoomScaleNormal="81" topLeftCell="AG1" workbookViewId="0">
      <selection activeCell="AG15" sqref="AG15:AI17"/>
    </sheetView>
  </sheetViews>
  <sheetFormatPr defaultColWidth="8.72727272727273" defaultRowHeight="14"/>
  <cols>
    <col min="11" max="11" width="20.0909090909091" customWidth="1"/>
    <col min="16" max="16" width="55.6363636363636" customWidth="1"/>
    <col min="17" max="18" width="22.1818181818182" customWidth="1"/>
    <col min="27" max="27" width="58.6363636363636" customWidth="1"/>
    <col min="28" max="28" width="22.0909090909091" customWidth="1"/>
    <col min="29" max="29" width="20.0909090909091" customWidth="1"/>
    <col min="30" max="30" width="58.6363636363636" customWidth="1"/>
    <col min="31" max="31" width="34" customWidth="1"/>
    <col min="32" max="32" width="30.4545454545455" customWidth="1"/>
  </cols>
  <sheetData>
    <row r="1" ht="23.5" customHeight="1" spans="1:35">
      <c r="A1" s="1" t="s">
        <v>0</v>
      </c>
      <c r="B1" s="1" t="s">
        <v>1</v>
      </c>
      <c r="C1" s="1" t="s">
        <v>2</v>
      </c>
      <c r="D1" s="1" t="s">
        <v>7832</v>
      </c>
      <c r="E1" s="1" t="s">
        <v>7833</v>
      </c>
      <c r="F1" s="1" t="s">
        <v>7834</v>
      </c>
      <c r="G1" s="1" t="s">
        <v>7835</v>
      </c>
      <c r="H1" s="1" t="s">
        <v>3</v>
      </c>
      <c r="I1" s="1" t="s">
        <v>5</v>
      </c>
      <c r="J1" s="1" t="s">
        <v>7836</v>
      </c>
      <c r="K1" s="2" t="s">
        <v>7837</v>
      </c>
      <c r="W1" s="1" t="s">
        <v>7832</v>
      </c>
      <c r="X1" s="1" t="s">
        <v>7833</v>
      </c>
      <c r="Y1" s="1" t="s">
        <v>7834</v>
      </c>
      <c r="Z1" s="1" t="s">
        <v>5</v>
      </c>
      <c r="AA1" s="1" t="s">
        <v>7835</v>
      </c>
      <c r="AB1" s="1" t="s">
        <v>7836</v>
      </c>
      <c r="AC1" s="2" t="s">
        <v>7837</v>
      </c>
    </row>
    <row r="2" spans="1:35">
      <c r="A2" t="s">
        <v>1174</v>
      </c>
      <c r="B2" t="s">
        <v>1175</v>
      </c>
      <c r="C2" t="s">
        <v>1176</v>
      </c>
      <c r="D2" t="s">
        <v>7856</v>
      </c>
      <c r="E2" t="s">
        <v>7857</v>
      </c>
      <c r="F2" t="s">
        <v>7840</v>
      </c>
      <c r="G2" t="s">
        <v>8127</v>
      </c>
      <c r="H2" t="s">
        <v>9</v>
      </c>
      <c r="I2">
        <v>54.368</v>
      </c>
      <c r="J2">
        <v>100.389</v>
      </c>
      <c r="K2">
        <v>0.255</v>
      </c>
      <c r="W2" t="s">
        <v>7856</v>
      </c>
      <c r="X2" t="s">
        <v>7857</v>
      </c>
      <c r="Y2" t="s">
        <v>7840</v>
      </c>
      <c r="Z2">
        <v>54.368</v>
      </c>
      <c r="AA2" t="s">
        <v>8127</v>
      </c>
      <c r="AB2">
        <v>100.389</v>
      </c>
      <c r="AC2">
        <v>0.255</v>
      </c>
      <c r="AD2" t="s">
        <v>15</v>
      </c>
      <c r="AE2" t="s">
        <v>7843</v>
      </c>
    </row>
    <row r="3" ht="14.5" spans="1:35">
      <c r="A3" t="s">
        <v>1053</v>
      </c>
      <c r="B3" t="s">
        <v>1054</v>
      </c>
      <c r="C3" t="s">
        <v>1055</v>
      </c>
      <c r="D3" t="s">
        <v>7856</v>
      </c>
      <c r="E3" t="s">
        <v>7857</v>
      </c>
      <c r="F3" t="s">
        <v>7840</v>
      </c>
      <c r="G3" t="s">
        <v>8127</v>
      </c>
      <c r="H3" t="s">
        <v>9</v>
      </c>
      <c r="I3">
        <v>11.999</v>
      </c>
      <c r="J3">
        <v>99.943</v>
      </c>
      <c r="K3">
        <v>0.025</v>
      </c>
      <c r="M3" s="1" t="s">
        <v>7835</v>
      </c>
      <c r="N3" s="1" t="s">
        <v>5</v>
      </c>
      <c r="W3" t="s">
        <v>7856</v>
      </c>
      <c r="X3" t="s">
        <v>7857</v>
      </c>
      <c r="Y3" t="s">
        <v>7840</v>
      </c>
      <c r="Z3">
        <v>11.999</v>
      </c>
      <c r="AA3" t="s">
        <v>8127</v>
      </c>
      <c r="AB3">
        <v>99.943</v>
      </c>
      <c r="AC3">
        <v>0.025</v>
      </c>
      <c r="AD3" s="6" t="s">
        <v>7846</v>
      </c>
      <c r="AE3" s="7">
        <v>1</v>
      </c>
      <c r="AG3" s="6" t="s">
        <v>7846</v>
      </c>
      <c r="AH3" s="7">
        <v>1</v>
      </c>
      <c r="AI3" s="8">
        <f>AH3/GETPIVOTDATA("基金策略
",$AD$2)</f>
        <v>0.015625</v>
      </c>
    </row>
    <row r="4" spans="1:35">
      <c r="A4" t="s">
        <v>102</v>
      </c>
      <c r="B4" t="s">
        <v>103</v>
      </c>
      <c r="C4" t="s">
        <v>104</v>
      </c>
      <c r="D4" t="s">
        <v>7862</v>
      </c>
      <c r="E4" t="s">
        <v>7839</v>
      </c>
      <c r="F4" t="s">
        <v>7853</v>
      </c>
      <c r="G4" t="s">
        <v>8128</v>
      </c>
      <c r="H4" t="s">
        <v>9</v>
      </c>
      <c r="I4">
        <v>71.377</v>
      </c>
      <c r="J4">
        <v>98.815</v>
      </c>
      <c r="K4">
        <v>0.11</v>
      </c>
      <c r="M4" t="s">
        <v>8127</v>
      </c>
      <c r="N4">
        <v>54.368</v>
      </c>
      <c r="W4" t="s">
        <v>7862</v>
      </c>
      <c r="X4" t="s">
        <v>7839</v>
      </c>
      <c r="Y4" t="s">
        <v>7853</v>
      </c>
      <c r="Z4">
        <v>71.377</v>
      </c>
      <c r="AA4" t="s">
        <v>8128</v>
      </c>
      <c r="AB4">
        <v>98.815</v>
      </c>
      <c r="AC4">
        <v>0.11</v>
      </c>
      <c r="AD4" s="6" t="s">
        <v>7850</v>
      </c>
      <c r="AE4" s="7">
        <v>8</v>
      </c>
      <c r="AG4" s="6" t="s">
        <v>7850</v>
      </c>
      <c r="AH4" s="7">
        <v>8</v>
      </c>
      <c r="AI4" s="8">
        <f t="shared" ref="AI4:AI7" si="0">AH4/GETPIVOTDATA("基金策略
",$AD$2)</f>
        <v>0.125</v>
      </c>
    </row>
    <row r="5" spans="1:35">
      <c r="A5" t="s">
        <v>2585</v>
      </c>
      <c r="B5" t="s">
        <v>2586</v>
      </c>
      <c r="C5" t="s">
        <v>2587</v>
      </c>
      <c r="D5" t="s">
        <v>7862</v>
      </c>
      <c r="E5" t="s">
        <v>7839</v>
      </c>
      <c r="F5" t="s">
        <v>7840</v>
      </c>
      <c r="G5" t="s">
        <v>8128</v>
      </c>
      <c r="H5" t="s">
        <v>9</v>
      </c>
      <c r="I5">
        <v>129.376</v>
      </c>
      <c r="J5">
        <v>8.126</v>
      </c>
      <c r="K5">
        <v>0.45</v>
      </c>
      <c r="M5" t="s">
        <v>8127</v>
      </c>
      <c r="N5">
        <v>11.999</v>
      </c>
      <c r="W5" t="s">
        <v>7862</v>
      </c>
      <c r="X5" t="s">
        <v>7839</v>
      </c>
      <c r="Y5" t="s">
        <v>7840</v>
      </c>
      <c r="Z5">
        <v>129.376</v>
      </c>
      <c r="AA5" t="s">
        <v>8128</v>
      </c>
      <c r="AB5">
        <v>8.126</v>
      </c>
      <c r="AC5">
        <v>0.45</v>
      </c>
      <c r="AD5" s="6" t="s">
        <v>7847</v>
      </c>
      <c r="AE5" s="7">
        <v>1</v>
      </c>
      <c r="AG5" s="6" t="s">
        <v>7847</v>
      </c>
      <c r="AH5" s="7">
        <v>1</v>
      </c>
      <c r="AI5" s="8">
        <f t="shared" si="0"/>
        <v>0.015625</v>
      </c>
    </row>
    <row r="6" spans="1:35">
      <c r="A6" t="s">
        <v>7215</v>
      </c>
      <c r="B6" t="s">
        <v>7216</v>
      </c>
      <c r="C6" t="s">
        <v>7217</v>
      </c>
      <c r="D6" t="s">
        <v>7862</v>
      </c>
      <c r="E6" t="s">
        <v>7839</v>
      </c>
      <c r="F6" t="s">
        <v>7840</v>
      </c>
      <c r="G6" t="s">
        <v>8129</v>
      </c>
      <c r="H6" t="s">
        <v>9</v>
      </c>
      <c r="I6">
        <v>23.463</v>
      </c>
      <c r="J6">
        <v>11.295</v>
      </c>
      <c r="K6">
        <v>0.19</v>
      </c>
      <c r="M6" t="s">
        <v>8128</v>
      </c>
      <c r="N6">
        <v>71.377</v>
      </c>
      <c r="P6" t="s">
        <v>15</v>
      </c>
      <c r="Q6" t="s">
        <v>16</v>
      </c>
      <c r="S6" s="5" t="s">
        <v>8130</v>
      </c>
      <c r="T6" s="5" t="s">
        <v>19</v>
      </c>
      <c r="W6" t="s">
        <v>7862</v>
      </c>
      <c r="X6" t="s">
        <v>7839</v>
      </c>
      <c r="Y6" t="s">
        <v>7840</v>
      </c>
      <c r="Z6">
        <v>23.463</v>
      </c>
      <c r="AA6" t="s">
        <v>8129</v>
      </c>
      <c r="AB6">
        <v>11.295</v>
      </c>
      <c r="AC6">
        <v>0.19</v>
      </c>
      <c r="AD6" s="6" t="s">
        <v>7856</v>
      </c>
      <c r="AE6" s="7">
        <v>2</v>
      </c>
      <c r="AG6" s="6" t="s">
        <v>7856</v>
      </c>
      <c r="AH6" s="7">
        <v>2</v>
      </c>
      <c r="AI6" s="8">
        <f t="shared" si="0"/>
        <v>0.03125</v>
      </c>
    </row>
    <row r="7" spans="1:35">
      <c r="A7" t="s">
        <v>7396</v>
      </c>
      <c r="B7" t="s">
        <v>4896</v>
      </c>
      <c r="C7" t="s">
        <v>7397</v>
      </c>
      <c r="D7" t="s">
        <v>7850</v>
      </c>
      <c r="E7" t="s">
        <v>7839</v>
      </c>
      <c r="F7" t="s">
        <v>7840</v>
      </c>
      <c r="G7" t="s">
        <v>8131</v>
      </c>
      <c r="H7" t="s">
        <v>9</v>
      </c>
      <c r="I7">
        <v>10.24</v>
      </c>
      <c r="J7">
        <v>95.872</v>
      </c>
      <c r="K7">
        <v>0.209</v>
      </c>
      <c r="M7" t="s">
        <v>8128</v>
      </c>
      <c r="N7">
        <v>129.376</v>
      </c>
      <c r="P7" s="6" t="s">
        <v>8131</v>
      </c>
      <c r="Q7" s="7">
        <v>3786.742</v>
      </c>
      <c r="R7" s="6" t="s">
        <v>8131</v>
      </c>
      <c r="S7">
        <v>3786.742</v>
      </c>
      <c r="T7" s="8">
        <f>S7/$S$15</f>
        <v>0.426580706356283</v>
      </c>
      <c r="W7" t="s">
        <v>7850</v>
      </c>
      <c r="X7" t="s">
        <v>7839</v>
      </c>
      <c r="Y7" t="s">
        <v>7840</v>
      </c>
      <c r="Z7">
        <v>10.24</v>
      </c>
      <c r="AA7" t="s">
        <v>8131</v>
      </c>
      <c r="AB7">
        <v>95.872</v>
      </c>
      <c r="AC7">
        <v>0.209</v>
      </c>
      <c r="AD7" s="6" t="s">
        <v>7862</v>
      </c>
      <c r="AE7" s="7">
        <v>52</v>
      </c>
      <c r="AG7" s="6" t="s">
        <v>7862</v>
      </c>
      <c r="AH7" s="7">
        <v>52</v>
      </c>
      <c r="AI7" s="8">
        <f t="shared" si="0"/>
        <v>0.8125</v>
      </c>
    </row>
    <row r="8" spans="1:35">
      <c r="A8" t="s">
        <v>7403</v>
      </c>
      <c r="B8" t="s">
        <v>7404</v>
      </c>
      <c r="C8" t="s">
        <v>7405</v>
      </c>
      <c r="D8" t="s">
        <v>7862</v>
      </c>
      <c r="E8" t="s">
        <v>7839</v>
      </c>
      <c r="F8" t="s">
        <v>7840</v>
      </c>
      <c r="G8" t="s">
        <v>8131</v>
      </c>
      <c r="H8" t="s">
        <v>9</v>
      </c>
      <c r="I8">
        <v>153.4</v>
      </c>
      <c r="J8">
        <v>68.226</v>
      </c>
      <c r="K8">
        <v>0.14</v>
      </c>
      <c r="M8" t="s">
        <v>8129</v>
      </c>
      <c r="N8">
        <v>23.463</v>
      </c>
      <c r="P8" s="6" t="s">
        <v>8129</v>
      </c>
      <c r="Q8" s="7">
        <v>3154.863</v>
      </c>
      <c r="R8" s="6" t="s">
        <v>8129</v>
      </c>
      <c r="S8">
        <v>3154.863</v>
      </c>
      <c r="T8" s="8">
        <f t="shared" ref="T8:T15" si="1">S8/$S$15</f>
        <v>0.355398832821803</v>
      </c>
      <c r="W8" t="s">
        <v>7862</v>
      </c>
      <c r="X8" t="s">
        <v>7839</v>
      </c>
      <c r="Y8" t="s">
        <v>7840</v>
      </c>
      <c r="Z8">
        <v>153.4</v>
      </c>
      <c r="AA8" t="s">
        <v>8131</v>
      </c>
      <c r="AB8">
        <v>68.226</v>
      </c>
      <c r="AC8">
        <v>0.14</v>
      </c>
      <c r="AD8" s="6" t="s">
        <v>162</v>
      </c>
      <c r="AE8" s="7">
        <v>64</v>
      </c>
    </row>
    <row r="9" spans="1:35">
      <c r="A9" t="s">
        <v>7454</v>
      </c>
      <c r="B9" t="s">
        <v>7455</v>
      </c>
      <c r="C9" t="s">
        <v>7456</v>
      </c>
      <c r="D9" t="s">
        <v>7862</v>
      </c>
      <c r="E9" t="s">
        <v>7839</v>
      </c>
      <c r="F9" t="s">
        <v>7935</v>
      </c>
      <c r="G9" t="s">
        <v>8131</v>
      </c>
      <c r="H9" t="s">
        <v>9</v>
      </c>
      <c r="I9">
        <v>74.691</v>
      </c>
      <c r="J9">
        <v>15.622</v>
      </c>
      <c r="K9">
        <v>0.14</v>
      </c>
      <c r="M9" t="s">
        <v>8131</v>
      </c>
      <c r="N9">
        <v>10.24</v>
      </c>
      <c r="P9" s="6" t="s">
        <v>8128</v>
      </c>
      <c r="Q9" s="7">
        <v>1083.883</v>
      </c>
      <c r="R9" s="6" t="s">
        <v>8128</v>
      </c>
      <c r="S9">
        <v>1083.883</v>
      </c>
      <c r="T9" s="8">
        <f t="shared" si="1"/>
        <v>0.122100627860986</v>
      </c>
      <c r="W9" t="s">
        <v>7862</v>
      </c>
      <c r="X9" t="s">
        <v>7839</v>
      </c>
      <c r="Y9" t="s">
        <v>7935</v>
      </c>
      <c r="Z9">
        <v>74.691</v>
      </c>
      <c r="AA9" t="s">
        <v>8131</v>
      </c>
      <c r="AB9">
        <v>15.622</v>
      </c>
      <c r="AC9">
        <v>0.14</v>
      </c>
    </row>
    <row r="10" spans="1:35">
      <c r="A10" t="s">
        <v>7417</v>
      </c>
      <c r="B10" t="s">
        <v>7418</v>
      </c>
      <c r="C10" t="s">
        <v>7419</v>
      </c>
      <c r="D10" t="s">
        <v>7862</v>
      </c>
      <c r="E10" t="s">
        <v>7839</v>
      </c>
      <c r="F10" t="s">
        <v>7935</v>
      </c>
      <c r="G10" t="s">
        <v>8128</v>
      </c>
      <c r="H10" t="s">
        <v>9</v>
      </c>
      <c r="I10">
        <v>12.404</v>
      </c>
      <c r="J10">
        <v>83.37</v>
      </c>
      <c r="K10">
        <v>0.06</v>
      </c>
      <c r="M10" t="s">
        <v>8131</v>
      </c>
      <c r="N10">
        <v>153.4</v>
      </c>
      <c r="P10" s="6" t="s">
        <v>8127</v>
      </c>
      <c r="Q10" s="7">
        <v>355.936</v>
      </c>
      <c r="R10" s="6" t="s">
        <v>8127</v>
      </c>
      <c r="S10">
        <v>355.936</v>
      </c>
      <c r="T10" s="8">
        <f t="shared" si="1"/>
        <v>0.0400965870655117</v>
      </c>
      <c r="W10" t="s">
        <v>7862</v>
      </c>
      <c r="X10" t="s">
        <v>7839</v>
      </c>
      <c r="Y10" t="s">
        <v>7935</v>
      </c>
      <c r="Z10">
        <v>12.404</v>
      </c>
      <c r="AA10" t="s">
        <v>8128</v>
      </c>
      <c r="AB10">
        <v>83.37</v>
      </c>
      <c r="AC10">
        <v>0.06</v>
      </c>
    </row>
    <row r="11" spans="1:35">
      <c r="A11" t="s">
        <v>7420</v>
      </c>
      <c r="B11" t="s">
        <v>7421</v>
      </c>
      <c r="C11" t="s">
        <v>7422</v>
      </c>
      <c r="D11" t="s">
        <v>7862</v>
      </c>
      <c r="E11" t="s">
        <v>7839</v>
      </c>
      <c r="F11" t="s">
        <v>7932</v>
      </c>
      <c r="G11" t="s">
        <v>8127</v>
      </c>
      <c r="H11" t="s">
        <v>9</v>
      </c>
      <c r="I11">
        <v>151.711</v>
      </c>
      <c r="J11">
        <v>104.152</v>
      </c>
      <c r="K11">
        <v>0.025</v>
      </c>
      <c r="M11" t="s">
        <v>8131</v>
      </c>
      <c r="N11">
        <v>74.691</v>
      </c>
      <c r="P11" s="6" t="s">
        <v>8132</v>
      </c>
      <c r="Q11" s="7">
        <v>300.096</v>
      </c>
      <c r="R11" s="6" t="s">
        <v>8132</v>
      </c>
      <c r="S11">
        <v>300.096</v>
      </c>
      <c r="T11" s="8">
        <f t="shared" si="1"/>
        <v>0.0338061488357789</v>
      </c>
      <c r="W11" t="s">
        <v>7862</v>
      </c>
      <c r="X11" t="s">
        <v>7839</v>
      </c>
      <c r="Y11" t="s">
        <v>7932</v>
      </c>
      <c r="Z11">
        <v>151.711</v>
      </c>
      <c r="AA11" t="s">
        <v>8127</v>
      </c>
      <c r="AB11">
        <v>104.152</v>
      </c>
      <c r="AC11">
        <v>0.025</v>
      </c>
    </row>
    <row r="12" spans="1:35">
      <c r="A12" t="s">
        <v>7171</v>
      </c>
      <c r="B12" t="s">
        <v>7172</v>
      </c>
      <c r="C12" t="s">
        <v>7173</v>
      </c>
      <c r="D12" t="s">
        <v>7862</v>
      </c>
      <c r="E12" t="s">
        <v>7839</v>
      </c>
      <c r="F12" t="s">
        <v>7935</v>
      </c>
      <c r="G12" t="s">
        <v>8133</v>
      </c>
      <c r="H12" t="s">
        <v>9</v>
      </c>
      <c r="I12">
        <v>19.286</v>
      </c>
      <c r="J12">
        <v>24.37</v>
      </c>
      <c r="K12">
        <v>0.12</v>
      </c>
      <c r="M12" t="s">
        <v>8128</v>
      </c>
      <c r="N12">
        <v>12.404</v>
      </c>
      <c r="P12" s="6" t="s">
        <v>8133</v>
      </c>
      <c r="Q12" s="7">
        <v>154.576</v>
      </c>
      <c r="R12" s="6" t="s">
        <v>8133</v>
      </c>
      <c r="S12">
        <v>154.576</v>
      </c>
      <c r="T12" s="8">
        <f t="shared" si="1"/>
        <v>0.0174131586640254</v>
      </c>
      <c r="W12" t="s">
        <v>7862</v>
      </c>
      <c r="X12" t="s">
        <v>7839</v>
      </c>
      <c r="Y12" t="s">
        <v>7935</v>
      </c>
      <c r="Z12">
        <v>19.286</v>
      </c>
      <c r="AA12" t="s">
        <v>8133</v>
      </c>
      <c r="AB12">
        <v>24.37</v>
      </c>
      <c r="AC12">
        <v>0.12</v>
      </c>
    </row>
    <row r="13" spans="1:35">
      <c r="A13" t="s">
        <v>7510</v>
      </c>
      <c r="B13" t="s">
        <v>7511</v>
      </c>
      <c r="C13" t="s">
        <v>7512</v>
      </c>
      <c r="D13" t="s">
        <v>7847</v>
      </c>
      <c r="E13" t="s">
        <v>7839</v>
      </c>
      <c r="F13" t="s">
        <v>7840</v>
      </c>
      <c r="G13" t="s">
        <v>8131</v>
      </c>
      <c r="H13" t="s">
        <v>9</v>
      </c>
      <c r="I13">
        <v>10.139</v>
      </c>
      <c r="J13">
        <v>99.127</v>
      </c>
      <c r="K13">
        <v>0.08</v>
      </c>
      <c r="M13" t="s">
        <v>8127</v>
      </c>
      <c r="N13">
        <v>151.711</v>
      </c>
      <c r="P13" s="6" t="s">
        <v>8134</v>
      </c>
      <c r="Q13" s="7">
        <v>26.941</v>
      </c>
      <c r="R13" s="6" t="s">
        <v>8134</v>
      </c>
      <c r="S13">
        <v>26.941</v>
      </c>
      <c r="T13" s="8">
        <f t="shared" si="1"/>
        <v>0.0030349336738401</v>
      </c>
      <c r="W13" t="s">
        <v>7847</v>
      </c>
      <c r="X13" t="s">
        <v>7839</v>
      </c>
      <c r="Y13" t="s">
        <v>7840</v>
      </c>
      <c r="Z13">
        <v>10.139</v>
      </c>
      <c r="AA13" t="s">
        <v>8131</v>
      </c>
      <c r="AB13">
        <v>99.127</v>
      </c>
      <c r="AC13">
        <v>0.08</v>
      </c>
    </row>
    <row r="14" spans="1:35">
      <c r="A14" t="s">
        <v>7578</v>
      </c>
      <c r="B14" t="s">
        <v>7579</v>
      </c>
      <c r="C14" t="s">
        <v>7580</v>
      </c>
      <c r="D14" t="s">
        <v>7862</v>
      </c>
      <c r="E14" t="s">
        <v>7839</v>
      </c>
      <c r="F14" t="s">
        <v>7853</v>
      </c>
      <c r="G14" t="s">
        <v>8128</v>
      </c>
      <c r="H14" t="s">
        <v>9</v>
      </c>
      <c r="I14">
        <v>166.589</v>
      </c>
      <c r="J14">
        <v>86.708</v>
      </c>
      <c r="K14">
        <v>0.16</v>
      </c>
      <c r="M14" t="s">
        <v>8133</v>
      </c>
      <c r="N14">
        <v>19.286</v>
      </c>
      <c r="P14" s="6" t="s">
        <v>8135</v>
      </c>
      <c r="Q14" s="7">
        <v>13.928</v>
      </c>
      <c r="R14" s="6" t="s">
        <v>8135</v>
      </c>
      <c r="S14">
        <v>13.928</v>
      </c>
      <c r="T14" s="8">
        <f t="shared" si="1"/>
        <v>0.00156900472177146</v>
      </c>
      <c r="W14" t="s">
        <v>7862</v>
      </c>
      <c r="X14" t="s">
        <v>7839</v>
      </c>
      <c r="Y14" t="s">
        <v>7853</v>
      </c>
      <c r="Z14">
        <v>166.589</v>
      </c>
      <c r="AA14" t="s">
        <v>8128</v>
      </c>
      <c r="AB14">
        <v>86.708</v>
      </c>
      <c r="AC14">
        <v>0.16</v>
      </c>
      <c r="AD14" t="s">
        <v>15</v>
      </c>
      <c r="AE14" t="s">
        <v>7897</v>
      </c>
    </row>
    <row r="15" spans="1:35">
      <c r="A15" t="s">
        <v>7586</v>
      </c>
      <c r="B15" t="s">
        <v>7016</v>
      </c>
      <c r="C15" t="s">
        <v>7587</v>
      </c>
      <c r="D15" t="s">
        <v>7862</v>
      </c>
      <c r="E15" t="s">
        <v>7839</v>
      </c>
      <c r="F15" t="s">
        <v>7840</v>
      </c>
      <c r="G15" t="s">
        <v>8132</v>
      </c>
      <c r="H15" t="s">
        <v>9</v>
      </c>
      <c r="I15">
        <v>27.921</v>
      </c>
      <c r="J15">
        <v>72.7</v>
      </c>
      <c r="K15">
        <v>0.1</v>
      </c>
      <c r="M15" t="s">
        <v>8131</v>
      </c>
      <c r="N15">
        <v>10.139</v>
      </c>
      <c r="P15" s="6" t="s">
        <v>162</v>
      </c>
      <c r="Q15" s="7">
        <v>8876.965</v>
      </c>
      <c r="R15" s="7"/>
      <c r="S15">
        <v>8876.965</v>
      </c>
      <c r="T15" s="8">
        <f t="shared" si="1"/>
        <v>1</v>
      </c>
      <c r="W15" t="s">
        <v>7862</v>
      </c>
      <c r="X15" t="s">
        <v>7839</v>
      </c>
      <c r="Y15" t="s">
        <v>7840</v>
      </c>
      <c r="Z15">
        <v>27.921</v>
      </c>
      <c r="AA15" t="s">
        <v>8132</v>
      </c>
      <c r="AB15">
        <v>72.7</v>
      </c>
      <c r="AC15">
        <v>0.1</v>
      </c>
      <c r="AD15" s="6" t="s">
        <v>7840</v>
      </c>
      <c r="AE15" s="7">
        <v>4</v>
      </c>
      <c r="AG15" s="6" t="s">
        <v>7857</v>
      </c>
      <c r="AH15" s="7">
        <v>5</v>
      </c>
      <c r="AI15" s="8">
        <f>AH15/$AH$18</f>
        <v>0.0833333333333333</v>
      </c>
    </row>
    <row r="16" spans="1:35">
      <c r="A16" t="s">
        <v>7527</v>
      </c>
      <c r="B16" t="s">
        <v>6691</v>
      </c>
      <c r="C16" t="s">
        <v>7528</v>
      </c>
      <c r="D16" t="s">
        <v>7862</v>
      </c>
      <c r="E16" t="s">
        <v>7840</v>
      </c>
      <c r="F16" t="s">
        <v>7853</v>
      </c>
      <c r="G16" t="s">
        <v>8132</v>
      </c>
      <c r="H16" t="s">
        <v>9</v>
      </c>
      <c r="I16">
        <v>171.092</v>
      </c>
      <c r="K16">
        <v>0.1</v>
      </c>
      <c r="M16" t="s">
        <v>8128</v>
      </c>
      <c r="N16">
        <v>166.589</v>
      </c>
      <c r="W16" t="s">
        <v>7862</v>
      </c>
      <c r="X16" t="s">
        <v>7840</v>
      </c>
      <c r="Y16" t="s">
        <v>7853</v>
      </c>
      <c r="Z16">
        <v>171.092</v>
      </c>
      <c r="AA16" t="s">
        <v>8132</v>
      </c>
      <c r="AC16">
        <v>0.1</v>
      </c>
      <c r="AD16" s="6" t="s">
        <v>7857</v>
      </c>
      <c r="AE16" s="7">
        <v>5</v>
      </c>
      <c r="AG16" s="6" t="s">
        <v>7839</v>
      </c>
      <c r="AH16" s="7">
        <v>48</v>
      </c>
      <c r="AI16" s="8">
        <f t="shared" ref="AI16:AI17" si="2">AH16/$AH$18</f>
        <v>0.8</v>
      </c>
    </row>
    <row r="17" spans="1:35">
      <c r="A17" t="s">
        <v>7477</v>
      </c>
      <c r="B17" t="s">
        <v>6798</v>
      </c>
      <c r="C17" t="s">
        <v>7478</v>
      </c>
      <c r="D17" t="s">
        <v>7850</v>
      </c>
      <c r="E17" t="s">
        <v>7839</v>
      </c>
      <c r="F17" t="s">
        <v>7840</v>
      </c>
      <c r="G17" t="s">
        <v>8131</v>
      </c>
      <c r="H17" t="s">
        <v>9</v>
      </c>
      <c r="I17">
        <v>5.512</v>
      </c>
      <c r="J17">
        <v>89.847</v>
      </c>
      <c r="M17" t="s">
        <v>8132</v>
      </c>
      <c r="N17">
        <v>27.921</v>
      </c>
      <c r="W17" t="s">
        <v>7850</v>
      </c>
      <c r="X17" t="s">
        <v>7839</v>
      </c>
      <c r="Y17" t="s">
        <v>7840</v>
      </c>
      <c r="Z17">
        <v>5.512</v>
      </c>
      <c r="AA17" t="s">
        <v>8131</v>
      </c>
      <c r="AB17">
        <v>89.847</v>
      </c>
      <c r="AD17" s="6" t="s">
        <v>7839</v>
      </c>
      <c r="AE17" s="7">
        <v>48</v>
      </c>
      <c r="AG17" s="6" t="s">
        <v>7848</v>
      </c>
      <c r="AH17" s="7">
        <v>7</v>
      </c>
      <c r="AI17" s="8">
        <f t="shared" si="2"/>
        <v>0.116666666666667</v>
      </c>
    </row>
    <row r="18" spans="1:35">
      <c r="A18" t="s">
        <v>866</v>
      </c>
      <c r="B18" t="s">
        <v>867</v>
      </c>
      <c r="C18" t="s">
        <v>868</v>
      </c>
      <c r="D18" t="s">
        <v>7862</v>
      </c>
      <c r="E18" t="s">
        <v>7840</v>
      </c>
      <c r="F18" t="s">
        <v>7888</v>
      </c>
      <c r="G18" t="s">
        <v>8132</v>
      </c>
      <c r="H18" t="s">
        <v>9</v>
      </c>
      <c r="I18">
        <v>2.79</v>
      </c>
      <c r="K18">
        <v>0.45</v>
      </c>
      <c r="M18" t="s">
        <v>8132</v>
      </c>
      <c r="N18">
        <v>171.092</v>
      </c>
      <c r="W18" t="s">
        <v>7862</v>
      </c>
      <c r="X18" t="s">
        <v>7840</v>
      </c>
      <c r="Y18" t="s">
        <v>7888</v>
      </c>
      <c r="Z18">
        <v>2.79</v>
      </c>
      <c r="AA18" t="s">
        <v>8132</v>
      </c>
      <c r="AC18">
        <v>0.45</v>
      </c>
      <c r="AD18" s="6" t="s">
        <v>7848</v>
      </c>
      <c r="AE18" s="7">
        <v>7</v>
      </c>
      <c r="AH18" s="7">
        <v>60</v>
      </c>
    </row>
    <row r="19" spans="1:35">
      <c r="A19" t="s">
        <v>7525</v>
      </c>
      <c r="B19" t="s">
        <v>6634</v>
      </c>
      <c r="C19" t="s">
        <v>7526</v>
      </c>
      <c r="D19" t="s">
        <v>7862</v>
      </c>
      <c r="E19" t="s">
        <v>7839</v>
      </c>
      <c r="F19" t="s">
        <v>7888</v>
      </c>
      <c r="G19" t="s">
        <v>8135</v>
      </c>
      <c r="H19" t="s">
        <v>9</v>
      </c>
      <c r="I19">
        <v>9.845</v>
      </c>
      <c r="J19">
        <v>99.865</v>
      </c>
      <c r="K19">
        <v>0.55</v>
      </c>
      <c r="M19" t="s">
        <v>8131</v>
      </c>
      <c r="N19">
        <v>5.512</v>
      </c>
      <c r="W19" t="s">
        <v>7862</v>
      </c>
      <c r="X19" t="s">
        <v>7839</v>
      </c>
      <c r="Y19" t="s">
        <v>7888</v>
      </c>
      <c r="Z19">
        <v>9.845</v>
      </c>
      <c r="AA19" t="s">
        <v>8135</v>
      </c>
      <c r="AB19">
        <v>99.865</v>
      </c>
      <c r="AC19">
        <v>0.55</v>
      </c>
      <c r="AD19" s="6" t="s">
        <v>162</v>
      </c>
      <c r="AE19" s="7">
        <v>64</v>
      </c>
    </row>
    <row r="20" spans="1:35">
      <c r="A20" t="s">
        <v>6583</v>
      </c>
      <c r="B20" t="s">
        <v>103</v>
      </c>
      <c r="C20" t="s">
        <v>6584</v>
      </c>
      <c r="D20" t="s">
        <v>7862</v>
      </c>
      <c r="E20" t="s">
        <v>7839</v>
      </c>
      <c r="F20" t="s">
        <v>7853</v>
      </c>
      <c r="G20" t="s">
        <v>8128</v>
      </c>
      <c r="H20" t="s">
        <v>9</v>
      </c>
      <c r="I20">
        <v>36.77</v>
      </c>
      <c r="J20">
        <v>667.086</v>
      </c>
      <c r="K20">
        <v>0.11</v>
      </c>
      <c r="M20" t="s">
        <v>8132</v>
      </c>
      <c r="N20">
        <v>2.79</v>
      </c>
      <c r="W20" t="s">
        <v>7862</v>
      </c>
      <c r="X20" t="s">
        <v>7839</v>
      </c>
      <c r="Y20" t="s">
        <v>7853</v>
      </c>
      <c r="Z20">
        <v>36.77</v>
      </c>
      <c r="AA20" t="s">
        <v>8128</v>
      </c>
      <c r="AB20">
        <v>667.086</v>
      </c>
      <c r="AC20">
        <v>0.11</v>
      </c>
    </row>
    <row r="21" spans="1:35">
      <c r="A21" t="s">
        <v>7564</v>
      </c>
      <c r="B21" t="s">
        <v>7169</v>
      </c>
      <c r="C21" t="s">
        <v>7565</v>
      </c>
      <c r="D21" t="s">
        <v>7862</v>
      </c>
      <c r="E21" t="s">
        <v>7839</v>
      </c>
      <c r="F21" t="s">
        <v>7853</v>
      </c>
      <c r="G21" t="s">
        <v>8129</v>
      </c>
      <c r="H21" t="s">
        <v>9</v>
      </c>
      <c r="I21">
        <v>71.887</v>
      </c>
      <c r="J21">
        <v>87.411</v>
      </c>
      <c r="K21">
        <v>0.13</v>
      </c>
      <c r="M21" t="s">
        <v>8135</v>
      </c>
      <c r="N21">
        <v>9.845</v>
      </c>
      <c r="W21" t="s">
        <v>7862</v>
      </c>
      <c r="X21" t="s">
        <v>7839</v>
      </c>
      <c r="Y21" t="s">
        <v>7853</v>
      </c>
      <c r="Z21">
        <v>71.887</v>
      </c>
      <c r="AA21" t="s">
        <v>8129</v>
      </c>
      <c r="AB21">
        <v>87.411</v>
      </c>
      <c r="AC21">
        <v>0.13</v>
      </c>
    </row>
    <row r="22" spans="1:35">
      <c r="A22" t="s">
        <v>7021</v>
      </c>
      <c r="B22" t="s">
        <v>7022</v>
      </c>
      <c r="C22" t="s">
        <v>7023</v>
      </c>
      <c r="D22" t="s">
        <v>7862</v>
      </c>
      <c r="E22" t="s">
        <v>7839</v>
      </c>
      <c r="F22" t="s">
        <v>7840</v>
      </c>
      <c r="G22" t="s">
        <v>8128</v>
      </c>
      <c r="H22" t="s">
        <v>9</v>
      </c>
      <c r="I22">
        <v>204.966</v>
      </c>
      <c r="J22">
        <v>10.777</v>
      </c>
      <c r="K22">
        <v>0.25</v>
      </c>
      <c r="M22" t="s">
        <v>8128</v>
      </c>
      <c r="N22">
        <v>36.77</v>
      </c>
      <c r="W22" t="s">
        <v>7862</v>
      </c>
      <c r="X22" t="s">
        <v>7839</v>
      </c>
      <c r="Y22" t="s">
        <v>7840</v>
      </c>
      <c r="Z22">
        <v>204.966</v>
      </c>
      <c r="AA22" t="s">
        <v>8128</v>
      </c>
      <c r="AB22">
        <v>10.777</v>
      </c>
      <c r="AC22">
        <v>0.25</v>
      </c>
    </row>
    <row r="23" spans="1:35">
      <c r="A23" t="s">
        <v>7596</v>
      </c>
      <c r="B23" t="s">
        <v>7238</v>
      </c>
      <c r="C23" t="s">
        <v>7597</v>
      </c>
      <c r="D23" t="s">
        <v>7862</v>
      </c>
      <c r="E23" t="s">
        <v>7839</v>
      </c>
      <c r="F23" t="s">
        <v>7853</v>
      </c>
      <c r="G23" t="s">
        <v>8131</v>
      </c>
      <c r="H23" t="s">
        <v>9</v>
      </c>
      <c r="I23">
        <v>261.777</v>
      </c>
      <c r="J23">
        <v>85.938</v>
      </c>
      <c r="K23">
        <v>0.14</v>
      </c>
      <c r="M23" t="s">
        <v>8129</v>
      </c>
      <c r="N23">
        <v>71.887</v>
      </c>
      <c r="W23" t="s">
        <v>7862</v>
      </c>
      <c r="X23" t="s">
        <v>7839</v>
      </c>
      <c r="Y23" t="s">
        <v>7853</v>
      </c>
      <c r="Z23">
        <v>261.777</v>
      </c>
      <c r="AA23" t="s">
        <v>8131</v>
      </c>
      <c r="AB23">
        <v>85.938</v>
      </c>
      <c r="AC23">
        <v>0.14</v>
      </c>
    </row>
    <row r="24" spans="1:35">
      <c r="A24" t="s">
        <v>7544</v>
      </c>
      <c r="B24" t="s">
        <v>6786</v>
      </c>
      <c r="C24" t="s">
        <v>8136</v>
      </c>
      <c r="D24" t="s">
        <v>7850</v>
      </c>
      <c r="E24" t="s">
        <v>7840</v>
      </c>
      <c r="F24" t="s">
        <v>7840</v>
      </c>
      <c r="G24" t="s">
        <v>8127</v>
      </c>
      <c r="H24" t="s">
        <v>9</v>
      </c>
      <c r="I24">
        <v>1.967</v>
      </c>
      <c r="K24">
        <v>0.025</v>
      </c>
      <c r="M24" t="s">
        <v>8128</v>
      </c>
      <c r="N24">
        <v>204.966</v>
      </c>
      <c r="W24" t="s">
        <v>7850</v>
      </c>
      <c r="X24" t="s">
        <v>7840</v>
      </c>
      <c r="Y24" t="s">
        <v>7840</v>
      </c>
      <c r="Z24">
        <v>1.967</v>
      </c>
      <c r="AA24" t="s">
        <v>8127</v>
      </c>
      <c r="AC24">
        <v>0.025</v>
      </c>
    </row>
    <row r="25" spans="1:35">
      <c r="A25" t="s">
        <v>4895</v>
      </c>
      <c r="B25" t="s">
        <v>4896</v>
      </c>
      <c r="C25" t="s">
        <v>4897</v>
      </c>
      <c r="D25" t="s">
        <v>7850</v>
      </c>
      <c r="E25" t="s">
        <v>7839</v>
      </c>
      <c r="F25" t="s">
        <v>7840</v>
      </c>
      <c r="G25" t="s">
        <v>8131</v>
      </c>
      <c r="H25" t="s">
        <v>9</v>
      </c>
      <c r="I25">
        <v>108.63</v>
      </c>
      <c r="J25">
        <v>98.974</v>
      </c>
      <c r="K25">
        <v>0.58</v>
      </c>
      <c r="M25" t="s">
        <v>8131</v>
      </c>
      <c r="N25">
        <v>261.777</v>
      </c>
      <c r="W25" t="s">
        <v>7850</v>
      </c>
      <c r="X25" t="s">
        <v>7839</v>
      </c>
      <c r="Y25" t="s">
        <v>7840</v>
      </c>
      <c r="Z25">
        <v>108.63</v>
      </c>
      <c r="AA25" t="s">
        <v>8131</v>
      </c>
      <c r="AB25">
        <v>98.974</v>
      </c>
      <c r="AC25">
        <v>0.58</v>
      </c>
    </row>
    <row r="26" spans="1:35">
      <c r="A26" t="s">
        <v>7593</v>
      </c>
      <c r="B26" t="s">
        <v>7594</v>
      </c>
      <c r="C26" t="s">
        <v>7595</v>
      </c>
      <c r="D26" t="s">
        <v>7862</v>
      </c>
      <c r="E26" t="s">
        <v>7839</v>
      </c>
      <c r="F26" t="s">
        <v>7888</v>
      </c>
      <c r="G26" t="s">
        <v>8127</v>
      </c>
      <c r="H26" t="s">
        <v>9</v>
      </c>
      <c r="I26">
        <v>5.06</v>
      </c>
      <c r="J26">
        <v>60.664</v>
      </c>
      <c r="K26">
        <v>0.095</v>
      </c>
      <c r="M26" t="s">
        <v>8127</v>
      </c>
      <c r="N26">
        <v>1.967</v>
      </c>
      <c r="W26" t="s">
        <v>7862</v>
      </c>
      <c r="X26" t="s">
        <v>7839</v>
      </c>
      <c r="Y26" t="s">
        <v>7888</v>
      </c>
      <c r="Z26">
        <v>5.06</v>
      </c>
      <c r="AA26" t="s">
        <v>8127</v>
      </c>
      <c r="AB26">
        <v>60.664</v>
      </c>
      <c r="AC26">
        <v>0.095</v>
      </c>
      <c r="AD26" t="s">
        <v>15</v>
      </c>
      <c r="AE26" t="s">
        <v>7928</v>
      </c>
    </row>
    <row r="27" spans="1:35">
      <c r="A27" t="s">
        <v>7591</v>
      </c>
      <c r="B27" t="s">
        <v>7258</v>
      </c>
      <c r="C27" t="s">
        <v>7592</v>
      </c>
      <c r="D27" t="s">
        <v>7862</v>
      </c>
      <c r="E27" t="s">
        <v>7839</v>
      </c>
      <c r="F27" t="s">
        <v>7840</v>
      </c>
      <c r="G27" t="s">
        <v>8133</v>
      </c>
      <c r="H27" t="s">
        <v>9</v>
      </c>
      <c r="I27">
        <v>2.284</v>
      </c>
      <c r="J27">
        <v>39.538</v>
      </c>
      <c r="K27">
        <v>0.12</v>
      </c>
      <c r="M27" t="s">
        <v>8131</v>
      </c>
      <c r="N27">
        <v>108.63</v>
      </c>
      <c r="W27" t="s">
        <v>7862</v>
      </c>
      <c r="X27" t="s">
        <v>7839</v>
      </c>
      <c r="Y27" t="s">
        <v>7840</v>
      </c>
      <c r="Z27">
        <v>2.284</v>
      </c>
      <c r="AA27" t="s">
        <v>8133</v>
      </c>
      <c r="AB27">
        <v>39.538</v>
      </c>
      <c r="AC27">
        <v>0.12</v>
      </c>
      <c r="AD27" s="6" t="s">
        <v>7840</v>
      </c>
      <c r="AE27" s="7">
        <v>27</v>
      </c>
      <c r="AG27" s="6" t="s">
        <v>7932</v>
      </c>
      <c r="AH27" s="7">
        <v>1</v>
      </c>
      <c r="AI27" s="8">
        <f>AH27/$AH$31</f>
        <v>0.027027027027027</v>
      </c>
    </row>
    <row r="28" spans="1:35">
      <c r="A28" t="s">
        <v>7601</v>
      </c>
      <c r="B28" t="s">
        <v>7138</v>
      </c>
      <c r="C28" t="s">
        <v>7602</v>
      </c>
      <c r="D28" t="s">
        <v>7862</v>
      </c>
      <c r="E28" t="s">
        <v>7839</v>
      </c>
      <c r="F28" t="s">
        <v>7853</v>
      </c>
      <c r="G28" t="s">
        <v>8133</v>
      </c>
      <c r="H28" t="s">
        <v>9</v>
      </c>
      <c r="I28">
        <v>56.942</v>
      </c>
      <c r="J28">
        <v>79.401</v>
      </c>
      <c r="K28">
        <v>0.12</v>
      </c>
      <c r="M28" t="s">
        <v>8127</v>
      </c>
      <c r="N28">
        <v>5.06</v>
      </c>
      <c r="W28" t="s">
        <v>7862</v>
      </c>
      <c r="X28" t="s">
        <v>7839</v>
      </c>
      <c r="Y28" t="s">
        <v>7853</v>
      </c>
      <c r="Z28">
        <v>56.942</v>
      </c>
      <c r="AA28" t="s">
        <v>8133</v>
      </c>
      <c r="AB28">
        <v>79.401</v>
      </c>
      <c r="AC28">
        <v>0.12</v>
      </c>
      <c r="AD28" s="6" t="s">
        <v>7932</v>
      </c>
      <c r="AE28" s="7">
        <v>1</v>
      </c>
      <c r="AG28" s="6" t="s">
        <v>7935</v>
      </c>
      <c r="AH28" s="7">
        <v>3</v>
      </c>
      <c r="AI28" s="8">
        <f t="shared" ref="AI28:AI30" si="3">AH28/$AH$31</f>
        <v>0.0810810810810811</v>
      </c>
    </row>
    <row r="29" spans="1:35">
      <c r="A29" t="s">
        <v>7143</v>
      </c>
      <c r="B29" t="s">
        <v>6370</v>
      </c>
      <c r="C29" t="s">
        <v>7144</v>
      </c>
      <c r="D29" t="s">
        <v>7862</v>
      </c>
      <c r="E29" t="s">
        <v>7839</v>
      </c>
      <c r="F29" t="s">
        <v>7840</v>
      </c>
      <c r="G29" t="s">
        <v>8129</v>
      </c>
      <c r="H29" t="s">
        <v>9</v>
      </c>
      <c r="I29">
        <v>369.736</v>
      </c>
      <c r="J29">
        <v>9.376</v>
      </c>
      <c r="K29">
        <v>0.12</v>
      </c>
      <c r="M29" t="s">
        <v>8133</v>
      </c>
      <c r="N29">
        <v>2.284</v>
      </c>
      <c r="W29" t="s">
        <v>7862</v>
      </c>
      <c r="X29" t="s">
        <v>7839</v>
      </c>
      <c r="Y29" t="s">
        <v>7840</v>
      </c>
      <c r="Z29">
        <v>369.736</v>
      </c>
      <c r="AA29" t="s">
        <v>8129</v>
      </c>
      <c r="AB29">
        <v>9.376</v>
      </c>
      <c r="AC29">
        <v>0.12</v>
      </c>
      <c r="AD29" s="6" t="s">
        <v>7935</v>
      </c>
      <c r="AE29" s="7">
        <v>3</v>
      </c>
      <c r="AG29" s="6" t="s">
        <v>7888</v>
      </c>
      <c r="AH29" s="7">
        <v>9</v>
      </c>
      <c r="AI29" s="8">
        <f t="shared" si="3"/>
        <v>0.243243243243243</v>
      </c>
    </row>
    <row r="30" spans="1:35">
      <c r="A30" t="s">
        <v>291</v>
      </c>
      <c r="B30" t="s">
        <v>292</v>
      </c>
      <c r="C30" t="s">
        <v>293</v>
      </c>
      <c r="D30" t="s">
        <v>7862</v>
      </c>
      <c r="E30" t="s">
        <v>7848</v>
      </c>
      <c r="F30" t="s">
        <v>7888</v>
      </c>
      <c r="G30" t="s">
        <v>8129</v>
      </c>
      <c r="H30" t="s">
        <v>9</v>
      </c>
      <c r="I30">
        <v>13.898</v>
      </c>
      <c r="J30">
        <v>100</v>
      </c>
      <c r="K30">
        <v>0.38</v>
      </c>
      <c r="M30" t="s">
        <v>8133</v>
      </c>
      <c r="N30">
        <v>56.942</v>
      </c>
      <c r="W30" t="s">
        <v>7862</v>
      </c>
      <c r="X30" t="s">
        <v>7848</v>
      </c>
      <c r="Y30" t="s">
        <v>7888</v>
      </c>
      <c r="Z30">
        <v>13.898</v>
      </c>
      <c r="AA30" t="s">
        <v>8129</v>
      </c>
      <c r="AB30">
        <v>100</v>
      </c>
      <c r="AC30">
        <v>0.38</v>
      </c>
      <c r="AD30" s="6" t="s">
        <v>7888</v>
      </c>
      <c r="AE30" s="7">
        <v>9</v>
      </c>
      <c r="AG30" s="6" t="s">
        <v>7853</v>
      </c>
      <c r="AH30" s="7">
        <v>24</v>
      </c>
      <c r="AI30" s="8">
        <f t="shared" si="3"/>
        <v>0.648648648648649</v>
      </c>
    </row>
    <row r="31" spans="1:35">
      <c r="A31" t="s">
        <v>4608</v>
      </c>
      <c r="B31" t="s">
        <v>1223</v>
      </c>
      <c r="C31" t="s">
        <v>4609</v>
      </c>
      <c r="D31" t="s">
        <v>7850</v>
      </c>
      <c r="E31" t="s">
        <v>7839</v>
      </c>
      <c r="F31" t="s">
        <v>7840</v>
      </c>
      <c r="G31" t="s">
        <v>8131</v>
      </c>
      <c r="H31" t="s">
        <v>9</v>
      </c>
      <c r="I31">
        <v>43.794</v>
      </c>
      <c r="J31">
        <v>99.914</v>
      </c>
      <c r="K31">
        <v>0.28</v>
      </c>
      <c r="M31" t="s">
        <v>8129</v>
      </c>
      <c r="N31">
        <v>369.736</v>
      </c>
      <c r="W31" t="s">
        <v>7850</v>
      </c>
      <c r="X31" t="s">
        <v>7839</v>
      </c>
      <c r="Y31" t="s">
        <v>7840</v>
      </c>
      <c r="Z31">
        <v>43.794</v>
      </c>
      <c r="AA31" t="s">
        <v>8131</v>
      </c>
      <c r="AB31">
        <v>99.914</v>
      </c>
      <c r="AC31">
        <v>0.28</v>
      </c>
      <c r="AD31" s="6" t="s">
        <v>7853</v>
      </c>
      <c r="AE31" s="7">
        <v>24</v>
      </c>
      <c r="AH31" s="7">
        <v>37</v>
      </c>
    </row>
    <row r="32" spans="1:35">
      <c r="A32" t="s">
        <v>923</v>
      </c>
      <c r="B32" t="s">
        <v>666</v>
      </c>
      <c r="C32" t="s">
        <v>924</v>
      </c>
      <c r="D32" t="s">
        <v>7862</v>
      </c>
      <c r="E32" t="s">
        <v>7839</v>
      </c>
      <c r="F32" t="s">
        <v>7853</v>
      </c>
      <c r="G32" t="s">
        <v>8128</v>
      </c>
      <c r="H32" t="s">
        <v>9</v>
      </c>
      <c r="I32">
        <v>39.187</v>
      </c>
      <c r="J32">
        <v>355.579</v>
      </c>
      <c r="K32">
        <v>0.11</v>
      </c>
      <c r="M32" t="s">
        <v>8129</v>
      </c>
      <c r="N32">
        <v>13.898</v>
      </c>
      <c r="W32" t="s">
        <v>7862</v>
      </c>
      <c r="X32" t="s">
        <v>7839</v>
      </c>
      <c r="Y32" t="s">
        <v>7853</v>
      </c>
      <c r="Z32">
        <v>39.187</v>
      </c>
      <c r="AA32" t="s">
        <v>8128</v>
      </c>
      <c r="AB32">
        <v>355.579</v>
      </c>
      <c r="AC32">
        <v>0.11</v>
      </c>
      <c r="AD32" s="6" t="s">
        <v>162</v>
      </c>
      <c r="AE32" s="7">
        <v>64</v>
      </c>
    </row>
    <row r="33" spans="1:32">
      <c r="A33" t="s">
        <v>7612</v>
      </c>
      <c r="B33" t="s">
        <v>6634</v>
      </c>
      <c r="C33" t="s">
        <v>7613</v>
      </c>
      <c r="D33" t="s">
        <v>7862</v>
      </c>
      <c r="E33" t="s">
        <v>7839</v>
      </c>
      <c r="F33" t="s">
        <v>7840</v>
      </c>
      <c r="G33" t="s">
        <v>8131</v>
      </c>
      <c r="H33" t="s">
        <v>9</v>
      </c>
      <c r="I33">
        <v>41.075</v>
      </c>
      <c r="J33">
        <v>40.13</v>
      </c>
      <c r="K33">
        <v>0.14</v>
      </c>
      <c r="M33" t="s">
        <v>8131</v>
      </c>
      <c r="N33">
        <v>43.794</v>
      </c>
      <c r="W33" t="s">
        <v>7862</v>
      </c>
      <c r="X33" t="s">
        <v>7839</v>
      </c>
      <c r="Y33" t="s">
        <v>7840</v>
      </c>
      <c r="Z33">
        <v>41.075</v>
      </c>
      <c r="AA33" t="s">
        <v>8131</v>
      </c>
      <c r="AB33">
        <v>40.13</v>
      </c>
      <c r="AC33">
        <v>0.14</v>
      </c>
    </row>
    <row r="34" spans="1:32">
      <c r="A34" t="s">
        <v>905</v>
      </c>
      <c r="B34" t="s">
        <v>906</v>
      </c>
      <c r="C34" t="s">
        <v>907</v>
      </c>
      <c r="D34" t="s">
        <v>7862</v>
      </c>
      <c r="E34" t="s">
        <v>7839</v>
      </c>
      <c r="F34" t="s">
        <v>7853</v>
      </c>
      <c r="G34" t="s">
        <v>8131</v>
      </c>
      <c r="H34" t="s">
        <v>9</v>
      </c>
      <c r="I34">
        <v>63.444</v>
      </c>
      <c r="J34">
        <v>98.946</v>
      </c>
      <c r="K34">
        <v>0.1</v>
      </c>
      <c r="M34" t="s">
        <v>8128</v>
      </c>
      <c r="N34">
        <v>39.187</v>
      </c>
      <c r="W34" t="s">
        <v>7862</v>
      </c>
      <c r="X34" t="s">
        <v>7839</v>
      </c>
      <c r="Y34" t="s">
        <v>7853</v>
      </c>
      <c r="Z34">
        <v>63.444</v>
      </c>
      <c r="AA34" t="s">
        <v>8131</v>
      </c>
      <c r="AB34">
        <v>98.946</v>
      </c>
      <c r="AC34">
        <v>0.1</v>
      </c>
    </row>
    <row r="35" spans="1:32">
      <c r="A35" t="s">
        <v>5574</v>
      </c>
      <c r="B35" t="s">
        <v>5575</v>
      </c>
      <c r="C35" t="s">
        <v>5576</v>
      </c>
      <c r="D35" t="s">
        <v>7862</v>
      </c>
      <c r="E35" t="s">
        <v>7839</v>
      </c>
      <c r="F35" t="s">
        <v>7840</v>
      </c>
      <c r="G35" t="s">
        <v>8131</v>
      </c>
      <c r="H35" t="s">
        <v>9</v>
      </c>
      <c r="I35">
        <v>72.075</v>
      </c>
      <c r="J35">
        <v>24.277</v>
      </c>
      <c r="K35">
        <v>0.12</v>
      </c>
      <c r="M35" t="s">
        <v>8131</v>
      </c>
      <c r="N35">
        <v>41.075</v>
      </c>
      <c r="W35" t="s">
        <v>7862</v>
      </c>
      <c r="X35" t="s">
        <v>7839</v>
      </c>
      <c r="Y35" t="s">
        <v>7840</v>
      </c>
      <c r="Z35">
        <v>72.075</v>
      </c>
      <c r="AA35" t="s">
        <v>8131</v>
      </c>
      <c r="AB35">
        <v>24.277</v>
      </c>
      <c r="AC35">
        <v>0.12</v>
      </c>
    </row>
    <row r="36" spans="1:32">
      <c r="A36" t="s">
        <v>7066</v>
      </c>
      <c r="B36" t="s">
        <v>7067</v>
      </c>
      <c r="C36" t="s">
        <v>7068</v>
      </c>
      <c r="D36" t="s">
        <v>7862</v>
      </c>
      <c r="E36" t="s">
        <v>7839</v>
      </c>
      <c r="F36" t="s">
        <v>7840</v>
      </c>
      <c r="G36" t="s">
        <v>8129</v>
      </c>
      <c r="H36" t="s">
        <v>9</v>
      </c>
      <c r="I36">
        <v>1273.03</v>
      </c>
      <c r="J36">
        <v>12.987</v>
      </c>
      <c r="K36">
        <v>0.07</v>
      </c>
      <c r="M36" t="s">
        <v>8131</v>
      </c>
      <c r="N36">
        <v>63.444</v>
      </c>
      <c r="W36" t="s">
        <v>7862</v>
      </c>
      <c r="X36" t="s">
        <v>7839</v>
      </c>
      <c r="Y36" t="s">
        <v>7840</v>
      </c>
      <c r="Z36">
        <v>1273.03</v>
      </c>
      <c r="AA36" t="s">
        <v>8129</v>
      </c>
      <c r="AB36">
        <v>12.987</v>
      </c>
      <c r="AC36">
        <v>0.07</v>
      </c>
    </row>
    <row r="37" spans="1:32">
      <c r="A37" t="s">
        <v>6594</v>
      </c>
      <c r="B37" t="s">
        <v>6595</v>
      </c>
      <c r="C37" t="s">
        <v>6596</v>
      </c>
      <c r="D37" t="s">
        <v>7862</v>
      </c>
      <c r="E37" t="s">
        <v>7839</v>
      </c>
      <c r="F37" t="s">
        <v>7840</v>
      </c>
      <c r="G37" t="s">
        <v>8131</v>
      </c>
      <c r="H37" t="s">
        <v>9</v>
      </c>
      <c r="I37">
        <v>18.336</v>
      </c>
      <c r="J37">
        <v>9.693</v>
      </c>
      <c r="K37">
        <v>0.1</v>
      </c>
      <c r="M37" t="s">
        <v>8131</v>
      </c>
      <c r="N37">
        <v>72.075</v>
      </c>
      <c r="W37" t="s">
        <v>7862</v>
      </c>
      <c r="X37" t="s">
        <v>7839</v>
      </c>
      <c r="Y37" t="s">
        <v>7840</v>
      </c>
      <c r="Z37">
        <v>18.336</v>
      </c>
      <c r="AA37" t="s">
        <v>8131</v>
      </c>
      <c r="AB37">
        <v>9.693</v>
      </c>
      <c r="AC37">
        <v>0.1</v>
      </c>
    </row>
    <row r="38" spans="1:32">
      <c r="A38" t="s">
        <v>5629</v>
      </c>
      <c r="B38" t="s">
        <v>5630</v>
      </c>
      <c r="C38" t="s">
        <v>5631</v>
      </c>
      <c r="D38" t="s">
        <v>7862</v>
      </c>
      <c r="E38" t="s">
        <v>7848</v>
      </c>
      <c r="F38" t="s">
        <v>7853</v>
      </c>
      <c r="G38" t="s">
        <v>8129</v>
      </c>
      <c r="H38" t="s">
        <v>9</v>
      </c>
      <c r="I38">
        <v>7.833</v>
      </c>
      <c r="K38">
        <v>0.1</v>
      </c>
      <c r="M38" t="s">
        <v>8129</v>
      </c>
      <c r="N38">
        <v>1273.03</v>
      </c>
      <c r="W38" t="s">
        <v>7862</v>
      </c>
      <c r="X38" t="s">
        <v>7848</v>
      </c>
      <c r="Y38" t="s">
        <v>7853</v>
      </c>
      <c r="Z38">
        <v>7.833</v>
      </c>
      <c r="AA38" t="s">
        <v>8129</v>
      </c>
      <c r="AC38">
        <v>0.1</v>
      </c>
    </row>
    <row r="39" spans="1:32">
      <c r="A39" t="s">
        <v>665</v>
      </c>
      <c r="B39" t="s">
        <v>666</v>
      </c>
      <c r="C39" t="s">
        <v>667</v>
      </c>
      <c r="D39" t="s">
        <v>7862</v>
      </c>
      <c r="E39" t="s">
        <v>7839</v>
      </c>
      <c r="F39" t="s">
        <v>7853</v>
      </c>
      <c r="G39" t="s">
        <v>8128</v>
      </c>
      <c r="H39" t="s">
        <v>9</v>
      </c>
      <c r="I39">
        <v>9.817</v>
      </c>
      <c r="J39">
        <v>96.905</v>
      </c>
      <c r="K39">
        <v>0.11</v>
      </c>
      <c r="M39" t="s">
        <v>8131</v>
      </c>
      <c r="N39">
        <v>18.336</v>
      </c>
      <c r="W39" t="s">
        <v>7862</v>
      </c>
      <c r="X39" t="s">
        <v>7839</v>
      </c>
      <c r="Y39" t="s">
        <v>7853</v>
      </c>
      <c r="Z39">
        <v>9.817</v>
      </c>
      <c r="AA39" t="s">
        <v>8128</v>
      </c>
      <c r="AB39">
        <v>96.905</v>
      </c>
      <c r="AC39">
        <v>0.11</v>
      </c>
    </row>
    <row r="40" spans="1:32">
      <c r="A40" t="s">
        <v>5993</v>
      </c>
      <c r="B40" t="s">
        <v>5994</v>
      </c>
      <c r="C40" t="s">
        <v>5995</v>
      </c>
      <c r="D40" t="s">
        <v>7850</v>
      </c>
      <c r="E40" t="s">
        <v>7848</v>
      </c>
      <c r="F40" t="s">
        <v>7853</v>
      </c>
      <c r="G40" t="s">
        <v>8129</v>
      </c>
      <c r="H40" t="s">
        <v>9</v>
      </c>
      <c r="I40">
        <v>108.309</v>
      </c>
      <c r="K40">
        <v>0.27</v>
      </c>
      <c r="M40" t="s">
        <v>8129</v>
      </c>
      <c r="N40">
        <v>7.833</v>
      </c>
      <c r="W40" t="s">
        <v>7850</v>
      </c>
      <c r="X40" t="s">
        <v>7848</v>
      </c>
      <c r="Y40" t="s">
        <v>7853</v>
      </c>
      <c r="Z40">
        <v>108.309</v>
      </c>
      <c r="AA40" t="s">
        <v>8129</v>
      </c>
      <c r="AC40">
        <v>0.27</v>
      </c>
    </row>
    <row r="41" spans="1:32">
      <c r="A41" t="s">
        <v>7177</v>
      </c>
      <c r="B41" t="s">
        <v>7178</v>
      </c>
      <c r="C41" t="s">
        <v>7179</v>
      </c>
      <c r="D41" t="s">
        <v>7862</v>
      </c>
      <c r="E41" t="s">
        <v>7839</v>
      </c>
      <c r="F41" t="s">
        <v>7888</v>
      </c>
      <c r="G41" t="s">
        <v>8131</v>
      </c>
      <c r="H41" t="s">
        <v>9</v>
      </c>
      <c r="I41">
        <v>89.669</v>
      </c>
      <c r="J41">
        <v>62.624</v>
      </c>
      <c r="K41">
        <v>0.06</v>
      </c>
      <c r="M41" t="s">
        <v>8128</v>
      </c>
      <c r="N41">
        <v>9.817</v>
      </c>
      <c r="W41" t="s">
        <v>7862</v>
      </c>
      <c r="X41" t="s">
        <v>7839</v>
      </c>
      <c r="Y41" t="s">
        <v>7888</v>
      </c>
      <c r="Z41">
        <v>89.669</v>
      </c>
      <c r="AA41" t="s">
        <v>8131</v>
      </c>
      <c r="AB41">
        <v>62.624</v>
      </c>
      <c r="AC41">
        <v>0.06</v>
      </c>
    </row>
    <row r="42" spans="1:32">
      <c r="A42" t="s">
        <v>6369</v>
      </c>
      <c r="B42" t="s">
        <v>6370</v>
      </c>
      <c r="C42" t="s">
        <v>6371</v>
      </c>
      <c r="D42" t="s">
        <v>7862</v>
      </c>
      <c r="E42" t="s">
        <v>7848</v>
      </c>
      <c r="F42" t="s">
        <v>7840</v>
      </c>
      <c r="G42" t="s">
        <v>8129</v>
      </c>
      <c r="H42" t="s">
        <v>9</v>
      </c>
      <c r="I42">
        <v>985.665</v>
      </c>
      <c r="K42">
        <v>0.12</v>
      </c>
      <c r="M42" t="s">
        <v>8129</v>
      </c>
      <c r="N42">
        <v>108.309</v>
      </c>
      <c r="W42" t="s">
        <v>7862</v>
      </c>
      <c r="X42" t="s">
        <v>7848</v>
      </c>
      <c r="Y42" t="s">
        <v>7840</v>
      </c>
      <c r="Z42">
        <v>985.665</v>
      </c>
      <c r="AA42" t="s">
        <v>8129</v>
      </c>
      <c r="AC42">
        <v>0.12</v>
      </c>
    </row>
    <row r="43" spans="1:32">
      <c r="A43" t="s">
        <v>4975</v>
      </c>
      <c r="B43" t="s">
        <v>4976</v>
      </c>
      <c r="C43" t="s">
        <v>4977</v>
      </c>
      <c r="D43" t="s">
        <v>7862</v>
      </c>
      <c r="E43" t="s">
        <v>7857</v>
      </c>
      <c r="F43" t="s">
        <v>7853</v>
      </c>
      <c r="G43" t="s">
        <v>8134</v>
      </c>
      <c r="H43" t="s">
        <v>9</v>
      </c>
      <c r="I43">
        <v>9.552</v>
      </c>
      <c r="J43">
        <v>102.064</v>
      </c>
      <c r="K43">
        <v>0.11</v>
      </c>
      <c r="M43" t="s">
        <v>8131</v>
      </c>
      <c r="N43">
        <v>89.669</v>
      </c>
      <c r="W43" t="s">
        <v>7862</v>
      </c>
      <c r="X43" t="s">
        <v>7857</v>
      </c>
      <c r="Y43" t="s">
        <v>7853</v>
      </c>
      <c r="Z43">
        <v>9.552</v>
      </c>
      <c r="AA43" t="s">
        <v>8134</v>
      </c>
      <c r="AB43">
        <v>102.064</v>
      </c>
      <c r="AC43">
        <v>0.11</v>
      </c>
      <c r="AD43" t="s">
        <v>15</v>
      </c>
      <c r="AE43" t="s">
        <v>7972</v>
      </c>
      <c r="AF43" t="s">
        <v>7973</v>
      </c>
    </row>
    <row r="44" spans="1:32">
      <c r="A44" t="s">
        <v>7255</v>
      </c>
      <c r="B44" t="s">
        <v>7169</v>
      </c>
      <c r="C44" t="s">
        <v>7256</v>
      </c>
      <c r="D44" t="s">
        <v>7862</v>
      </c>
      <c r="E44" t="s">
        <v>7839</v>
      </c>
      <c r="F44" t="s">
        <v>7853</v>
      </c>
      <c r="G44" t="s">
        <v>8129</v>
      </c>
      <c r="H44" t="s">
        <v>9</v>
      </c>
      <c r="I44">
        <v>2.904</v>
      </c>
      <c r="J44">
        <v>82.124</v>
      </c>
      <c r="M44" t="s">
        <v>8129</v>
      </c>
      <c r="N44">
        <v>985.665</v>
      </c>
      <c r="W44" t="s">
        <v>7862</v>
      </c>
      <c r="X44" t="s">
        <v>7839</v>
      </c>
      <c r="Y44" t="s">
        <v>7853</v>
      </c>
      <c r="Z44">
        <v>2.904</v>
      </c>
      <c r="AA44" t="s">
        <v>8129</v>
      </c>
      <c r="AB44">
        <v>82.124</v>
      </c>
      <c r="AD44" s="6" t="s">
        <v>8128</v>
      </c>
      <c r="AE44" s="7">
        <v>246.858777777778</v>
      </c>
      <c r="AF44" s="7">
        <v>0.168888888888889</v>
      </c>
    </row>
    <row r="45" spans="1:32">
      <c r="A45" t="s">
        <v>6690</v>
      </c>
      <c r="B45" t="s">
        <v>6691</v>
      </c>
      <c r="C45" t="s">
        <v>6692</v>
      </c>
      <c r="D45" t="s">
        <v>7862</v>
      </c>
      <c r="E45" t="s">
        <v>7839</v>
      </c>
      <c r="F45" t="s">
        <v>7853</v>
      </c>
      <c r="G45" t="s">
        <v>8132</v>
      </c>
      <c r="H45" t="s">
        <v>9</v>
      </c>
      <c r="I45">
        <v>19.774</v>
      </c>
      <c r="J45">
        <v>97.8</v>
      </c>
      <c r="K45">
        <v>0.1</v>
      </c>
      <c r="M45" t="s">
        <v>8134</v>
      </c>
      <c r="N45">
        <v>9.552</v>
      </c>
      <c r="W45" t="s">
        <v>7862</v>
      </c>
      <c r="X45" t="s">
        <v>7839</v>
      </c>
      <c r="Y45" t="s">
        <v>7853</v>
      </c>
      <c r="Z45">
        <v>19.774</v>
      </c>
      <c r="AA45" t="s">
        <v>8132</v>
      </c>
      <c r="AB45">
        <v>97.8</v>
      </c>
      <c r="AC45">
        <v>0.1</v>
      </c>
      <c r="AD45" s="6" t="s">
        <v>8135</v>
      </c>
      <c r="AE45" s="7">
        <v>84.7085</v>
      </c>
      <c r="AF45" s="7">
        <v>0.55</v>
      </c>
    </row>
    <row r="46" spans="1:32">
      <c r="A46" t="s">
        <v>4776</v>
      </c>
      <c r="B46" t="s">
        <v>4777</v>
      </c>
      <c r="C46" t="s">
        <v>4778</v>
      </c>
      <c r="D46" t="s">
        <v>7846</v>
      </c>
      <c r="E46" t="s">
        <v>7839</v>
      </c>
      <c r="F46" t="s">
        <v>7840</v>
      </c>
      <c r="G46" t="s">
        <v>8131</v>
      </c>
      <c r="H46" t="s">
        <v>9</v>
      </c>
      <c r="I46">
        <v>20.363</v>
      </c>
      <c r="J46">
        <v>99.255</v>
      </c>
      <c r="K46">
        <v>0.125</v>
      </c>
      <c r="M46" t="s">
        <v>8129</v>
      </c>
      <c r="N46">
        <v>2.904</v>
      </c>
      <c r="W46" t="s">
        <v>7846</v>
      </c>
      <c r="X46" t="s">
        <v>7839</v>
      </c>
      <c r="Y46" t="s">
        <v>7840</v>
      </c>
      <c r="Z46">
        <v>20.363</v>
      </c>
      <c r="AA46" t="s">
        <v>8131</v>
      </c>
      <c r="AB46">
        <v>99.255</v>
      </c>
      <c r="AC46">
        <v>0.125</v>
      </c>
      <c r="AD46" s="6" t="s">
        <v>8132</v>
      </c>
      <c r="AE46" s="7">
        <v>85.25</v>
      </c>
      <c r="AF46" s="7">
        <v>0.1875</v>
      </c>
    </row>
    <row r="47" spans="1:32">
      <c r="A47" t="s">
        <v>7357</v>
      </c>
      <c r="B47" t="s">
        <v>7358</v>
      </c>
      <c r="C47" t="s">
        <v>7359</v>
      </c>
      <c r="D47" t="s">
        <v>7862</v>
      </c>
      <c r="E47" t="s">
        <v>7839</v>
      </c>
      <c r="F47" t="s">
        <v>7840</v>
      </c>
      <c r="G47" t="s">
        <v>8131</v>
      </c>
      <c r="H47" t="s">
        <v>9</v>
      </c>
      <c r="I47">
        <v>289.309</v>
      </c>
      <c r="J47">
        <v>12.211</v>
      </c>
      <c r="K47">
        <v>0.06</v>
      </c>
      <c r="M47" t="s">
        <v>8132</v>
      </c>
      <c r="N47">
        <v>19.774</v>
      </c>
      <c r="W47" t="s">
        <v>7862</v>
      </c>
      <c r="X47" t="s">
        <v>7839</v>
      </c>
      <c r="Y47" t="s">
        <v>7840</v>
      </c>
      <c r="Z47">
        <v>289.309</v>
      </c>
      <c r="AA47" t="s">
        <v>8131</v>
      </c>
      <c r="AB47">
        <v>12.211</v>
      </c>
      <c r="AC47">
        <v>0.06</v>
      </c>
      <c r="AD47" s="6" t="s">
        <v>8127</v>
      </c>
      <c r="AE47" s="7">
        <v>84.9486</v>
      </c>
      <c r="AF47" s="7">
        <v>0.0778571428571429</v>
      </c>
    </row>
    <row r="48" spans="1:32">
      <c r="A48" t="s">
        <v>1498</v>
      </c>
      <c r="B48" t="s">
        <v>1499</v>
      </c>
      <c r="C48" t="s">
        <v>1500</v>
      </c>
      <c r="D48" t="s">
        <v>7862</v>
      </c>
      <c r="E48" t="s">
        <v>7848</v>
      </c>
      <c r="F48" t="s">
        <v>7853</v>
      </c>
      <c r="G48" t="s">
        <v>8129</v>
      </c>
      <c r="H48" t="s">
        <v>9</v>
      </c>
      <c r="I48">
        <v>1.84</v>
      </c>
      <c r="K48">
        <v>0.1</v>
      </c>
      <c r="M48" t="s">
        <v>8131</v>
      </c>
      <c r="N48">
        <v>20.363</v>
      </c>
      <c r="W48" t="s">
        <v>7862</v>
      </c>
      <c r="X48" t="s">
        <v>7848</v>
      </c>
      <c r="Y48" t="s">
        <v>7853</v>
      </c>
      <c r="Z48">
        <v>1.84</v>
      </c>
      <c r="AA48" t="s">
        <v>8129</v>
      </c>
      <c r="AC48">
        <v>0.1</v>
      </c>
      <c r="AD48" s="6" t="s">
        <v>8131</v>
      </c>
      <c r="AE48" s="7">
        <v>66.8159545454546</v>
      </c>
      <c r="AF48" s="7">
        <v>0.176380952380952</v>
      </c>
    </row>
    <row r="49" spans="1:32">
      <c r="A49" t="s">
        <v>6916</v>
      </c>
      <c r="B49" t="s">
        <v>6917</v>
      </c>
      <c r="C49" t="s">
        <v>6918</v>
      </c>
      <c r="D49" t="s">
        <v>7862</v>
      </c>
      <c r="E49" t="s">
        <v>7839</v>
      </c>
      <c r="F49" t="s">
        <v>7853</v>
      </c>
      <c r="G49" t="s">
        <v>8131</v>
      </c>
      <c r="H49" t="s">
        <v>9</v>
      </c>
      <c r="I49">
        <v>291.498</v>
      </c>
      <c r="J49">
        <v>20.528</v>
      </c>
      <c r="K49">
        <v>0.14</v>
      </c>
      <c r="M49" t="s">
        <v>8131</v>
      </c>
      <c r="N49">
        <v>289.309</v>
      </c>
      <c r="W49" t="s">
        <v>7862</v>
      </c>
      <c r="X49" t="s">
        <v>7839</v>
      </c>
      <c r="Y49" t="s">
        <v>7853</v>
      </c>
      <c r="Z49">
        <v>291.498</v>
      </c>
      <c r="AA49" t="s">
        <v>8131</v>
      </c>
      <c r="AB49">
        <v>20.528</v>
      </c>
      <c r="AC49">
        <v>0.14</v>
      </c>
      <c r="AD49" s="6" t="s">
        <v>8133</v>
      </c>
      <c r="AE49" s="7">
        <v>52.8764</v>
      </c>
      <c r="AF49" s="7">
        <v>0.12</v>
      </c>
    </row>
    <row r="50" spans="1:32">
      <c r="A50" t="s">
        <v>7015</v>
      </c>
      <c r="B50" t="s">
        <v>7016</v>
      </c>
      <c r="C50" t="s">
        <v>7017</v>
      </c>
      <c r="D50" t="s">
        <v>7862</v>
      </c>
      <c r="E50" t="s">
        <v>7848</v>
      </c>
      <c r="F50" t="s">
        <v>7840</v>
      </c>
      <c r="G50" t="s">
        <v>8132</v>
      </c>
      <c r="H50" t="s">
        <v>9</v>
      </c>
      <c r="I50">
        <v>78.519</v>
      </c>
      <c r="M50" t="s">
        <v>8129</v>
      </c>
      <c r="N50">
        <v>1.84</v>
      </c>
      <c r="W50" t="s">
        <v>7862</v>
      </c>
      <c r="X50" t="s">
        <v>7848</v>
      </c>
      <c r="Y50" t="s">
        <v>7840</v>
      </c>
      <c r="Z50">
        <v>78.519</v>
      </c>
      <c r="AA50" t="s">
        <v>8132</v>
      </c>
      <c r="AD50" s="6" t="s">
        <v>8129</v>
      </c>
      <c r="AE50" s="7">
        <v>55.6588571428571</v>
      </c>
      <c r="AF50" s="7">
        <v>0.161</v>
      </c>
    </row>
    <row r="51" spans="1:32">
      <c r="A51" t="s">
        <v>7137</v>
      </c>
      <c r="B51" t="s">
        <v>7138</v>
      </c>
      <c r="C51" t="s">
        <v>7139</v>
      </c>
      <c r="D51" t="s">
        <v>7862</v>
      </c>
      <c r="E51" t="s">
        <v>7839</v>
      </c>
      <c r="F51" t="s">
        <v>7853</v>
      </c>
      <c r="G51" t="s">
        <v>8133</v>
      </c>
      <c r="H51" t="s">
        <v>9</v>
      </c>
      <c r="I51">
        <v>43.899</v>
      </c>
      <c r="J51">
        <v>80.299</v>
      </c>
      <c r="K51">
        <v>0.12</v>
      </c>
      <c r="M51" t="s">
        <v>8131</v>
      </c>
      <c r="N51">
        <v>291.498</v>
      </c>
      <c r="W51" t="s">
        <v>7862</v>
      </c>
      <c r="X51" t="s">
        <v>7839</v>
      </c>
      <c r="Y51" t="s">
        <v>7853</v>
      </c>
      <c r="Z51">
        <v>43.899</v>
      </c>
      <c r="AA51" t="s">
        <v>8133</v>
      </c>
      <c r="AB51">
        <v>80.299</v>
      </c>
      <c r="AC51">
        <v>0.12</v>
      </c>
      <c r="AD51" s="6" t="s">
        <v>8134</v>
      </c>
      <c r="AE51" s="7">
        <v>104.445</v>
      </c>
      <c r="AF51" s="7">
        <v>0.116666666666667</v>
      </c>
    </row>
    <row r="52" spans="1:32">
      <c r="A52" t="s">
        <v>6785</v>
      </c>
      <c r="B52" t="s">
        <v>6786</v>
      </c>
      <c r="C52" t="s">
        <v>6787</v>
      </c>
      <c r="D52" t="s">
        <v>7850</v>
      </c>
      <c r="E52" t="s">
        <v>7840</v>
      </c>
      <c r="F52" t="s">
        <v>7840</v>
      </c>
      <c r="G52" t="s">
        <v>8127</v>
      </c>
      <c r="H52" t="s">
        <v>9</v>
      </c>
      <c r="I52">
        <v>0.943</v>
      </c>
      <c r="K52">
        <v>0.025</v>
      </c>
      <c r="M52" t="s">
        <v>8132</v>
      </c>
      <c r="N52">
        <v>78.519</v>
      </c>
      <c r="W52" t="s">
        <v>7850</v>
      </c>
      <c r="X52" t="s">
        <v>7840</v>
      </c>
      <c r="Y52" t="s">
        <v>7840</v>
      </c>
      <c r="Z52">
        <v>0.943</v>
      </c>
      <c r="AA52" t="s">
        <v>8127</v>
      </c>
      <c r="AC52">
        <v>0.025</v>
      </c>
      <c r="AD52" s="6" t="s">
        <v>162</v>
      </c>
      <c r="AE52" s="7">
        <v>98.6121636363636</v>
      </c>
      <c r="AF52" s="7">
        <v>0.160483333333333</v>
      </c>
    </row>
    <row r="53" spans="1:32">
      <c r="A53" t="s">
        <v>6797</v>
      </c>
      <c r="B53" t="s">
        <v>6798</v>
      </c>
      <c r="C53" t="s">
        <v>6799</v>
      </c>
      <c r="D53" t="s">
        <v>7850</v>
      </c>
      <c r="E53" t="s">
        <v>7839</v>
      </c>
      <c r="F53" t="s">
        <v>7840</v>
      </c>
      <c r="G53" t="s">
        <v>8131</v>
      </c>
      <c r="H53" t="s">
        <v>9</v>
      </c>
      <c r="I53">
        <v>252.963</v>
      </c>
      <c r="J53">
        <v>99.137</v>
      </c>
      <c r="K53">
        <v>0.28</v>
      </c>
      <c r="M53" t="s">
        <v>8133</v>
      </c>
      <c r="N53">
        <v>43.899</v>
      </c>
      <c r="W53" t="s">
        <v>7850</v>
      </c>
      <c r="X53" t="s">
        <v>7839</v>
      </c>
      <c r="Y53" t="s">
        <v>7840</v>
      </c>
      <c r="Z53">
        <v>252.963</v>
      </c>
      <c r="AA53" t="s">
        <v>8131</v>
      </c>
      <c r="AB53">
        <v>99.137</v>
      </c>
      <c r="AC53">
        <v>0.28</v>
      </c>
    </row>
    <row r="54" spans="1:32">
      <c r="A54" t="s">
        <v>7168</v>
      </c>
      <c r="B54" t="s">
        <v>7169</v>
      </c>
      <c r="C54" t="s">
        <v>7170</v>
      </c>
      <c r="D54" t="s">
        <v>7862</v>
      </c>
      <c r="E54" t="s">
        <v>7839</v>
      </c>
      <c r="F54" t="s">
        <v>7853</v>
      </c>
      <c r="G54" t="s">
        <v>8129</v>
      </c>
      <c r="H54" t="s">
        <v>9</v>
      </c>
      <c r="I54">
        <v>296.298</v>
      </c>
      <c r="J54">
        <v>86.419</v>
      </c>
      <c r="K54">
        <v>0.13</v>
      </c>
      <c r="M54" t="s">
        <v>8127</v>
      </c>
      <c r="N54">
        <v>0.943</v>
      </c>
      <c r="W54" t="s">
        <v>7862</v>
      </c>
      <c r="X54" t="s">
        <v>7839</v>
      </c>
      <c r="Y54" t="s">
        <v>7853</v>
      </c>
      <c r="Z54">
        <v>296.298</v>
      </c>
      <c r="AA54" t="s">
        <v>8129</v>
      </c>
      <c r="AB54">
        <v>86.419</v>
      </c>
      <c r="AC54">
        <v>0.13</v>
      </c>
    </row>
    <row r="55" spans="1:32">
      <c r="A55" t="s">
        <v>7193</v>
      </c>
      <c r="B55" t="s">
        <v>7194</v>
      </c>
      <c r="C55" t="s">
        <v>7195</v>
      </c>
      <c r="D55" t="s">
        <v>7862</v>
      </c>
      <c r="E55" t="s">
        <v>7839</v>
      </c>
      <c r="F55" t="s">
        <v>7853</v>
      </c>
      <c r="G55" t="s">
        <v>8128</v>
      </c>
      <c r="H55" t="s">
        <v>9</v>
      </c>
      <c r="I55">
        <v>413.397</v>
      </c>
      <c r="J55">
        <v>814.363</v>
      </c>
      <c r="K55">
        <v>0.16</v>
      </c>
      <c r="M55" t="s">
        <v>8131</v>
      </c>
      <c r="N55">
        <v>252.963</v>
      </c>
      <c r="W55" t="s">
        <v>7862</v>
      </c>
      <c r="X55" t="s">
        <v>7839</v>
      </c>
      <c r="Y55" t="s">
        <v>7853</v>
      </c>
      <c r="Z55">
        <v>413.397</v>
      </c>
      <c r="AA55" t="s">
        <v>8128</v>
      </c>
      <c r="AB55">
        <v>814.363</v>
      </c>
      <c r="AC55">
        <v>0.16</v>
      </c>
    </row>
    <row r="56" spans="1:32">
      <c r="A56" t="s">
        <v>7120</v>
      </c>
      <c r="B56" t="s">
        <v>7121</v>
      </c>
      <c r="C56" t="s">
        <v>7122</v>
      </c>
      <c r="D56" t="s">
        <v>7862</v>
      </c>
      <c r="E56" t="s">
        <v>7857</v>
      </c>
      <c r="F56" t="s">
        <v>7853</v>
      </c>
      <c r="G56" t="s">
        <v>8134</v>
      </c>
      <c r="H56" t="s">
        <v>9</v>
      </c>
      <c r="I56">
        <v>11.158</v>
      </c>
      <c r="J56">
        <v>109.353</v>
      </c>
      <c r="K56">
        <v>0.13</v>
      </c>
      <c r="M56" t="s">
        <v>8129</v>
      </c>
      <c r="N56">
        <v>296.298</v>
      </c>
      <c r="W56" t="s">
        <v>7862</v>
      </c>
      <c r="X56" t="s">
        <v>7857</v>
      </c>
      <c r="Y56" t="s">
        <v>7853</v>
      </c>
      <c r="Z56">
        <v>11.158</v>
      </c>
      <c r="AA56" t="s">
        <v>8134</v>
      </c>
      <c r="AB56">
        <v>109.353</v>
      </c>
      <c r="AC56">
        <v>0.13</v>
      </c>
    </row>
    <row r="57" spans="1:32">
      <c r="A57" t="s">
        <v>7203</v>
      </c>
      <c r="B57" t="s">
        <v>7204</v>
      </c>
      <c r="C57" t="s">
        <v>7205</v>
      </c>
      <c r="D57" t="s">
        <v>7862</v>
      </c>
      <c r="E57" t="s">
        <v>7839</v>
      </c>
      <c r="F57" t="s">
        <v>7888</v>
      </c>
      <c r="G57" t="s">
        <v>8127</v>
      </c>
      <c r="H57" t="s">
        <v>9</v>
      </c>
      <c r="I57">
        <v>129.888</v>
      </c>
      <c r="J57">
        <v>59.595</v>
      </c>
      <c r="K57">
        <v>0.095</v>
      </c>
      <c r="M57" t="s">
        <v>8128</v>
      </c>
      <c r="N57">
        <v>413.397</v>
      </c>
      <c r="W57" t="s">
        <v>7862</v>
      </c>
      <c r="X57" t="s">
        <v>7839</v>
      </c>
      <c r="Y57" t="s">
        <v>7888</v>
      </c>
      <c r="Z57">
        <v>129.888</v>
      </c>
      <c r="AA57" t="s">
        <v>8127</v>
      </c>
      <c r="AB57">
        <v>59.595</v>
      </c>
      <c r="AC57">
        <v>0.095</v>
      </c>
    </row>
    <row r="58" spans="1:32">
      <c r="A58" t="s">
        <v>7237</v>
      </c>
      <c r="B58" t="s">
        <v>7238</v>
      </c>
      <c r="C58" t="s">
        <v>7239</v>
      </c>
      <c r="D58" t="s">
        <v>7862</v>
      </c>
      <c r="E58" t="s">
        <v>7839</v>
      </c>
      <c r="F58" t="s">
        <v>7853</v>
      </c>
      <c r="G58" t="s">
        <v>8131</v>
      </c>
      <c r="H58" t="s">
        <v>9</v>
      </c>
      <c r="I58">
        <v>926.879</v>
      </c>
      <c r="J58">
        <v>87.634</v>
      </c>
      <c r="K58">
        <v>0.14</v>
      </c>
      <c r="M58" t="s">
        <v>8134</v>
      </c>
      <c r="N58">
        <v>11.158</v>
      </c>
      <c r="W58" t="s">
        <v>7862</v>
      </c>
      <c r="X58" t="s">
        <v>7839</v>
      </c>
      <c r="Y58" t="s">
        <v>7853</v>
      </c>
      <c r="Z58">
        <v>926.879</v>
      </c>
      <c r="AA58" t="s">
        <v>8131</v>
      </c>
      <c r="AB58">
        <v>87.634</v>
      </c>
      <c r="AC58">
        <v>0.14</v>
      </c>
    </row>
    <row r="59" spans="1:32">
      <c r="A59" t="s">
        <v>6624</v>
      </c>
      <c r="B59" t="s">
        <v>6625</v>
      </c>
      <c r="C59" t="s">
        <v>6626</v>
      </c>
      <c r="D59" t="s">
        <v>7862</v>
      </c>
      <c r="E59" t="s">
        <v>7839</v>
      </c>
      <c r="F59" t="s">
        <v>7853</v>
      </c>
      <c r="G59" t="s">
        <v>8131</v>
      </c>
      <c r="H59" t="s">
        <v>9</v>
      </c>
      <c r="I59">
        <v>45.609</v>
      </c>
      <c r="J59">
        <v>99.284</v>
      </c>
      <c r="K59">
        <v>0.45</v>
      </c>
      <c r="M59" t="s">
        <v>8127</v>
      </c>
      <c r="N59">
        <v>129.888</v>
      </c>
      <c r="W59" t="s">
        <v>7862</v>
      </c>
      <c r="X59" t="s">
        <v>7839</v>
      </c>
      <c r="Y59" t="s">
        <v>7853</v>
      </c>
      <c r="Z59">
        <v>45.609</v>
      </c>
      <c r="AA59" t="s">
        <v>8131</v>
      </c>
      <c r="AB59">
        <v>99.284</v>
      </c>
      <c r="AC59">
        <v>0.45</v>
      </c>
    </row>
    <row r="60" spans="1:32">
      <c r="A60" t="s">
        <v>7221</v>
      </c>
      <c r="B60" t="s">
        <v>7222</v>
      </c>
      <c r="C60" t="s">
        <v>7223</v>
      </c>
      <c r="D60" t="s">
        <v>7862</v>
      </c>
      <c r="E60" t="s">
        <v>7839</v>
      </c>
      <c r="F60" t="s">
        <v>7888</v>
      </c>
      <c r="G60" t="s">
        <v>8131</v>
      </c>
      <c r="H60" t="s">
        <v>9</v>
      </c>
      <c r="I60">
        <v>962.91</v>
      </c>
      <c r="J60">
        <v>40.915</v>
      </c>
      <c r="K60">
        <v>0.14</v>
      </c>
      <c r="M60" t="s">
        <v>8131</v>
      </c>
      <c r="N60">
        <v>926.879</v>
      </c>
      <c r="W60" t="s">
        <v>7862</v>
      </c>
      <c r="X60" t="s">
        <v>7839</v>
      </c>
      <c r="Y60" t="s">
        <v>7888</v>
      </c>
      <c r="Z60">
        <v>962.91</v>
      </c>
      <c r="AA60" t="s">
        <v>8131</v>
      </c>
      <c r="AB60">
        <v>40.915</v>
      </c>
      <c r="AC60">
        <v>0.14</v>
      </c>
    </row>
    <row r="61" spans="1:32">
      <c r="A61" t="s">
        <v>7655</v>
      </c>
      <c r="B61" t="s">
        <v>7530</v>
      </c>
      <c r="C61" t="s">
        <v>7531</v>
      </c>
      <c r="D61" t="s">
        <v>7862</v>
      </c>
      <c r="E61" t="s">
        <v>7839</v>
      </c>
      <c r="F61" t="s">
        <v>7888</v>
      </c>
      <c r="G61" t="s">
        <v>8131</v>
      </c>
      <c r="H61" t="s">
        <v>9</v>
      </c>
      <c r="I61">
        <v>20.97</v>
      </c>
      <c r="J61">
        <v>61.374</v>
      </c>
      <c r="K61">
        <v>0.14</v>
      </c>
      <c r="M61" t="s">
        <v>8131</v>
      </c>
      <c r="N61">
        <v>45.609</v>
      </c>
      <c r="W61" t="s">
        <v>7862</v>
      </c>
      <c r="X61" t="s">
        <v>7839</v>
      </c>
      <c r="Y61" t="s">
        <v>7888</v>
      </c>
      <c r="Z61">
        <v>20.97</v>
      </c>
      <c r="AA61" t="s">
        <v>8131</v>
      </c>
      <c r="AB61">
        <v>61.374</v>
      </c>
      <c r="AC61">
        <v>0.14</v>
      </c>
    </row>
    <row r="62" spans="1:32">
      <c r="A62" t="s">
        <v>7257</v>
      </c>
      <c r="B62" t="s">
        <v>7258</v>
      </c>
      <c r="C62" t="s">
        <v>7259</v>
      </c>
      <c r="D62" t="s">
        <v>7862</v>
      </c>
      <c r="E62" t="s">
        <v>7839</v>
      </c>
      <c r="F62" t="s">
        <v>7840</v>
      </c>
      <c r="G62" t="s">
        <v>8133</v>
      </c>
      <c r="H62" t="s">
        <v>9</v>
      </c>
      <c r="I62">
        <v>32.165</v>
      </c>
      <c r="J62">
        <v>40.774</v>
      </c>
      <c r="K62">
        <v>0.12</v>
      </c>
      <c r="M62" t="s">
        <v>8131</v>
      </c>
      <c r="N62">
        <v>962.91</v>
      </c>
      <c r="W62" t="s">
        <v>7862</v>
      </c>
      <c r="X62" t="s">
        <v>7839</v>
      </c>
      <c r="Y62" t="s">
        <v>7840</v>
      </c>
      <c r="Z62">
        <v>32.165</v>
      </c>
      <c r="AA62" t="s">
        <v>8133</v>
      </c>
      <c r="AB62">
        <v>40.774</v>
      </c>
      <c r="AC62">
        <v>0.12</v>
      </c>
    </row>
    <row r="63" spans="1:32">
      <c r="A63" t="s">
        <v>336</v>
      </c>
      <c r="B63" t="s">
        <v>337</v>
      </c>
      <c r="C63" t="s">
        <v>338</v>
      </c>
      <c r="D63" t="s">
        <v>7862</v>
      </c>
      <c r="E63" t="s">
        <v>7848</v>
      </c>
      <c r="F63" t="s">
        <v>7840</v>
      </c>
      <c r="G63" t="s">
        <v>8135</v>
      </c>
      <c r="H63" t="s">
        <v>9</v>
      </c>
      <c r="I63">
        <v>4.083</v>
      </c>
      <c r="J63">
        <v>69.552</v>
      </c>
      <c r="M63" t="s">
        <v>8131</v>
      </c>
      <c r="N63">
        <v>20.97</v>
      </c>
      <c r="W63" t="s">
        <v>7862</v>
      </c>
      <c r="X63" t="s">
        <v>7848</v>
      </c>
      <c r="Y63" t="s">
        <v>7840</v>
      </c>
      <c r="Z63">
        <v>4.083</v>
      </c>
      <c r="AA63" t="s">
        <v>8135</v>
      </c>
      <c r="AB63">
        <v>69.552</v>
      </c>
    </row>
    <row r="64" spans="1:32">
      <c r="A64" t="s">
        <v>7529</v>
      </c>
      <c r="B64" t="s">
        <v>7530</v>
      </c>
      <c r="C64" t="s">
        <v>7531</v>
      </c>
      <c r="D64" t="s">
        <v>7862</v>
      </c>
      <c r="E64" t="s">
        <v>7839</v>
      </c>
      <c r="F64" t="s">
        <v>7888</v>
      </c>
      <c r="G64" t="s">
        <v>8131</v>
      </c>
      <c r="H64" t="s">
        <v>9</v>
      </c>
      <c r="I64">
        <v>23.459</v>
      </c>
      <c r="J64">
        <v>60.423</v>
      </c>
      <c r="K64">
        <v>0.14</v>
      </c>
      <c r="M64" t="s">
        <v>8133</v>
      </c>
      <c r="N64">
        <v>32.165</v>
      </c>
      <c r="W64" t="s">
        <v>7862</v>
      </c>
      <c r="X64" t="s">
        <v>7839</v>
      </c>
      <c r="Y64" t="s">
        <v>7888</v>
      </c>
      <c r="Z64">
        <v>23.459</v>
      </c>
      <c r="AA64" t="s">
        <v>8131</v>
      </c>
      <c r="AB64">
        <v>60.423</v>
      </c>
      <c r="AC64">
        <v>0.14</v>
      </c>
    </row>
    <row r="65" spans="1:29">
      <c r="A65" t="s">
        <v>5985</v>
      </c>
      <c r="B65" t="s">
        <v>5986</v>
      </c>
      <c r="C65" t="s">
        <v>5987</v>
      </c>
      <c r="D65" t="s">
        <v>7862</v>
      </c>
      <c r="E65" t="s">
        <v>7857</v>
      </c>
      <c r="F65" t="s">
        <v>7853</v>
      </c>
      <c r="G65" t="s">
        <v>8134</v>
      </c>
      <c r="H65" t="s">
        <v>9</v>
      </c>
      <c r="I65">
        <v>6.231</v>
      </c>
      <c r="J65">
        <v>101.918</v>
      </c>
      <c r="K65">
        <v>0.11</v>
      </c>
      <c r="M65" t="s">
        <v>8135</v>
      </c>
      <c r="N65">
        <v>4.083</v>
      </c>
      <c r="W65" t="s">
        <v>7862</v>
      </c>
      <c r="X65" t="s">
        <v>7857</v>
      </c>
      <c r="Y65" t="s">
        <v>7853</v>
      </c>
      <c r="Z65">
        <v>6.231</v>
      </c>
      <c r="AA65" t="s">
        <v>8134</v>
      </c>
      <c r="AB65">
        <v>101.918</v>
      </c>
      <c r="AC65">
        <v>0.11</v>
      </c>
    </row>
    <row r="66" spans="1:29">
      <c r="J66">
        <f>AVERAGE(J2:J65)</f>
        <v>98.6121636363636</v>
      </c>
      <c r="K66">
        <f>AVERAGE(K2:K65)</f>
        <v>0.160483333333333</v>
      </c>
      <c r="M66" t="s">
        <v>8131</v>
      </c>
      <c r="N66">
        <v>23.459</v>
      </c>
    </row>
    <row r="67" spans="1:29">
      <c r="M67" t="s">
        <v>8134</v>
      </c>
      <c r="N67">
        <v>6.231</v>
      </c>
    </row>
  </sheetData>
  <pageMargins left="0.75" right="0.75" top="1" bottom="1" header="0.5" footer="0.5"/>
  <headerFooter/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7"/>
  <sheetViews>
    <sheetView zoomScale="82" zoomScaleNormal="82" topLeftCell="Q19" workbookViewId="0">
      <selection activeCell="N38" sqref="N38:P39"/>
    </sheetView>
  </sheetViews>
  <sheetFormatPr defaultColWidth="8.72727272727273" defaultRowHeight="14"/>
  <cols>
    <col min="10" max="10" width="22" customWidth="1"/>
    <col min="11" max="11" width="20.5454545454545" customWidth="1"/>
    <col min="12" max="12" width="10.3636363636364" customWidth="1"/>
    <col min="13" max="13" width="17.8181818181818" customWidth="1"/>
    <col min="15" max="15" width="42.7272727272727" customWidth="1"/>
    <col min="16" max="18" width="22.1818181818182" customWidth="1"/>
  </cols>
  <sheetData>
    <row r="1" ht="18" customHeight="1" spans="1:19">
      <c r="A1" s="1" t="s">
        <v>0</v>
      </c>
      <c r="B1" s="1" t="s">
        <v>1</v>
      </c>
      <c r="C1" s="1" t="s">
        <v>2</v>
      </c>
      <c r="D1" s="1" t="s">
        <v>7832</v>
      </c>
      <c r="E1" s="1" t="s">
        <v>7833</v>
      </c>
      <c r="F1" s="1" t="s">
        <v>7834</v>
      </c>
      <c r="G1" s="1" t="s">
        <v>7835</v>
      </c>
      <c r="H1" s="1" t="s">
        <v>3</v>
      </c>
      <c r="I1" s="1" t="s">
        <v>5</v>
      </c>
      <c r="J1" s="1" t="s">
        <v>7836</v>
      </c>
      <c r="K1" s="2" t="s">
        <v>7837</v>
      </c>
      <c r="M1" s="1" t="s">
        <v>7835</v>
      </c>
      <c r="N1" s="1" t="s">
        <v>5</v>
      </c>
    </row>
    <row r="2" spans="1:19">
      <c r="A2" t="s">
        <v>342</v>
      </c>
      <c r="B2" t="s">
        <v>343</v>
      </c>
      <c r="C2" t="s">
        <v>344</v>
      </c>
      <c r="D2" t="s">
        <v>7847</v>
      </c>
      <c r="E2" t="s">
        <v>7839</v>
      </c>
      <c r="F2" t="s">
        <v>7935</v>
      </c>
      <c r="G2" t="s">
        <v>8137</v>
      </c>
      <c r="H2" t="s">
        <v>9</v>
      </c>
      <c r="I2">
        <v>801.592</v>
      </c>
      <c r="J2">
        <v>12.195</v>
      </c>
      <c r="K2">
        <v>0.5</v>
      </c>
      <c r="M2" t="s">
        <v>8137</v>
      </c>
      <c r="N2">
        <v>801.592</v>
      </c>
      <c r="O2" t="s">
        <v>15</v>
      </c>
      <c r="P2" t="s">
        <v>16</v>
      </c>
      <c r="Q2" s="3" t="s">
        <v>16</v>
      </c>
      <c r="R2" s="4"/>
      <c r="S2" s="5" t="s">
        <v>19</v>
      </c>
    </row>
    <row r="3" spans="1:19">
      <c r="A3" t="s">
        <v>6868</v>
      </c>
      <c r="B3" t="s">
        <v>6869</v>
      </c>
      <c r="C3" t="s">
        <v>6870</v>
      </c>
      <c r="D3" t="s">
        <v>7862</v>
      </c>
      <c r="E3" t="s">
        <v>7839</v>
      </c>
      <c r="F3" t="s">
        <v>7853</v>
      </c>
      <c r="G3" t="s">
        <v>8138</v>
      </c>
      <c r="H3" t="s">
        <v>9</v>
      </c>
      <c r="I3">
        <v>225.968</v>
      </c>
      <c r="J3">
        <v>13.542</v>
      </c>
      <c r="K3">
        <v>0.15</v>
      </c>
      <c r="M3" t="s">
        <v>8138</v>
      </c>
      <c r="N3">
        <v>225.968</v>
      </c>
      <c r="O3" s="6" t="s">
        <v>8139</v>
      </c>
      <c r="P3" s="7">
        <v>3937.853</v>
      </c>
      <c r="Q3" s="7">
        <v>3937.853</v>
      </c>
      <c r="R3" s="6" t="s">
        <v>8139</v>
      </c>
      <c r="S3" s="8">
        <f t="shared" ref="S3:S8" si="0">Q3/$Q$8</f>
        <v>0.575859361061797</v>
      </c>
    </row>
    <row r="4" spans="1:19">
      <c r="A4" t="s">
        <v>6836</v>
      </c>
      <c r="B4" t="s">
        <v>6837</v>
      </c>
      <c r="C4" t="s">
        <v>6838</v>
      </c>
      <c r="D4" t="s">
        <v>7862</v>
      </c>
      <c r="E4" t="s">
        <v>7839</v>
      </c>
      <c r="F4" t="s">
        <v>7840</v>
      </c>
      <c r="G4" t="s">
        <v>8140</v>
      </c>
      <c r="H4" t="s">
        <v>9</v>
      </c>
      <c r="I4">
        <v>203.571</v>
      </c>
      <c r="J4">
        <v>23.101</v>
      </c>
      <c r="K4">
        <v>0.25</v>
      </c>
      <c r="M4" t="s">
        <v>8140</v>
      </c>
      <c r="N4">
        <v>203.571</v>
      </c>
      <c r="O4" s="6" t="s">
        <v>8138</v>
      </c>
      <c r="P4" s="7">
        <v>1702.2</v>
      </c>
      <c r="Q4" s="7">
        <v>1702.2</v>
      </c>
      <c r="R4" s="6" t="s">
        <v>8138</v>
      </c>
      <c r="S4" s="8">
        <f t="shared" si="0"/>
        <v>0.248924427701946</v>
      </c>
    </row>
    <row r="5" spans="1:19">
      <c r="A5" t="s">
        <v>704</v>
      </c>
      <c r="B5" t="s">
        <v>705</v>
      </c>
      <c r="C5" t="s">
        <v>706</v>
      </c>
      <c r="D5" t="s">
        <v>7862</v>
      </c>
      <c r="E5" t="s">
        <v>7839</v>
      </c>
      <c r="F5" t="s">
        <v>7840</v>
      </c>
      <c r="G5" t="s">
        <v>8138</v>
      </c>
      <c r="H5" t="s">
        <v>9</v>
      </c>
      <c r="I5">
        <v>898.145</v>
      </c>
      <c r="J5">
        <v>51.809</v>
      </c>
      <c r="K5">
        <v>0.15</v>
      </c>
      <c r="M5" t="s">
        <v>8138</v>
      </c>
      <c r="N5">
        <v>898.145</v>
      </c>
      <c r="O5" s="6" t="s">
        <v>8137</v>
      </c>
      <c r="P5" s="7">
        <v>845.569</v>
      </c>
      <c r="Q5" s="7">
        <v>845.569</v>
      </c>
      <c r="R5" s="6" t="s">
        <v>8137</v>
      </c>
      <c r="S5" s="8">
        <f t="shared" si="0"/>
        <v>0.123653377633361</v>
      </c>
    </row>
    <row r="6" spans="1:19">
      <c r="A6" t="s">
        <v>2607</v>
      </c>
      <c r="B6" t="s">
        <v>2608</v>
      </c>
      <c r="C6" t="s">
        <v>2609</v>
      </c>
      <c r="D6" t="s">
        <v>7847</v>
      </c>
      <c r="E6" t="s">
        <v>7839</v>
      </c>
      <c r="F6" t="s">
        <v>7840</v>
      </c>
      <c r="G6" t="s">
        <v>8137</v>
      </c>
      <c r="H6" t="s">
        <v>9</v>
      </c>
      <c r="I6">
        <v>43.977</v>
      </c>
      <c r="J6">
        <v>8.314</v>
      </c>
      <c r="K6">
        <v>0.2</v>
      </c>
      <c r="M6" t="s">
        <v>8137</v>
      </c>
      <c r="N6">
        <v>43.977</v>
      </c>
      <c r="O6" s="6" t="s">
        <v>8140</v>
      </c>
      <c r="P6" s="7">
        <v>203.571</v>
      </c>
      <c r="Q6" s="7">
        <v>203.571</v>
      </c>
      <c r="R6" s="6" t="s">
        <v>8140</v>
      </c>
      <c r="S6" s="8">
        <f t="shared" si="0"/>
        <v>0.0297695891620919</v>
      </c>
    </row>
    <row r="7" spans="1:19">
      <c r="A7" t="s">
        <v>6049</v>
      </c>
      <c r="B7" t="s">
        <v>6050</v>
      </c>
      <c r="C7" t="s">
        <v>6051</v>
      </c>
      <c r="D7" t="s">
        <v>7847</v>
      </c>
      <c r="E7" t="s">
        <v>7840</v>
      </c>
      <c r="F7" t="s">
        <v>7853</v>
      </c>
      <c r="G7" t="s">
        <v>8141</v>
      </c>
      <c r="H7" t="s">
        <v>9</v>
      </c>
      <c r="I7">
        <v>149.027</v>
      </c>
      <c r="K7">
        <v>0.25</v>
      </c>
      <c r="M7" t="s">
        <v>8141</v>
      </c>
      <c r="N7">
        <v>149.027</v>
      </c>
      <c r="O7" s="6" t="s">
        <v>8141</v>
      </c>
      <c r="P7" s="7">
        <v>149.027</v>
      </c>
      <c r="Q7" s="7">
        <v>149.027</v>
      </c>
      <c r="R7" s="6" t="s">
        <v>8141</v>
      </c>
      <c r="S7" s="8">
        <f t="shared" si="0"/>
        <v>0.0217932444408048</v>
      </c>
    </row>
    <row r="8" spans="1:19">
      <c r="A8" t="s">
        <v>6372</v>
      </c>
      <c r="B8" t="s">
        <v>6373</v>
      </c>
      <c r="C8" t="s">
        <v>6374</v>
      </c>
      <c r="D8" t="s">
        <v>7850</v>
      </c>
      <c r="E8" t="s">
        <v>7839</v>
      </c>
      <c r="F8" t="s">
        <v>7840</v>
      </c>
      <c r="G8" t="s">
        <v>8138</v>
      </c>
      <c r="H8" t="s">
        <v>9</v>
      </c>
      <c r="I8">
        <v>578.087</v>
      </c>
      <c r="J8">
        <v>16.416</v>
      </c>
      <c r="K8">
        <v>0.15</v>
      </c>
      <c r="M8" t="s">
        <v>8138</v>
      </c>
      <c r="N8">
        <v>578.087</v>
      </c>
      <c r="O8" s="6" t="s">
        <v>162</v>
      </c>
      <c r="P8" s="7">
        <v>6838.22</v>
      </c>
      <c r="Q8" s="9">
        <v>6838.22</v>
      </c>
      <c r="R8" s="10"/>
      <c r="S8">
        <f t="shared" si="0"/>
        <v>1</v>
      </c>
    </row>
    <row r="9" spans="1:19">
      <c r="A9" t="s">
        <v>1275</v>
      </c>
      <c r="B9" t="s">
        <v>1276</v>
      </c>
      <c r="C9" t="s">
        <v>1277</v>
      </c>
      <c r="D9" t="s">
        <v>7862</v>
      </c>
      <c r="E9" t="s">
        <v>7839</v>
      </c>
      <c r="F9" t="s">
        <v>7840</v>
      </c>
      <c r="G9" t="s">
        <v>8139</v>
      </c>
      <c r="H9" t="s">
        <v>9</v>
      </c>
      <c r="I9">
        <v>3937.853</v>
      </c>
      <c r="J9">
        <v>8.254</v>
      </c>
      <c r="K9">
        <v>0.18</v>
      </c>
      <c r="M9" t="s">
        <v>8139</v>
      </c>
      <c r="N9">
        <v>3937.853</v>
      </c>
    </row>
    <row r="10" spans="1:19">
      <c r="J10">
        <f>AVERAGE(J2:J9)</f>
        <v>19.0901428571429</v>
      </c>
      <c r="K10">
        <f>AVERAGE(K2:K9)</f>
        <v>0.22875</v>
      </c>
    </row>
    <row r="29" spans="4:16">
      <c r="L29" t="s">
        <v>15</v>
      </c>
      <c r="M29" t="s">
        <v>7843</v>
      </c>
    </row>
    <row r="30" ht="20" customHeight="1" spans="4:16">
      <c r="D30" s="1" t="s">
        <v>7835</v>
      </c>
      <c r="E30" s="1" t="s">
        <v>7832</v>
      </c>
      <c r="F30" s="1" t="s">
        <v>7833</v>
      </c>
      <c r="G30" s="1" t="s">
        <v>7834</v>
      </c>
      <c r="H30" s="1" t="s">
        <v>5</v>
      </c>
      <c r="I30" s="1" t="s">
        <v>7836</v>
      </c>
      <c r="J30" s="2" t="s">
        <v>7837</v>
      </c>
      <c r="L30" s="6" t="s">
        <v>7850</v>
      </c>
      <c r="M30" s="7">
        <v>1</v>
      </c>
      <c r="N30" s="6" t="s">
        <v>7850</v>
      </c>
      <c r="O30" s="7">
        <v>1</v>
      </c>
      <c r="P30" s="8">
        <f>O30/GETPIVOTDATA("基金策略
",$L$29)</f>
        <v>0.125</v>
      </c>
    </row>
    <row r="31" spans="4:16">
      <c r="D31" t="s">
        <v>8137</v>
      </c>
      <c r="E31" t="s">
        <v>7847</v>
      </c>
      <c r="F31" t="s">
        <v>7839</v>
      </c>
      <c r="G31" t="s">
        <v>7935</v>
      </c>
      <c r="H31">
        <v>801.592</v>
      </c>
      <c r="I31">
        <v>12.195</v>
      </c>
      <c r="J31">
        <v>0.5</v>
      </c>
      <c r="L31" s="6" t="s">
        <v>7847</v>
      </c>
      <c r="M31" s="7">
        <v>3</v>
      </c>
      <c r="N31" s="6" t="s">
        <v>7847</v>
      </c>
      <c r="O31" s="7">
        <v>3</v>
      </c>
      <c r="P31" s="8">
        <f t="shared" ref="P31:P32" si="1">O31/GETPIVOTDATA("基金策略
",$L$29)</f>
        <v>0.375</v>
      </c>
    </row>
    <row r="32" spans="4:16">
      <c r="D32" t="s">
        <v>8138</v>
      </c>
      <c r="E32" t="s">
        <v>7862</v>
      </c>
      <c r="F32" t="s">
        <v>7839</v>
      </c>
      <c r="G32" t="s">
        <v>7853</v>
      </c>
      <c r="H32">
        <v>225.968</v>
      </c>
      <c r="I32">
        <v>13.542</v>
      </c>
      <c r="J32">
        <v>0.15</v>
      </c>
      <c r="L32" s="6" t="s">
        <v>7862</v>
      </c>
      <c r="M32" s="7">
        <v>4</v>
      </c>
      <c r="N32" s="6" t="s">
        <v>7862</v>
      </c>
      <c r="O32" s="7">
        <v>4</v>
      </c>
      <c r="P32" s="8">
        <f t="shared" si="1"/>
        <v>0.5</v>
      </c>
    </row>
    <row r="33" spans="4:16">
      <c r="D33" t="s">
        <v>8140</v>
      </c>
      <c r="E33" t="s">
        <v>7862</v>
      </c>
      <c r="F33" t="s">
        <v>7839</v>
      </c>
      <c r="G33" t="s">
        <v>7840</v>
      </c>
      <c r="H33">
        <v>203.571</v>
      </c>
      <c r="I33">
        <v>23.101</v>
      </c>
      <c r="J33">
        <v>0.25</v>
      </c>
      <c r="L33" s="6" t="s">
        <v>162</v>
      </c>
      <c r="M33" s="7">
        <v>8</v>
      </c>
      <c r="N33" s="11" t="s">
        <v>162</v>
      </c>
      <c r="O33" s="12">
        <v>8</v>
      </c>
    </row>
    <row r="34" spans="4:16">
      <c r="D34" t="s">
        <v>8138</v>
      </c>
      <c r="E34" t="s">
        <v>7862</v>
      </c>
      <c r="F34" t="s">
        <v>7839</v>
      </c>
      <c r="G34" t="s">
        <v>7840</v>
      </c>
      <c r="H34">
        <v>898.145</v>
      </c>
      <c r="I34">
        <v>51.809</v>
      </c>
      <c r="J34">
        <v>0.15</v>
      </c>
    </row>
    <row r="35" spans="4:16">
      <c r="D35" t="s">
        <v>8137</v>
      </c>
      <c r="E35" t="s">
        <v>7847</v>
      </c>
      <c r="F35" t="s">
        <v>7839</v>
      </c>
      <c r="G35" t="s">
        <v>7840</v>
      </c>
      <c r="H35">
        <v>43.977</v>
      </c>
      <c r="I35">
        <v>8.314</v>
      </c>
      <c r="J35">
        <v>0.2</v>
      </c>
    </row>
    <row r="36" spans="4:16">
      <c r="D36" t="s">
        <v>8141</v>
      </c>
      <c r="E36" t="s">
        <v>7847</v>
      </c>
      <c r="F36" t="s">
        <v>7840</v>
      </c>
      <c r="G36" t="s">
        <v>7853</v>
      </c>
      <c r="H36">
        <v>149.027</v>
      </c>
      <c r="J36">
        <v>0.25</v>
      </c>
    </row>
    <row r="37" spans="4:16">
      <c r="D37" t="s">
        <v>8138</v>
      </c>
      <c r="E37" t="s">
        <v>7850</v>
      </c>
      <c r="F37" t="s">
        <v>7839</v>
      </c>
      <c r="G37" t="s">
        <v>7840</v>
      </c>
      <c r="H37">
        <v>578.087</v>
      </c>
      <c r="I37">
        <v>16.416</v>
      </c>
      <c r="J37">
        <v>0.15</v>
      </c>
      <c r="L37" t="s">
        <v>15</v>
      </c>
      <c r="M37" t="s">
        <v>7897</v>
      </c>
    </row>
    <row r="38" spans="4:16">
      <c r="D38" t="s">
        <v>8139</v>
      </c>
      <c r="E38" t="s">
        <v>7862</v>
      </c>
      <c r="F38" t="s">
        <v>7839</v>
      </c>
      <c r="G38" t="s">
        <v>7840</v>
      </c>
      <c r="H38">
        <v>3937.853</v>
      </c>
      <c r="I38">
        <v>8.254</v>
      </c>
      <c r="J38">
        <v>0.18</v>
      </c>
      <c r="L38" s="6" t="s">
        <v>7840</v>
      </c>
      <c r="M38" s="7">
        <v>1</v>
      </c>
      <c r="N38" s="5" t="s">
        <v>8142</v>
      </c>
      <c r="P38" s="5" t="s">
        <v>19</v>
      </c>
    </row>
    <row r="39" spans="4:16">
      <c r="L39" s="6" t="s">
        <v>7839</v>
      </c>
      <c r="M39" s="7">
        <v>7</v>
      </c>
      <c r="N39" s="6" t="s">
        <v>7839</v>
      </c>
      <c r="O39" s="7">
        <v>7</v>
      </c>
      <c r="P39" s="13">
        <v>1</v>
      </c>
    </row>
    <row r="40" spans="4:16">
      <c r="L40" s="6" t="s">
        <v>162</v>
      </c>
      <c r="M40" s="7">
        <v>8</v>
      </c>
    </row>
    <row r="43" spans="4:16">
      <c r="L43" t="s">
        <v>15</v>
      </c>
      <c r="M43" t="s">
        <v>7928</v>
      </c>
    </row>
    <row r="44" spans="4:16">
      <c r="L44" s="6" t="s">
        <v>7840</v>
      </c>
      <c r="M44" s="7">
        <v>5</v>
      </c>
    </row>
    <row r="45" spans="4:16">
      <c r="L45" s="6" t="s">
        <v>7935</v>
      </c>
      <c r="M45" s="7">
        <v>1</v>
      </c>
      <c r="N45" s="6" t="s">
        <v>7935</v>
      </c>
      <c r="O45" s="7">
        <v>1</v>
      </c>
      <c r="P45" s="8">
        <v>0.333</v>
      </c>
    </row>
    <row r="46" spans="4:16">
      <c r="L46" s="6" t="s">
        <v>7853</v>
      </c>
      <c r="M46" s="7">
        <v>2</v>
      </c>
      <c r="N46" s="6" t="s">
        <v>7853</v>
      </c>
      <c r="O46" s="7">
        <v>2</v>
      </c>
      <c r="P46" s="8">
        <v>0.667</v>
      </c>
    </row>
    <row r="47" spans="4:16">
      <c r="L47" s="6" t="s">
        <v>162</v>
      </c>
      <c r="M47" s="7">
        <v>8</v>
      </c>
    </row>
  </sheetData>
  <pageMargins left="0.75" right="0.75" top="1" bottom="1" header="0.5" footer="0.5"/>
  <pageSetup paperSize="9" orientation="portrait"/>
  <headerFooter/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4"/>
  <sheetViews>
    <sheetView zoomScale="55" zoomScaleNormal="55" workbookViewId="0">
      <selection activeCell="N34" sqref="N34"/>
    </sheetView>
  </sheetViews>
  <sheetFormatPr defaultColWidth="8.72727272727273" defaultRowHeight="14"/>
  <cols>
    <col min="10" max="10" width="28.7272727272727" customWidth="1"/>
    <col min="11" max="11" width="11.4545454545455" customWidth="1"/>
    <col min="12" max="12" width="29.5454545454545" customWidth="1"/>
    <col min="13" max="13" width="10.0909090909091" customWidth="1"/>
    <col min="14" max="14" width="17.5454545454545" customWidth="1"/>
    <col min="16" max="16" width="58.9090909090909" customWidth="1"/>
    <col min="17" max="19" width="22.1818181818182" customWidth="1"/>
  </cols>
  <sheetData>
    <row r="1" ht="25.5" customHeight="1" spans="1:20">
      <c r="A1" s="1" t="s">
        <v>0</v>
      </c>
      <c r="B1" s="1" t="s">
        <v>1</v>
      </c>
      <c r="C1" s="1" t="s">
        <v>2</v>
      </c>
      <c r="D1" s="1" t="s">
        <v>7832</v>
      </c>
      <c r="E1" s="1" t="s">
        <v>7833</v>
      </c>
      <c r="F1" s="1" t="s">
        <v>7834</v>
      </c>
      <c r="G1" s="1" t="s">
        <v>7835</v>
      </c>
      <c r="H1" s="1" t="s">
        <v>3</v>
      </c>
      <c r="I1" s="1" t="s">
        <v>5</v>
      </c>
      <c r="J1" s="1" t="s">
        <v>7836</v>
      </c>
      <c r="K1" s="2" t="s">
        <v>7837</v>
      </c>
    </row>
    <row r="2" ht="14.5" spans="1:20">
      <c r="A2" t="s">
        <v>216</v>
      </c>
      <c r="B2" t="s">
        <v>217</v>
      </c>
      <c r="C2" t="s">
        <v>218</v>
      </c>
      <c r="D2" t="s">
        <v>7862</v>
      </c>
      <c r="E2" t="s">
        <v>7839</v>
      </c>
      <c r="F2" t="s">
        <v>7840</v>
      </c>
      <c r="G2" t="s">
        <v>8143</v>
      </c>
      <c r="H2" t="s">
        <v>9</v>
      </c>
      <c r="I2">
        <v>2.137</v>
      </c>
      <c r="J2">
        <v>44.145</v>
      </c>
      <c r="K2">
        <v>0.3</v>
      </c>
      <c r="M2" s="1" t="s">
        <v>7835</v>
      </c>
      <c r="N2" s="1" t="s">
        <v>5</v>
      </c>
    </row>
    <row r="3" spans="1:20">
      <c r="A3" t="s">
        <v>807</v>
      </c>
      <c r="B3" t="s">
        <v>808</v>
      </c>
      <c r="C3" t="s">
        <v>809</v>
      </c>
      <c r="D3" t="s">
        <v>7862</v>
      </c>
      <c r="E3" t="s">
        <v>7839</v>
      </c>
      <c r="F3" t="s">
        <v>7932</v>
      </c>
      <c r="G3" t="s">
        <v>8143</v>
      </c>
      <c r="H3" t="s">
        <v>9</v>
      </c>
      <c r="I3">
        <v>14.971</v>
      </c>
      <c r="J3">
        <v>87.933</v>
      </c>
      <c r="K3">
        <v>0.06</v>
      </c>
      <c r="M3" t="s">
        <v>8143</v>
      </c>
      <c r="N3">
        <v>2.137</v>
      </c>
    </row>
    <row r="4" spans="1:20">
      <c r="A4" t="s">
        <v>1964</v>
      </c>
      <c r="B4" t="s">
        <v>1965</v>
      </c>
      <c r="C4" t="s">
        <v>1966</v>
      </c>
      <c r="D4" t="s">
        <v>7859</v>
      </c>
      <c r="E4" t="s">
        <v>7839</v>
      </c>
      <c r="F4" t="s">
        <v>7935</v>
      </c>
      <c r="G4" t="s">
        <v>8144</v>
      </c>
      <c r="H4" t="s">
        <v>9</v>
      </c>
      <c r="I4">
        <v>10.005</v>
      </c>
      <c r="J4">
        <v>98.273</v>
      </c>
      <c r="K4">
        <v>0.15</v>
      </c>
      <c r="M4" t="s">
        <v>8143</v>
      </c>
      <c r="N4">
        <v>14.971</v>
      </c>
      <c r="P4" t="s">
        <v>15</v>
      </c>
      <c r="Q4" t="s">
        <v>16</v>
      </c>
      <c r="R4" s="3" t="s">
        <v>16</v>
      </c>
      <c r="S4" s="4"/>
      <c r="T4" s="5" t="s">
        <v>19</v>
      </c>
    </row>
    <row r="5" spans="1:20">
      <c r="A5" t="s">
        <v>383</v>
      </c>
      <c r="B5" t="s">
        <v>384</v>
      </c>
      <c r="C5" t="s">
        <v>385</v>
      </c>
      <c r="D5" t="s">
        <v>7862</v>
      </c>
      <c r="E5" t="s">
        <v>7839</v>
      </c>
      <c r="F5" t="s">
        <v>7840</v>
      </c>
      <c r="G5" t="s">
        <v>8145</v>
      </c>
      <c r="H5" t="s">
        <v>9</v>
      </c>
      <c r="I5">
        <v>507.507</v>
      </c>
      <c r="J5">
        <v>71.945</v>
      </c>
      <c r="K5">
        <v>0.18</v>
      </c>
      <c r="M5" t="s">
        <v>8144</v>
      </c>
      <c r="N5">
        <v>10.005</v>
      </c>
      <c r="P5" s="6" t="s">
        <v>8146</v>
      </c>
      <c r="Q5" s="7">
        <v>807.706</v>
      </c>
      <c r="R5" s="7">
        <v>807.706</v>
      </c>
      <c r="S5" s="6" t="s">
        <v>8146</v>
      </c>
      <c r="T5" s="8">
        <f>R5/$R$13</f>
        <v>0.38757987747442</v>
      </c>
    </row>
    <row r="6" spans="1:20">
      <c r="A6" t="s">
        <v>297</v>
      </c>
      <c r="B6" t="s">
        <v>298</v>
      </c>
      <c r="C6" t="s">
        <v>299</v>
      </c>
      <c r="D6" t="s">
        <v>7862</v>
      </c>
      <c r="E6" t="s">
        <v>7839</v>
      </c>
      <c r="F6" t="s">
        <v>7853</v>
      </c>
      <c r="G6" t="s">
        <v>8146</v>
      </c>
      <c r="H6" t="s">
        <v>9</v>
      </c>
      <c r="I6">
        <v>630.601</v>
      </c>
      <c r="J6">
        <v>15.54</v>
      </c>
      <c r="K6">
        <v>0.28</v>
      </c>
      <c r="M6" t="s">
        <v>8145</v>
      </c>
      <c r="N6">
        <v>507.507</v>
      </c>
      <c r="P6" s="6" t="s">
        <v>8145</v>
      </c>
      <c r="Q6" s="7">
        <v>507.507</v>
      </c>
      <c r="R6" s="7">
        <v>507.507</v>
      </c>
      <c r="S6" s="6" t="s">
        <v>8145</v>
      </c>
      <c r="T6" s="8">
        <f t="shared" ref="T6:T13" si="0">R6/$R$13</f>
        <v>0.243528586982653</v>
      </c>
    </row>
    <row r="7" spans="1:20">
      <c r="A7" t="s">
        <v>908</v>
      </c>
      <c r="B7" t="s">
        <v>909</v>
      </c>
      <c r="C7" t="s">
        <v>910</v>
      </c>
      <c r="D7" t="s">
        <v>7847</v>
      </c>
      <c r="E7" t="s">
        <v>7839</v>
      </c>
      <c r="F7" t="s">
        <v>7840</v>
      </c>
      <c r="G7" t="s">
        <v>8143</v>
      </c>
      <c r="H7" t="s">
        <v>9</v>
      </c>
      <c r="I7">
        <v>6.01</v>
      </c>
      <c r="J7">
        <v>49.022</v>
      </c>
      <c r="K7">
        <v>0.4</v>
      </c>
      <c r="M7" t="s">
        <v>8146</v>
      </c>
      <c r="N7">
        <v>630.601</v>
      </c>
      <c r="P7" s="6" t="s">
        <v>8147</v>
      </c>
      <c r="Q7" s="7">
        <v>332.771</v>
      </c>
      <c r="R7" s="7">
        <v>332.771</v>
      </c>
      <c r="S7" s="6" t="s">
        <v>8147</v>
      </c>
      <c r="T7" s="8">
        <f t="shared" si="0"/>
        <v>0.159681051529938</v>
      </c>
    </row>
    <row r="8" spans="1:20">
      <c r="A8" t="s">
        <v>5796</v>
      </c>
      <c r="B8" t="s">
        <v>5797</v>
      </c>
      <c r="C8" t="s">
        <v>5798</v>
      </c>
      <c r="D8" t="s">
        <v>7862</v>
      </c>
      <c r="E8" t="s">
        <v>7839</v>
      </c>
      <c r="F8" t="s">
        <v>7840</v>
      </c>
      <c r="G8" t="s">
        <v>8144</v>
      </c>
      <c r="H8" t="s">
        <v>9</v>
      </c>
      <c r="I8">
        <v>23.044</v>
      </c>
      <c r="J8">
        <v>69.52</v>
      </c>
      <c r="K8">
        <v>0.35</v>
      </c>
      <c r="M8" t="s">
        <v>8143</v>
      </c>
      <c r="N8">
        <v>6.01</v>
      </c>
      <c r="P8" s="6" t="s">
        <v>8144</v>
      </c>
      <c r="Q8" s="7">
        <v>267.36</v>
      </c>
      <c r="R8" s="7">
        <v>267.36</v>
      </c>
      <c r="S8" s="6" t="s">
        <v>8144</v>
      </c>
      <c r="T8" s="8">
        <f t="shared" si="0"/>
        <v>0.128293408791765</v>
      </c>
    </row>
    <row r="9" spans="1:20">
      <c r="A9" t="s">
        <v>1981</v>
      </c>
      <c r="B9" t="s">
        <v>1982</v>
      </c>
      <c r="C9" t="s">
        <v>1983</v>
      </c>
      <c r="D9" t="s">
        <v>7847</v>
      </c>
      <c r="E9" t="s">
        <v>7839</v>
      </c>
      <c r="F9" t="s">
        <v>7840</v>
      </c>
      <c r="G9" t="s">
        <v>8143</v>
      </c>
      <c r="H9" t="s">
        <v>9</v>
      </c>
      <c r="I9">
        <v>7.626</v>
      </c>
      <c r="J9">
        <v>34.073</v>
      </c>
      <c r="K9">
        <v>0.35</v>
      </c>
      <c r="M9" t="s">
        <v>8144</v>
      </c>
      <c r="N9">
        <v>23.044</v>
      </c>
      <c r="P9" s="6" t="s">
        <v>8143</v>
      </c>
      <c r="Q9" s="7">
        <v>94.364</v>
      </c>
      <c r="R9" s="7">
        <v>94.364</v>
      </c>
      <c r="S9" s="6" t="s">
        <v>8143</v>
      </c>
      <c r="T9" s="8">
        <f t="shared" si="0"/>
        <v>0.0452808169779551</v>
      </c>
    </row>
    <row r="10" spans="1:20">
      <c r="A10" t="s">
        <v>6627</v>
      </c>
      <c r="B10" t="s">
        <v>6628</v>
      </c>
      <c r="C10" t="s">
        <v>6629</v>
      </c>
      <c r="D10" t="s">
        <v>7862</v>
      </c>
      <c r="E10" t="s">
        <v>7839</v>
      </c>
      <c r="F10" t="s">
        <v>7840</v>
      </c>
      <c r="G10" t="s">
        <v>8147</v>
      </c>
      <c r="H10" t="s">
        <v>9</v>
      </c>
      <c r="I10">
        <v>332.771</v>
      </c>
      <c r="J10">
        <v>38.471</v>
      </c>
      <c r="K10">
        <v>0.15</v>
      </c>
      <c r="M10" t="s">
        <v>8143</v>
      </c>
      <c r="N10">
        <v>7.626</v>
      </c>
      <c r="P10" s="6" t="s">
        <v>8148</v>
      </c>
      <c r="Q10" s="7">
        <v>45.48</v>
      </c>
      <c r="R10" s="7">
        <v>45.48</v>
      </c>
      <c r="S10" s="6" t="s">
        <v>8148</v>
      </c>
      <c r="T10" s="8">
        <f t="shared" si="0"/>
        <v>0.0218236992513819</v>
      </c>
    </row>
    <row r="11" spans="1:20">
      <c r="A11" t="s">
        <v>6254</v>
      </c>
      <c r="B11" t="s">
        <v>6255</v>
      </c>
      <c r="C11" t="s">
        <v>6256</v>
      </c>
      <c r="D11" t="s">
        <v>7862</v>
      </c>
      <c r="E11" t="s">
        <v>7839</v>
      </c>
      <c r="F11" t="s">
        <v>7853</v>
      </c>
      <c r="G11" t="s">
        <v>8143</v>
      </c>
      <c r="H11" t="s">
        <v>9</v>
      </c>
      <c r="I11">
        <v>63.62</v>
      </c>
      <c r="J11">
        <v>43.452</v>
      </c>
      <c r="K11">
        <v>0.3</v>
      </c>
      <c r="M11" t="s">
        <v>8147</v>
      </c>
      <c r="N11">
        <v>332.771</v>
      </c>
      <c r="P11" s="6" t="s">
        <v>8149</v>
      </c>
      <c r="Q11" s="7">
        <v>27.769</v>
      </c>
      <c r="R11" s="7">
        <v>27.769</v>
      </c>
      <c r="S11" s="6" t="s">
        <v>8149</v>
      </c>
      <c r="T11" s="8">
        <f t="shared" si="0"/>
        <v>0.0133250286831931</v>
      </c>
    </row>
    <row r="12" spans="1:20">
      <c r="A12" t="s">
        <v>6728</v>
      </c>
      <c r="B12" t="s">
        <v>6729</v>
      </c>
      <c r="C12" t="s">
        <v>6730</v>
      </c>
      <c r="D12" t="s">
        <v>7862</v>
      </c>
      <c r="E12" t="s">
        <v>7839</v>
      </c>
      <c r="F12" t="s">
        <v>7888</v>
      </c>
      <c r="G12" t="s">
        <v>8150</v>
      </c>
      <c r="H12" t="s">
        <v>9</v>
      </c>
      <c r="I12">
        <v>1.016</v>
      </c>
      <c r="J12">
        <v>100</v>
      </c>
      <c r="K12">
        <v>0.15</v>
      </c>
      <c r="M12" t="s">
        <v>8143</v>
      </c>
      <c r="N12">
        <v>63.62</v>
      </c>
      <c r="P12" s="6" t="s">
        <v>8150</v>
      </c>
      <c r="Q12" s="7">
        <v>1.016</v>
      </c>
      <c r="R12" s="7">
        <v>1.016</v>
      </c>
      <c r="S12" s="6" t="s">
        <v>8150</v>
      </c>
      <c r="T12" s="8">
        <f t="shared" si="0"/>
        <v>0.000487530308694019</v>
      </c>
    </row>
    <row r="13" spans="1:20">
      <c r="A13" t="s">
        <v>4023</v>
      </c>
      <c r="B13" t="s">
        <v>4024</v>
      </c>
      <c r="C13" t="s">
        <v>4025</v>
      </c>
      <c r="D13" t="s">
        <v>7862</v>
      </c>
      <c r="E13" t="s">
        <v>7840</v>
      </c>
      <c r="F13" t="s">
        <v>7935</v>
      </c>
      <c r="G13" t="s">
        <v>8148</v>
      </c>
      <c r="H13" t="s">
        <v>9</v>
      </c>
      <c r="I13">
        <v>19.389</v>
      </c>
      <c r="K13">
        <v>0.2</v>
      </c>
      <c r="M13" t="s">
        <v>8150</v>
      </c>
      <c r="N13">
        <v>1.016</v>
      </c>
      <c r="P13" s="6" t="s">
        <v>162</v>
      </c>
      <c r="Q13" s="7">
        <v>2083.973</v>
      </c>
      <c r="R13" s="9">
        <v>2083.973</v>
      </c>
      <c r="S13" s="10"/>
      <c r="T13" s="8">
        <f t="shared" si="0"/>
        <v>1</v>
      </c>
    </row>
    <row r="14" spans="1:20">
      <c r="A14" t="s">
        <v>282</v>
      </c>
      <c r="B14" t="s">
        <v>283</v>
      </c>
      <c r="C14" t="s">
        <v>284</v>
      </c>
      <c r="D14" t="s">
        <v>7862</v>
      </c>
      <c r="E14" t="s">
        <v>7839</v>
      </c>
      <c r="F14" t="s">
        <v>7888</v>
      </c>
      <c r="G14" t="s">
        <v>8144</v>
      </c>
      <c r="H14" t="s">
        <v>9</v>
      </c>
      <c r="I14">
        <v>176.234</v>
      </c>
      <c r="J14">
        <v>44.506</v>
      </c>
      <c r="K14">
        <v>0.28</v>
      </c>
      <c r="M14" t="s">
        <v>8148</v>
      </c>
      <c r="N14">
        <v>19.389</v>
      </c>
    </row>
    <row r="15" spans="1:20">
      <c r="A15" t="s">
        <v>4570</v>
      </c>
      <c r="B15" t="s">
        <v>4571</v>
      </c>
      <c r="C15" t="s">
        <v>4572</v>
      </c>
      <c r="D15" t="s">
        <v>7847</v>
      </c>
      <c r="E15" t="s">
        <v>7839</v>
      </c>
      <c r="F15" t="s">
        <v>7840</v>
      </c>
      <c r="G15" t="s">
        <v>8144</v>
      </c>
      <c r="H15" t="s">
        <v>9</v>
      </c>
      <c r="I15">
        <v>51.832</v>
      </c>
      <c r="J15">
        <v>6.51</v>
      </c>
      <c r="K15">
        <v>0.23</v>
      </c>
      <c r="M15" t="s">
        <v>8144</v>
      </c>
      <c r="N15">
        <v>176.234</v>
      </c>
    </row>
    <row r="16" spans="1:20">
      <c r="A16" t="s">
        <v>5706</v>
      </c>
      <c r="B16" t="s">
        <v>5707</v>
      </c>
      <c r="C16" t="s">
        <v>5708</v>
      </c>
      <c r="D16" t="s">
        <v>7847</v>
      </c>
      <c r="E16" t="s">
        <v>7839</v>
      </c>
      <c r="F16" t="s">
        <v>7840</v>
      </c>
      <c r="G16" t="s">
        <v>8149</v>
      </c>
      <c r="H16" t="s">
        <v>9</v>
      </c>
      <c r="I16">
        <v>12.449</v>
      </c>
      <c r="J16">
        <v>20.406</v>
      </c>
      <c r="K16">
        <v>0.35</v>
      </c>
      <c r="M16" t="s">
        <v>8144</v>
      </c>
      <c r="N16">
        <v>51.832</v>
      </c>
    </row>
    <row r="17" spans="1:14">
      <c r="A17" t="s">
        <v>6665</v>
      </c>
      <c r="B17" t="s">
        <v>4024</v>
      </c>
      <c r="C17" t="s">
        <v>6666</v>
      </c>
      <c r="D17" t="s">
        <v>7862</v>
      </c>
      <c r="E17" t="s">
        <v>7840</v>
      </c>
      <c r="F17" t="s">
        <v>7888</v>
      </c>
      <c r="G17" t="s">
        <v>8148</v>
      </c>
      <c r="H17" t="s">
        <v>9</v>
      </c>
      <c r="I17">
        <v>26.091</v>
      </c>
      <c r="K17">
        <v>0.2</v>
      </c>
      <c r="M17" t="s">
        <v>8149</v>
      </c>
      <c r="N17">
        <v>12.449</v>
      </c>
    </row>
    <row r="18" spans="1:14">
      <c r="A18" t="s">
        <v>6642</v>
      </c>
      <c r="B18" t="s">
        <v>6643</v>
      </c>
      <c r="C18" t="s">
        <v>6644</v>
      </c>
      <c r="D18" t="s">
        <v>7862</v>
      </c>
      <c r="E18" t="s">
        <v>7839</v>
      </c>
      <c r="F18" t="s">
        <v>7840</v>
      </c>
      <c r="G18" t="s">
        <v>8146</v>
      </c>
      <c r="H18" t="s">
        <v>9</v>
      </c>
      <c r="I18">
        <v>177.105</v>
      </c>
      <c r="J18">
        <v>40.504</v>
      </c>
      <c r="K18">
        <v>0.2</v>
      </c>
      <c r="M18" t="s">
        <v>8148</v>
      </c>
      <c r="N18">
        <v>26.091</v>
      </c>
    </row>
    <row r="19" spans="1:14">
      <c r="A19" t="s">
        <v>6684</v>
      </c>
      <c r="B19" t="s">
        <v>6685</v>
      </c>
      <c r="C19" t="s">
        <v>6686</v>
      </c>
      <c r="D19" t="s">
        <v>7862</v>
      </c>
      <c r="E19" t="s">
        <v>7839</v>
      </c>
      <c r="F19" t="s">
        <v>7888</v>
      </c>
      <c r="G19" t="s">
        <v>8149</v>
      </c>
      <c r="H19" t="s">
        <v>9</v>
      </c>
      <c r="I19">
        <v>15.32</v>
      </c>
      <c r="J19">
        <v>38.414</v>
      </c>
      <c r="K19">
        <v>0.2</v>
      </c>
      <c r="M19" t="s">
        <v>8146</v>
      </c>
      <c r="N19">
        <v>177.105</v>
      </c>
    </row>
    <row r="20" spans="1:14">
      <c r="A20" t="s">
        <v>58</v>
      </c>
      <c r="B20" t="s">
        <v>59</v>
      </c>
      <c r="C20" t="s">
        <v>60</v>
      </c>
      <c r="D20" t="s">
        <v>7850</v>
      </c>
      <c r="E20" t="s">
        <v>7839</v>
      </c>
      <c r="F20" t="s">
        <v>7853</v>
      </c>
      <c r="G20" t="s">
        <v>8144</v>
      </c>
      <c r="H20" t="s">
        <v>9</v>
      </c>
      <c r="I20">
        <v>6.245</v>
      </c>
      <c r="J20">
        <v>89.429</v>
      </c>
      <c r="K20">
        <v>0.58</v>
      </c>
      <c r="M20" t="s">
        <v>8149</v>
      </c>
      <c r="N20">
        <v>15.32</v>
      </c>
    </row>
    <row r="21" spans="1:14">
      <c r="J21">
        <f>AVERAGE(J2:J20)</f>
        <v>52.479</v>
      </c>
      <c r="K21">
        <f>AVERAGE(K2:K20)</f>
        <v>0.258421052631579</v>
      </c>
      <c r="M21" t="s">
        <v>8144</v>
      </c>
      <c r="N21">
        <v>6.245</v>
      </c>
    </row>
    <row r="39" ht="1.5" customHeight="1"/>
    <row r="40" ht="24" customHeight="1" spans="4:15">
      <c r="D40" s="1" t="s">
        <v>7832</v>
      </c>
      <c r="E40" s="1" t="s">
        <v>7833</v>
      </c>
      <c r="F40" s="1" t="s">
        <v>7834</v>
      </c>
      <c r="G40" s="1" t="s">
        <v>7835</v>
      </c>
      <c r="H40" s="1" t="s">
        <v>5</v>
      </c>
      <c r="I40" s="1" t="s">
        <v>7836</v>
      </c>
      <c r="J40" s="2" t="s">
        <v>7837</v>
      </c>
      <c r="K40" t="s">
        <v>15</v>
      </c>
      <c r="L40" t="s">
        <v>7843</v>
      </c>
    </row>
    <row r="41" spans="4:15">
      <c r="D41" t="s">
        <v>7862</v>
      </c>
      <c r="E41" t="s">
        <v>7839</v>
      </c>
      <c r="F41" t="s">
        <v>7840</v>
      </c>
      <c r="G41" t="s">
        <v>8143</v>
      </c>
      <c r="H41">
        <v>2.137</v>
      </c>
      <c r="I41">
        <v>44.145</v>
      </c>
      <c r="J41">
        <v>0.3</v>
      </c>
      <c r="K41" s="6" t="s">
        <v>7850</v>
      </c>
      <c r="L41" s="7">
        <v>1</v>
      </c>
      <c r="M41" s="6" t="s">
        <v>7850</v>
      </c>
      <c r="N41" s="7">
        <v>1</v>
      </c>
      <c r="O41" s="8">
        <f>N41/$N$45</f>
        <v>0.0526315789473684</v>
      </c>
    </row>
    <row r="42" spans="4:15">
      <c r="D42" t="s">
        <v>7862</v>
      </c>
      <c r="E42" t="s">
        <v>7839</v>
      </c>
      <c r="F42" t="s">
        <v>7932</v>
      </c>
      <c r="G42" t="s">
        <v>8143</v>
      </c>
      <c r="H42">
        <v>14.971</v>
      </c>
      <c r="I42">
        <v>87.933</v>
      </c>
      <c r="J42">
        <v>0.06</v>
      </c>
      <c r="K42" s="6" t="s">
        <v>7847</v>
      </c>
      <c r="L42" s="7">
        <v>4</v>
      </c>
      <c r="M42" s="6" t="s">
        <v>7847</v>
      </c>
      <c r="N42" s="7">
        <v>4</v>
      </c>
      <c r="O42" s="8">
        <f t="shared" ref="O42:O44" si="1">N42/$N$45</f>
        <v>0.210526315789474</v>
      </c>
    </row>
    <row r="43" spans="4:15">
      <c r="D43" t="s">
        <v>7859</v>
      </c>
      <c r="E43" t="s">
        <v>7839</v>
      </c>
      <c r="F43" t="s">
        <v>7935</v>
      </c>
      <c r="G43" t="s">
        <v>8144</v>
      </c>
      <c r="H43">
        <v>10.005</v>
      </c>
      <c r="I43">
        <v>98.273</v>
      </c>
      <c r="J43">
        <v>0.15</v>
      </c>
      <c r="K43" s="6" t="s">
        <v>7859</v>
      </c>
      <c r="L43" s="7">
        <v>1</v>
      </c>
      <c r="M43" s="6" t="s">
        <v>7859</v>
      </c>
      <c r="N43" s="7">
        <v>1</v>
      </c>
      <c r="O43" s="8">
        <f t="shared" si="1"/>
        <v>0.0526315789473684</v>
      </c>
    </row>
    <row r="44" spans="4:15">
      <c r="D44" t="s">
        <v>7862</v>
      </c>
      <c r="E44" t="s">
        <v>7839</v>
      </c>
      <c r="F44" t="s">
        <v>7840</v>
      </c>
      <c r="G44" t="s">
        <v>8145</v>
      </c>
      <c r="H44">
        <v>507.507</v>
      </c>
      <c r="I44">
        <v>71.945</v>
      </c>
      <c r="J44">
        <v>0.18</v>
      </c>
      <c r="K44" s="6" t="s">
        <v>7862</v>
      </c>
      <c r="L44" s="7">
        <v>13</v>
      </c>
      <c r="M44" s="6" t="s">
        <v>7862</v>
      </c>
      <c r="N44" s="7">
        <v>13</v>
      </c>
      <c r="O44" s="8">
        <f t="shared" si="1"/>
        <v>0.684210526315789</v>
      </c>
    </row>
    <row r="45" spans="4:15">
      <c r="D45" t="s">
        <v>7862</v>
      </c>
      <c r="E45" t="s">
        <v>7839</v>
      </c>
      <c r="F45" t="s">
        <v>7853</v>
      </c>
      <c r="G45" t="s">
        <v>8146</v>
      </c>
      <c r="H45">
        <v>630.601</v>
      </c>
      <c r="I45">
        <v>15.54</v>
      </c>
      <c r="J45">
        <v>0.28</v>
      </c>
      <c r="K45" s="6" t="s">
        <v>162</v>
      </c>
      <c r="L45" s="7">
        <v>19</v>
      </c>
      <c r="M45" s="11" t="s">
        <v>162</v>
      </c>
      <c r="N45" s="12">
        <v>19</v>
      </c>
    </row>
    <row r="46" spans="4:15">
      <c r="D46" t="s">
        <v>7847</v>
      </c>
      <c r="E46" t="s">
        <v>7839</v>
      </c>
      <c r="F46" t="s">
        <v>7840</v>
      </c>
      <c r="G46" t="s">
        <v>8143</v>
      </c>
      <c r="H46">
        <v>6.01</v>
      </c>
      <c r="I46">
        <v>49.022</v>
      </c>
      <c r="J46">
        <v>0.4</v>
      </c>
    </row>
    <row r="47" spans="4:15">
      <c r="D47" t="s">
        <v>7862</v>
      </c>
      <c r="E47" t="s">
        <v>7839</v>
      </c>
      <c r="F47" t="s">
        <v>7840</v>
      </c>
      <c r="G47" t="s">
        <v>8144</v>
      </c>
      <c r="H47">
        <v>23.044</v>
      </c>
      <c r="I47">
        <v>69.52</v>
      </c>
      <c r="J47">
        <v>0.35</v>
      </c>
    </row>
    <row r="48" spans="4:15">
      <c r="D48" t="s">
        <v>7847</v>
      </c>
      <c r="E48" t="s">
        <v>7839</v>
      </c>
      <c r="F48" t="s">
        <v>7840</v>
      </c>
      <c r="G48" t="s">
        <v>8143</v>
      </c>
      <c r="H48">
        <v>7.626</v>
      </c>
      <c r="I48">
        <v>34.073</v>
      </c>
      <c r="J48">
        <v>0.35</v>
      </c>
    </row>
    <row r="49" spans="4:15">
      <c r="D49" t="s">
        <v>7862</v>
      </c>
      <c r="E49" t="s">
        <v>7839</v>
      </c>
      <c r="F49" t="s">
        <v>7840</v>
      </c>
      <c r="G49" t="s">
        <v>8147</v>
      </c>
      <c r="H49">
        <v>332.771</v>
      </c>
      <c r="I49">
        <v>38.471</v>
      </c>
      <c r="J49">
        <v>0.15</v>
      </c>
    </row>
    <row r="50" spans="4:15">
      <c r="D50" t="s">
        <v>7862</v>
      </c>
      <c r="E50" t="s">
        <v>7839</v>
      </c>
      <c r="F50" t="s">
        <v>7853</v>
      </c>
      <c r="G50" t="s">
        <v>8143</v>
      </c>
      <c r="H50">
        <v>63.62</v>
      </c>
      <c r="I50">
        <v>43.452</v>
      </c>
      <c r="J50">
        <v>0.3</v>
      </c>
      <c r="K50" t="s">
        <v>15</v>
      </c>
      <c r="L50" t="s">
        <v>7928</v>
      </c>
    </row>
    <row r="51" spans="4:15">
      <c r="D51" t="s">
        <v>7862</v>
      </c>
      <c r="E51" t="s">
        <v>7839</v>
      </c>
      <c r="F51" t="s">
        <v>7888</v>
      </c>
      <c r="G51" t="s">
        <v>8150</v>
      </c>
      <c r="H51">
        <v>1.016</v>
      </c>
      <c r="I51">
        <v>100</v>
      </c>
      <c r="J51">
        <v>0.15</v>
      </c>
      <c r="K51" s="6" t="s">
        <v>7840</v>
      </c>
      <c r="L51" s="7">
        <v>9</v>
      </c>
    </row>
    <row r="52" spans="4:15">
      <c r="D52" t="s">
        <v>7862</v>
      </c>
      <c r="E52" t="s">
        <v>7840</v>
      </c>
      <c r="F52" t="s">
        <v>7935</v>
      </c>
      <c r="G52" t="s">
        <v>8148</v>
      </c>
      <c r="H52">
        <v>19.389</v>
      </c>
      <c r="J52">
        <v>0.2</v>
      </c>
      <c r="K52" s="6" t="s">
        <v>7932</v>
      </c>
      <c r="L52" s="7">
        <v>1</v>
      </c>
      <c r="M52" s="6" t="s">
        <v>7932</v>
      </c>
      <c r="N52" s="7">
        <v>1</v>
      </c>
      <c r="O52" s="8">
        <f>N52/$N$56</f>
        <v>0.1</v>
      </c>
    </row>
    <row r="53" spans="4:15">
      <c r="D53" t="s">
        <v>7862</v>
      </c>
      <c r="E53" t="s">
        <v>7839</v>
      </c>
      <c r="F53" t="s">
        <v>7888</v>
      </c>
      <c r="G53" t="s">
        <v>8144</v>
      </c>
      <c r="H53">
        <v>176.234</v>
      </c>
      <c r="I53">
        <v>44.506</v>
      </c>
      <c r="J53">
        <v>0.28</v>
      </c>
      <c r="K53" s="6" t="s">
        <v>7935</v>
      </c>
      <c r="L53" s="7">
        <v>2</v>
      </c>
      <c r="M53" s="6" t="s">
        <v>7935</v>
      </c>
      <c r="N53" s="7">
        <v>2</v>
      </c>
      <c r="O53" s="8">
        <f t="shared" ref="O53:O56" si="2">N53/$N$56</f>
        <v>0.2</v>
      </c>
    </row>
    <row r="54" spans="4:15">
      <c r="D54" t="s">
        <v>7847</v>
      </c>
      <c r="E54" t="s">
        <v>7839</v>
      </c>
      <c r="F54" t="s">
        <v>7840</v>
      </c>
      <c r="G54" t="s">
        <v>8144</v>
      </c>
      <c r="H54">
        <v>51.832</v>
      </c>
      <c r="I54">
        <v>6.51</v>
      </c>
      <c r="J54">
        <v>0.23</v>
      </c>
      <c r="K54" s="6" t="s">
        <v>7888</v>
      </c>
      <c r="L54" s="7">
        <v>4</v>
      </c>
      <c r="M54" s="6" t="s">
        <v>7888</v>
      </c>
      <c r="N54" s="7">
        <v>4</v>
      </c>
      <c r="O54" s="8">
        <f t="shared" si="2"/>
        <v>0.4</v>
      </c>
    </row>
    <row r="55" spans="4:15">
      <c r="D55" t="s">
        <v>7847</v>
      </c>
      <c r="E55" t="s">
        <v>7839</v>
      </c>
      <c r="F55" t="s">
        <v>7840</v>
      </c>
      <c r="G55" t="s">
        <v>8149</v>
      </c>
      <c r="H55">
        <v>12.449</v>
      </c>
      <c r="I55">
        <v>20.406</v>
      </c>
      <c r="J55">
        <v>0.35</v>
      </c>
      <c r="K55" s="6" t="s">
        <v>7853</v>
      </c>
      <c r="L55" s="7">
        <v>3</v>
      </c>
      <c r="M55" s="6" t="s">
        <v>7853</v>
      </c>
      <c r="N55" s="7">
        <v>3</v>
      </c>
      <c r="O55" s="8">
        <f t="shared" si="2"/>
        <v>0.3</v>
      </c>
    </row>
    <row r="56" spans="4:15">
      <c r="D56" t="s">
        <v>7862</v>
      </c>
      <c r="E56" t="s">
        <v>7840</v>
      </c>
      <c r="F56" t="s">
        <v>7888</v>
      </c>
      <c r="G56" t="s">
        <v>8148</v>
      </c>
      <c r="H56">
        <v>26.091</v>
      </c>
      <c r="J56">
        <v>0.2</v>
      </c>
      <c r="K56" s="6" t="s">
        <v>162</v>
      </c>
      <c r="L56" s="7">
        <v>19</v>
      </c>
      <c r="N56" s="7">
        <v>10</v>
      </c>
      <c r="O56">
        <f t="shared" si="2"/>
        <v>1</v>
      </c>
    </row>
    <row r="57" spans="4:15">
      <c r="D57" t="s">
        <v>7862</v>
      </c>
      <c r="E57" t="s">
        <v>7839</v>
      </c>
      <c r="F57" t="s">
        <v>7840</v>
      </c>
      <c r="G57" t="s">
        <v>8146</v>
      </c>
      <c r="H57">
        <v>177.105</v>
      </c>
      <c r="I57">
        <v>40.504</v>
      </c>
      <c r="J57">
        <v>0.2</v>
      </c>
    </row>
    <row r="58" spans="4:15">
      <c r="D58" t="s">
        <v>7862</v>
      </c>
      <c r="E58" t="s">
        <v>7839</v>
      </c>
      <c r="F58" t="s">
        <v>7888</v>
      </c>
      <c r="G58" t="s">
        <v>8149</v>
      </c>
      <c r="H58">
        <v>15.32</v>
      </c>
      <c r="I58">
        <v>38.414</v>
      </c>
      <c r="J58">
        <v>0.2</v>
      </c>
    </row>
    <row r="59" spans="4:15">
      <c r="D59" t="s">
        <v>7850</v>
      </c>
      <c r="E59" t="s">
        <v>7839</v>
      </c>
      <c r="F59" t="s">
        <v>7853</v>
      </c>
      <c r="G59" t="s">
        <v>8144</v>
      </c>
      <c r="H59">
        <v>6.245</v>
      </c>
      <c r="I59">
        <v>89.429</v>
      </c>
      <c r="J59">
        <v>0.58</v>
      </c>
    </row>
    <row r="61" spans="4:15">
      <c r="K61" t="s">
        <v>15</v>
      </c>
      <c r="L61" t="s">
        <v>7897</v>
      </c>
    </row>
    <row r="62" spans="4:15">
      <c r="K62" s="6" t="s">
        <v>7840</v>
      </c>
      <c r="L62" s="7">
        <v>2</v>
      </c>
    </row>
    <row r="63" spans="4:15">
      <c r="K63" s="6" t="s">
        <v>7839</v>
      </c>
      <c r="L63" s="7">
        <v>17</v>
      </c>
      <c r="M63" s="6" t="s">
        <v>7839</v>
      </c>
      <c r="N63" s="7">
        <v>17</v>
      </c>
      <c r="O63" s="8">
        <v>1</v>
      </c>
    </row>
    <row r="64" spans="4:15">
      <c r="K64" s="6" t="s">
        <v>162</v>
      </c>
      <c r="L64" s="7">
        <v>19</v>
      </c>
    </row>
  </sheetData>
  <pageMargins left="0.75" right="0.75" top="1" bottom="1" header="0.5" footer="0.5"/>
  <headerFooter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全球债券ETF资产规模</vt:lpstr>
      <vt:lpstr>美日新港债券ETF资产规模</vt:lpstr>
      <vt:lpstr>美国</vt:lpstr>
      <vt:lpstr>日本</vt:lpstr>
      <vt:lpstr>新加坡</vt:lpstr>
      <vt:lpstr>香港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LIOH</cp:lastModifiedBy>
  <dcterms:created xsi:type="dcterms:W3CDTF">2013-04-03T15:49:00Z</dcterms:created>
  <dcterms:modified xsi:type="dcterms:W3CDTF">2026-04-10T17:21:18Z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0700373C7A3F4FC0B4606EE46E806C84_13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